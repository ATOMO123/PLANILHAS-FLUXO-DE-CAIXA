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5.xml" ContentType="application/vnd.openxmlformats-officedocument.spreadsheetml.comments+xml"/>
  <Override PartName="/xl/drawings/drawing22.xml" ContentType="application/vnd.openxmlformats-officedocument.drawing+xml"/>
  <Override PartName="/xl/comments16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8.xml" ContentType="application/vnd.openxmlformats-officedocument.drawing+xml"/>
  <Override PartName="/xl/comments18.xml" ContentType="application/vnd.openxmlformats-officedocument.spreadsheetml.comments+xml"/>
  <Override PartName="/xl/drawings/drawing29.xml" ContentType="application/vnd.openxmlformats-officedocument.drawing+xml"/>
  <Override PartName="/xl/comments19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5" activeTab="5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DASHBOARD (2)" sheetId="47" r:id="rId17"/>
    <sheet name="AUXILIAR 2" sheetId="42" r:id="rId18"/>
    <sheet name="RASCUNHO (2)" sheetId="46" r:id="rId19"/>
    <sheet name="FLUXO DE CAIXA (2)" sheetId="29" r:id="rId20"/>
    <sheet name="RASCUNHO" sheetId="43" r:id="rId21"/>
    <sheet name="INDICADORES" sheetId="44" r:id="rId22"/>
    <sheet name="COMPARAÇAO CENTROS DE CUSTO" sheetId="40" r:id="rId23"/>
    <sheet name="FLUXO DE CAIXA CENTROS" sheetId="38" r:id="rId24"/>
    <sheet name="plano de contas" sheetId="21" r:id="rId25"/>
    <sheet name="CENTRO DE CUSTO" sheetId="37" r:id="rId26"/>
    <sheet name="DRE" sheetId="22" r:id="rId27"/>
    <sheet name="GRAFICO DESPESAS" sheetId="24" r:id="rId28"/>
    <sheet name="GRAFICOS" sheetId="25" r:id="rId29"/>
    <sheet name="FC-DIARIO" sheetId="30" r:id="rId30"/>
    <sheet name="DRE1" sheetId="23" r:id="rId31"/>
    <sheet name="AUXILIAR" sheetId="26" r:id="rId32"/>
  </sheets>
  <externalReferences>
    <externalReference r:id="rId33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22" hidden="1">'COMPARAÇAO CENTROS DE CUSTO'!#REF!</definedName>
    <definedName name="_xlnm._FilterDatabase" localSheetId="14" hidden="1">DEZEMBRO!$H$8:$H$37</definedName>
    <definedName name="_xlnm._FilterDatabase" localSheetId="26" hidden="1">DRE!#REF!</definedName>
    <definedName name="_xlnm._FilterDatabase" localSheetId="30" hidden="1">'DRE1'!#REF!</definedName>
    <definedName name="_xlnm._FilterDatabase" localSheetId="29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9" hidden="1">'FLUXO DE CAIXA (2)'!#REF!</definedName>
    <definedName name="_xlnm._FilterDatabase" localSheetId="23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7" l="1"/>
  <c r="C3" i="47"/>
  <c r="J8" i="42"/>
  <c r="J9" i="42"/>
  <c r="G4" i="47" s="1"/>
  <c r="J10" i="42"/>
  <c r="C4" i="47" s="1"/>
  <c r="J11" i="42"/>
  <c r="C7" i="45" s="1"/>
  <c r="J12" i="42"/>
  <c r="C10" i="45" s="1"/>
  <c r="J13" i="42"/>
  <c r="C13" i="45" s="1"/>
  <c r="J7" i="42"/>
  <c r="G4" i="45"/>
  <c r="E4" i="45"/>
  <c r="C12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C9" i="29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C10" i="29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/>
  <c r="H16" i="29"/>
  <c r="H18" i="29"/>
  <c r="E17" i="29"/>
  <c r="F17" i="29"/>
  <c r="G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G18" i="29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C18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C11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C12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  <c r="I4" i="45" l="1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<sst xmlns="http://schemas.openxmlformats.org/spreadsheetml/2006/main" count="3018" uniqueCount="205">
  <si>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</si>
  <si>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</si>
  <si>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</si>
  <si>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</si>
  <si>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</si>
  <si>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</si>
  <si>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</si>
  <si>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</si>
  <si>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</si>
  <si>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</si>
  <si>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</si>
  <si>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</si>
  <si>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</si>
  <si>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</si>
  <si>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</si>
  <si>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</si>
  <si>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</si>
  <si>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</si>
  <si>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</si>
  <si>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</si>
  <si>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</si>
  <si>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</si>
  <si>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</si>
  <si>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</si>
  <si>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</si>
  <si>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</si>
  <si>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</si>
  <si>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</si>
  <si>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</si>
  <si>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</si>
  <si>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</si>
  <si>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</si>
  <si>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</si>
  <si>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</si>
  <si>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</si>
  <si>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</si>
  <si>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</si>
  <si>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</si>
  <si>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</si>
  <si>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</si>
  <si>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</si>
  <si>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</si>
  <si>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</si>
  <si>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</si>
  <si>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</si>
  <si>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</si>
  <si>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</si>
  <si>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</si>
  <si>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</si>
  <si>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</si>
  <si>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</si>
  <si>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</si>
  <si>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</si>
  <si>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</si>
  <si>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</si>
  <si>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</si>
  <si>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</si>
  <si>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</si>
  <si>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</si>
  <si>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</si>
  <si>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</si>
  <si>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</si>
  <si>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</si>
  <si>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</si>
  <si>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</si>
  <si>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</si>
  <si>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</si>
  <si>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</si>
  <si>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</si>
  <si>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</si>
  <si>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</si>
  <si>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</si>
  <si>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</si>
  <si>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</si>
  <si>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</si>
  <si>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</si>
  <si>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</si>
  <si>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</si>
  <si>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</si>
  <si>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</si>
  <si>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</si>
  <si>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</si>
  <si>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</si>
  <si>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</si>
  <si>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</si>
  <si>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</si>
  <si>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</si>
  <si>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</si>
  <si>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</si>
  <si>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</si>
  <si>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</si>
  <si>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</si>
  <si>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</si>
  <si>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</si>
  <si>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</si>
  <si>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</si>
  <si>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</si>
  <si>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</si>
  <si>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</si>
  <si>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</si>
  <si>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</si>
  <si>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</si>
  <si>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</si>
  <si>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</si>
  <si>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</si>
  <si>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</si>
  <si>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</si>
  <si>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</si>
  <si>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</si>
  <si>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</si>
  <si>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</si>
  <si>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</si>
  <si>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</si>
  <si>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</si>
  <si>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</si>
  <si>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</si>
  <si>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</si>
  <si>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</si>
  <si>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</si>
  <si>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</si>
  <si>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</si>
  <si>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</si>
  <si>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</si>
  <si>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</si>
  <si>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</si>
  <si>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</si>
  <si>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</si>
  <si>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</si>
  <si>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</si>
  <si>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</si>
  <si>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</si>
  <si>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</si>
  <si>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</si>
  <si>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</si>
  <si>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</si>
  <si>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</si>
  <si>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</si>
  <si>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</si>
  <si>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</si>
  <si>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</si>
  <si>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</si>
  <si>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</si>
  <si>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</si>
  <si>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</si>
  <si>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</si>
  <si>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</si>
  <si>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</si>
  <si>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</si>
  <si>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</si>
  <si>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</si>
  <si>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</si>
  <si>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</si>
  <si>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</si>
  <si>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</si>
  <si>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</si>
  <si>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</si>
  <si>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</si>
  <si>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</si>
  <si>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</si>
  <si>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</si>
  <si>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</si>
  <si>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</si>
  <si>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</si>
  <si>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</si>
  <si>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</si>
  <si>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</si>
  <si>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</si>
  <si>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</si>
  <si>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</si>
  <si>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</si>
  <si>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</si>
  <si>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</si>
  <si>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</si>
  <si>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</si>
  <si>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</si>
  <si>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</si>
  <si>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</si>
  <si>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</si>
  <si>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</si>
  <si>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</si>
  <si>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</si>
  <si>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</si>
  <si>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</si>
  <si>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</si>
  <si>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</si>
  <si>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</si>
  <si>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</si>
  <si>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</si>
  <si>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</si>
  <si>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</si>
  <si>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</si>
  <si>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</si>
  <si>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</si>
  <si>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</si>
  <si>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</si>
  <si>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</si>
  <si>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</si>
  <si>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</si>
  <si>
    <t>VINCULO DA CELULA DA CAIXA DE OPÇÕES 1</t>
  </si>
  <si>
    <t>VINCULO DA CELULA DA CAIXA DE OPÇÕES 2</t>
  </si>
  <si>
    <t>VINCULO DA CELULA DA CAIXA DE OPÇÕES 3</t>
  </si>
  <si>
    <t>VINCULO DA CELULA DA CAIXA DE OPÇÕES 4</t>
  </si>
  <si>
    <t>ESCOLHA O MÊS</t>
  </si>
  <si>
    <t>CENTRO 2</t>
  </si>
  <si>
    <t>CENTRO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</si>
</sst>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  <xf numFmtId="166" fontId="14" fillId="0" borderId="0" xfId="0" applyNumberFormat="1" applyFont="1" applyBorder="1" applyAlignment="1">
      <alignment horizontal="center" wrapText="1"/>
    </xf>
    <xf numFmtId="0" fontId="7" fillId="0" borderId="14" xfId="0" applyFont="1" applyBorder="1" applyAlignment="1">
      <alignment horizontal="left"/>
    </xf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</cellXfs>
  <cellStyles count="1">
    <cellStyle name="Normal" xfId="0" builtinId="0"/>
  </cellStyles>
  <dxfs count="581"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2664"/>
        <c:axId val="312901880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2664"/>
        <c:axId val="312901880"/>
      </c:lineChart>
      <c:catAx>
        <c:axId val="31290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1880"/>
        <c:crosses val="autoZero"/>
        <c:auto val="1"/>
        <c:lblAlgn val="ctr"/>
        <c:lblOffset val="100"/>
        <c:noMultiLvlLbl val="0"/>
      </c:catAx>
      <c:valAx>
        <c:axId val="31290188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2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2272"/>
        <c:axId val="312903840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2272"/>
        <c:axId val="312903840"/>
      </c:lineChart>
      <c:catAx>
        <c:axId val="31290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3840"/>
        <c:crosses val="autoZero"/>
        <c:auto val="1"/>
        <c:lblAlgn val="ctr"/>
        <c:lblOffset val="100"/>
        <c:noMultiLvlLbl val="0"/>
      </c:catAx>
      <c:valAx>
        <c:axId val="31290384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0704"/>
        <c:axId val="312905016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0704"/>
        <c:axId val="312905016"/>
      </c:lineChart>
      <c:catAx>
        <c:axId val="31290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5016"/>
        <c:crosses val="autoZero"/>
        <c:auto val="1"/>
        <c:lblAlgn val="ctr"/>
        <c:lblOffset val="100"/>
        <c:noMultiLvlLbl val="0"/>
      </c:catAx>
      <c:valAx>
        <c:axId val="31290501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6612816"/>
        <c:axId val="586613600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_-[$AOA]\ * #,##0.00_-;\-[$AOA]\ * #,##0.00_-;_-[$AOA]\ 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12816"/>
        <c:axId val="586613600"/>
      </c:lineChart>
      <c:catAx>
        <c:axId val="58661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13600"/>
        <c:crosses val="autoZero"/>
        <c:auto val="1"/>
        <c:lblAlgn val="ctr"/>
        <c:lblOffset val="100"/>
        <c:noMultiLvlLbl val="0"/>
      </c:catAx>
      <c:valAx>
        <c:axId val="58661360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58661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526528"/>
        <c:axId val="312525744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26528"/>
        <c:axId val="312525744"/>
      </c:lineChart>
      <c:catAx>
        <c:axId val="31252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525744"/>
        <c:crosses val="autoZero"/>
        <c:auto val="1"/>
        <c:lblAlgn val="ctr"/>
        <c:lblOffset val="100"/>
        <c:noMultiLvlLbl val="0"/>
      </c:catAx>
      <c:valAx>
        <c:axId val="3125257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5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pageSetup orientation="landscape" r:id="rId1"/>
  <drawing r:id="rId2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sel="12" val="0"/>
</file>

<file path=xl/ctrlProps/ctrlProp2.xml><?xml version="1.0" encoding="utf-8"?>
<formControlPr xmlns="http://schemas.microsoft.com/office/spreadsheetml/2009/9/main" objectType="Drop" dropLines="12" dropStyle="combo" dx="16" fmlaLink="'AUXILIAR 2'!$N$2" fmlaRange="'AUXILIAR 2'!$C$3:$C$14" noThreeD="1" sel="6" val="0"/>
</file>

<file path=xl/ctrlProps/ctrlProp3.xml><?xml version="1.0" encoding="utf-8"?>
<formControlPr xmlns="http://schemas.microsoft.com/office/spreadsheetml/2009/9/main" objectType="Drop" dropLines="12" dropStyle="combo" dx="16" fmlaLink="'AUXILIAR 2'!$N$3" fmlaRange="'COMPARAÇAO CENTROS DE CUSTO'!$B$8:$B$18" noThreeD="1" sel="7" val="0"/>
</file>

<file path=xl/ctrlProps/ctrlProp4.xml><?xml version="1.0" encoding="utf-8"?>
<formControlPr xmlns="http://schemas.microsoft.com/office/spreadsheetml/2009/9/main" objectType="Drop" dropLines="12" dropStyle="combo" dx="16" fmlaLink="'AUXILIAR 2'!$N$4" fmlaRange="'COMPARAÇAO CENTROS DE CUSTO'!$B$8:$B$18" noThreeD="1" sel="4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8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7.xml"/><Relationship Id="rId16" Type="http://schemas.openxmlformats.org/officeDocument/2006/relationships/hyperlink" Target="#'CENTRO DE CUSTO'!A1"/><Relationship Id="rId1" Type="http://schemas.openxmlformats.org/officeDocument/2006/relationships/chart" Target="../charts/chart6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0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9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5</xdr:row>
      <xdr:rowOff>38100</xdr:rowOff>
    </xdr:from>
    <xdr:to>
      <xdr:col>28</xdr:col>
      <xdr:colOff>112940</xdr:colOff>
      <xdr:row>19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66675</xdr:colOff>
      <xdr:row>16</xdr:row>
      <xdr:rowOff>112938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1343025</xdr:colOff>
          <xdr:row>0</xdr:row>
          <xdr:rowOff>66675</xdr:rowOff>
        </xdr:from>
        <xdr:to>
          <xdr:col>2</xdr:col>
          <xdr:colOff>2781300</xdr:colOff>
          <xdr:row>0</xdr:row>
          <xdr:rowOff>628650</xdr:rowOff>
        </xdr:to>
        <xdr:sp macro="" textlink="">
          <xdr:nvSpPr>
            <xdr:cNvPr id="91137" name="Drop Dow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161925</xdr:rowOff>
        </xdr:from>
        <xdr:to>
          <xdr:col>6</xdr:col>
          <xdr:colOff>1781175</xdr:colOff>
          <xdr:row>0</xdr:row>
          <xdr:rowOff>647700</xdr:rowOff>
        </xdr:to>
        <xdr:sp macro="" textlink="">
          <xdr:nvSpPr>
            <xdr:cNvPr id="91139" name="Drop Dow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0</xdr:row>
          <xdr:rowOff>161925</xdr:rowOff>
        </xdr:from>
        <xdr:to>
          <xdr:col>8</xdr:col>
          <xdr:colOff>2857500</xdr:colOff>
          <xdr:row>0</xdr:row>
          <xdr:rowOff>647700</xdr:rowOff>
        </xdr:to>
        <xdr:sp macro="" textlink="">
          <xdr:nvSpPr>
            <xdr:cNvPr id="91140" name="Drop Dow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10</xdr:col>
      <xdr:colOff>200025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59912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10</xdr:col>
      <xdr:colOff>276225</xdr:colOff>
      <xdr:row>3</xdr:row>
      <xdr:rowOff>151488</xdr:rowOff>
    </xdr:from>
    <xdr:to>
      <xdr:col>19</xdr:col>
      <xdr:colOff>581024</xdr:colOff>
      <xdr:row>7</xdr:row>
      <xdr:rowOff>185016</xdr:rowOff>
    </xdr:to>
    <xdr:sp macro="" textlink="">
      <xdr:nvSpPr>
        <xdr:cNvPr id="6" name="Retângulo 5"/>
        <xdr:cNvSpPr/>
      </xdr:nvSpPr>
      <xdr:spPr>
        <a:xfrm>
          <a:off x="6372225" y="722988"/>
          <a:ext cx="5791199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1" name="Retângulo 10"/>
        <xdr:cNvSpPr/>
      </xdr:nvSpPr>
      <xdr:spPr>
        <a:xfrm>
          <a:off x="295275" y="1570713"/>
          <a:ext cx="1185898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59" customFormat="1" ht="31.5" customHeight="1" x14ac:dyDescent="0.25"/>
    <row r="2" spans="1:15" s="59" customFormat="1" ht="36" customHeight="1" x14ac:dyDescent="0.25"/>
    <row r="3" spans="1:15" x14ac:dyDescent="0.25">
      <c r="B3" s="63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390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2957</v>
      </c>
      <c r="I12" s="47">
        <f t="shared" si="2"/>
        <v>2957</v>
      </c>
      <c r="J12" s="47">
        <f t="shared" si="2"/>
        <v>2351</v>
      </c>
      <c r="K12" s="47">
        <f t="shared" si="2"/>
        <v>904.60000000000036</v>
      </c>
      <c r="L12" s="47">
        <f t="shared" si="2"/>
        <v>618.93333333333396</v>
      </c>
      <c r="M12" s="47">
        <f t="shared" si="2"/>
        <v>333.26666666666756</v>
      </c>
      <c r="N12" s="47">
        <f>SUM(B12:M12)</f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80" priority="16" operator="equal">
      <formula>"RECEITA"</formula>
    </cfRule>
    <cfRule type="cellIs" dxfId="579" priority="17" operator="equal">
      <formula>"DESPESA"</formula>
    </cfRule>
    <cfRule type="cellIs" dxfId="578" priority="18" operator="equal">
      <formula>"RECEITA"</formula>
    </cfRule>
    <cfRule type="cellIs" dxfId="577" priority="19" operator="equal">
      <formula>"DESPESA"</formula>
    </cfRule>
    <cfRule type="cellIs" dxfId="576" priority="20" operator="equal">
      <formula>"RECEITA"</formula>
    </cfRule>
    <cfRule type="cellIs" dxfId="575" priority="21" operator="equal">
      <formula>"DESPESA"</formula>
    </cfRule>
  </conditionalFormatting>
  <conditionalFormatting sqref="A9">
    <cfRule type="cellIs" dxfId="574" priority="10" operator="equal">
      <formula>"RECEITA"</formula>
    </cfRule>
    <cfRule type="cellIs" dxfId="573" priority="11" operator="equal">
      <formula>"DESPESA"</formula>
    </cfRule>
    <cfRule type="cellIs" dxfId="572" priority="12" operator="equal">
      <formula>"RECEITA"</formula>
    </cfRule>
    <cfRule type="cellIs" dxfId="571" priority="13" operator="equal">
      <formula>"DESPESA"</formula>
    </cfRule>
    <cfRule type="cellIs" dxfId="570" priority="14" operator="equal">
      <formula>"RECEITA"</formula>
    </cfRule>
    <cfRule type="cellIs" dxfId="569" priority="15" operator="equal">
      <formula>"DESPESA"</formula>
    </cfRule>
  </conditionalFormatting>
  <conditionalFormatting sqref="B11:N11">
    <cfRule type="cellIs" dxfId="568" priority="3" operator="lessThan">
      <formula>0</formula>
    </cfRule>
    <cfRule type="cellIs" dxfId="567" priority="4" operator="greaterThan">
      <formula>0</formula>
    </cfRule>
  </conditionalFormatting>
  <conditionalFormatting sqref="B12:O12">
    <cfRule type="cellIs" dxfId="566" priority="1" operator="lessThan">
      <formula>0</formula>
    </cfRule>
    <cfRule type="cellIs" dxfId="56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scale="4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showGridLines="0" workbookViewId="0">
      <selection activeCell="E4" sqref="E4"/>
    </sheetView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pageSetup paperSize="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64" priority="20" operator="equal">
      <formula>"RECEITA"</formula>
    </cfRule>
    <cfRule type="cellIs" dxfId="563" priority="21" operator="equal">
      <formula>"DESPESA"</formula>
    </cfRule>
    <cfRule type="cellIs" dxfId="562" priority="22" operator="equal">
      <formula>"RECEITA"</formula>
    </cfRule>
    <cfRule type="cellIs" dxfId="561" priority="23" operator="equal">
      <formula>"DESPESA"</formula>
    </cfRule>
  </conditionalFormatting>
  <conditionalFormatting sqref="M8">
    <cfRule type="cellIs" dxfId="560" priority="12" operator="equal">
      <formula>"RECEITA"</formula>
    </cfRule>
    <cfRule type="cellIs" dxfId="559" priority="13" operator="equal">
      <formula>"DESPESA"</formula>
    </cfRule>
    <cfRule type="cellIs" dxfId="558" priority="14" operator="equal">
      <formula>"RECEITA"</formula>
    </cfRule>
    <cfRule type="cellIs" dxfId="557" priority="15" operator="equal">
      <formula>"DESPESA"</formula>
    </cfRule>
    <cfRule type="cellIs" dxfId="556" priority="16" operator="equal">
      <formula>"RECEITA"</formula>
    </cfRule>
    <cfRule type="cellIs" dxfId="555" priority="17" operator="equal">
      <formula>"DESPESA"</formula>
    </cfRule>
  </conditionalFormatting>
  <conditionalFormatting sqref="M9">
    <cfRule type="cellIs" dxfId="554" priority="6" operator="equal">
      <formula>"RECEITA"</formula>
    </cfRule>
    <cfRule type="cellIs" dxfId="553" priority="7" operator="equal">
      <formula>"DESPESA"</formula>
    </cfRule>
    <cfRule type="cellIs" dxfId="552" priority="8" operator="equal">
      <formula>"RECEITA"</formula>
    </cfRule>
    <cfRule type="cellIs" dxfId="551" priority="9" operator="equal">
      <formula>"DESPESA"</formula>
    </cfRule>
    <cfRule type="cellIs" dxfId="550" priority="10" operator="equal">
      <formula>"RECEITA"</formula>
    </cfRule>
    <cfRule type="cellIs" dxfId="549" priority="11" operator="equal">
      <formula>"DESPESA"</formula>
    </cfRule>
  </conditionalFormatting>
  <conditionalFormatting sqref="N10">
    <cfRule type="cellIs" dxfId="548" priority="1" operator="greaterThan">
      <formula>0</formula>
    </cfRule>
    <cfRule type="cellIs" dxfId="547" priority="2" operator="greaterThan">
      <formula>0</formula>
    </cfRule>
    <cfRule type="cellIs" dxfId="546" priority="3" operator="greaterThan">
      <formula>0</formula>
    </cfRule>
    <cfRule type="cellIs" dxfId="545" priority="4" operator="lessThan">
      <formula>0</formula>
    </cfRule>
    <cfRule type="cellIs" dxfId="544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41" priority="36" operator="equal">
      <formula>"RECEITA"</formula>
    </cfRule>
    <cfRule type="cellIs" dxfId="540" priority="37" operator="equal">
      <formula>"DESPESA"</formula>
    </cfRule>
    <cfRule type="cellIs" dxfId="539" priority="38" operator="equal">
      <formula>"RECEITA"</formula>
    </cfRule>
    <cfRule type="cellIs" dxfId="538" priority="39" operator="equal">
      <formula>"DESPESA"</formula>
    </cfRule>
    <cfRule type="cellIs" dxfId="537" priority="40" operator="equal">
      <formula>"RECEITA"</formula>
    </cfRule>
    <cfRule type="cellIs" dxfId="536" priority="41" operator="equal">
      <formula>"DESPESA"</formula>
    </cfRule>
  </conditionalFormatting>
  <conditionalFormatting sqref="M8">
    <cfRule type="cellIs" dxfId="535" priority="30" operator="equal">
      <formula>"RECEITA"</formula>
    </cfRule>
    <cfRule type="cellIs" dxfId="534" priority="31" operator="equal">
      <formula>"DESPESA"</formula>
    </cfRule>
    <cfRule type="cellIs" dxfId="533" priority="32" operator="equal">
      <formula>"RECEITA"</formula>
    </cfRule>
    <cfRule type="cellIs" dxfId="532" priority="33" operator="equal">
      <formula>"DESPESA"</formula>
    </cfRule>
    <cfRule type="cellIs" dxfId="531" priority="34" operator="equal">
      <formula>"RECEITA"</formula>
    </cfRule>
    <cfRule type="cellIs" dxfId="530" priority="35" operator="equal">
      <formula>"DESPESA"</formula>
    </cfRule>
  </conditionalFormatting>
  <conditionalFormatting sqref="M9">
    <cfRule type="cellIs" dxfId="529" priority="24" operator="equal">
      <formula>"RECEITA"</formula>
    </cfRule>
    <cfRule type="cellIs" dxfId="528" priority="25" operator="equal">
      <formula>"DESPESA"</formula>
    </cfRule>
    <cfRule type="cellIs" dxfId="527" priority="26" operator="equal">
      <formula>"RECEITA"</formula>
    </cfRule>
    <cfRule type="cellIs" dxfId="526" priority="27" operator="equal">
      <formula>"DESPESA"</formula>
    </cfRule>
    <cfRule type="cellIs" dxfId="525" priority="28" operator="equal">
      <formula>"RECEITA"</formula>
    </cfRule>
    <cfRule type="cellIs" dxfId="524" priority="29" operator="equal">
      <formula>"DESPESA"</formula>
    </cfRule>
  </conditionalFormatting>
  <conditionalFormatting sqref="N10">
    <cfRule type="cellIs" dxfId="523" priority="19" operator="greaterThan">
      <formula>0</formula>
    </cfRule>
    <cfRule type="cellIs" dxfId="522" priority="20" operator="greaterThan">
      <formula>0</formula>
    </cfRule>
    <cfRule type="cellIs" dxfId="521" priority="21" operator="greaterThan">
      <formula>0</formula>
    </cfRule>
    <cfRule type="cellIs" dxfId="520" priority="22" operator="lessThan">
      <formula>0</formula>
    </cfRule>
    <cfRule type="cellIs" dxfId="519" priority="23" operator="greaterThan">
      <formula>0</formula>
    </cfRule>
  </conditionalFormatting>
  <conditionalFormatting sqref="E7:E84">
    <cfRule type="cellIs" dxfId="518" priority="7" operator="equal">
      <formula>"RECEITA"</formula>
    </cfRule>
    <cfRule type="cellIs" dxfId="517" priority="8" operator="equal">
      <formula>"DESPESA"</formula>
    </cfRule>
    <cfRule type="cellIs" dxfId="516" priority="9" operator="equal">
      <formula>"RECEITA"</formula>
    </cfRule>
    <cfRule type="cellIs" dxfId="515" priority="10" operator="equal">
      <formula>"DESPESA"</formula>
    </cfRule>
    <cfRule type="cellIs" dxfId="514" priority="11" operator="equal">
      <formula>"RECEITA"</formula>
    </cfRule>
    <cfRule type="cellIs" dxfId="513" priority="12" operator="equal">
      <formula>"DESPESA"</formula>
    </cfRule>
  </conditionalFormatting>
  <conditionalFormatting sqref="D7:D84">
    <cfRule type="cellIs" dxfId="512" priority="3" operator="equal">
      <formula>"RECEITA"</formula>
    </cfRule>
    <cfRule type="cellIs" dxfId="511" priority="4" operator="equal">
      <formula>"DESPESA"</formula>
    </cfRule>
    <cfRule type="cellIs" dxfId="510" priority="5" operator="equal">
      <formula>"RECEITA"</formula>
    </cfRule>
    <cfRule type="cellIs" dxfId="50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tabSelected="1" zoomScale="90" zoomScaleNormal="9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06" priority="36" operator="equal">
      <formula>"RECEITA"</formula>
    </cfRule>
    <cfRule type="cellIs" dxfId="505" priority="37" operator="equal">
      <formula>"DESPESA"</formula>
    </cfRule>
    <cfRule type="cellIs" dxfId="504" priority="38" operator="equal">
      <formula>"RECEITA"</formula>
    </cfRule>
    <cfRule type="cellIs" dxfId="503" priority="39" operator="equal">
      <formula>"DESPESA"</formula>
    </cfRule>
    <cfRule type="cellIs" dxfId="502" priority="40" operator="equal">
      <formula>"RECEITA"</formula>
    </cfRule>
    <cfRule type="cellIs" dxfId="501" priority="41" operator="equal">
      <formula>"DESPESA"</formula>
    </cfRule>
  </conditionalFormatting>
  <conditionalFormatting sqref="M8">
    <cfRule type="cellIs" dxfId="500" priority="30" operator="equal">
      <formula>"RECEITA"</formula>
    </cfRule>
    <cfRule type="cellIs" dxfId="499" priority="31" operator="equal">
      <formula>"DESPESA"</formula>
    </cfRule>
    <cfRule type="cellIs" dxfId="498" priority="32" operator="equal">
      <formula>"RECEITA"</formula>
    </cfRule>
    <cfRule type="cellIs" dxfId="497" priority="33" operator="equal">
      <formula>"DESPESA"</formula>
    </cfRule>
    <cfRule type="cellIs" dxfId="496" priority="34" operator="equal">
      <formula>"RECEITA"</formula>
    </cfRule>
    <cfRule type="cellIs" dxfId="495" priority="35" operator="equal">
      <formula>"DESPESA"</formula>
    </cfRule>
  </conditionalFormatting>
  <conditionalFormatting sqref="M9">
    <cfRule type="cellIs" dxfId="494" priority="24" operator="equal">
      <formula>"RECEITA"</formula>
    </cfRule>
    <cfRule type="cellIs" dxfId="493" priority="25" operator="equal">
      <formula>"DESPESA"</formula>
    </cfRule>
    <cfRule type="cellIs" dxfId="492" priority="26" operator="equal">
      <formula>"RECEITA"</formula>
    </cfRule>
    <cfRule type="cellIs" dxfId="491" priority="27" operator="equal">
      <formula>"DESPESA"</formula>
    </cfRule>
    <cfRule type="cellIs" dxfId="490" priority="28" operator="equal">
      <formula>"RECEITA"</formula>
    </cfRule>
    <cfRule type="cellIs" dxfId="489" priority="29" operator="equal">
      <formula>"DESPESA"</formula>
    </cfRule>
  </conditionalFormatting>
  <conditionalFormatting sqref="N10">
    <cfRule type="cellIs" dxfId="488" priority="19" operator="greaterThan">
      <formula>0</formula>
    </cfRule>
    <cfRule type="cellIs" dxfId="487" priority="20" operator="greaterThan">
      <formula>0</formula>
    </cfRule>
    <cfRule type="cellIs" dxfId="486" priority="21" operator="greaterThan">
      <formula>0</formula>
    </cfRule>
    <cfRule type="cellIs" dxfId="485" priority="22" operator="lessThan">
      <formula>0</formula>
    </cfRule>
    <cfRule type="cellIs" dxfId="484" priority="23" operator="greaterThan">
      <formula>0</formula>
    </cfRule>
  </conditionalFormatting>
  <conditionalFormatting sqref="E7:E84">
    <cfRule type="cellIs" dxfId="483" priority="7" operator="equal">
      <formula>"RECEITA"</formula>
    </cfRule>
    <cfRule type="cellIs" dxfId="482" priority="8" operator="equal">
      <formula>"DESPESA"</formula>
    </cfRule>
    <cfRule type="cellIs" dxfId="481" priority="9" operator="equal">
      <formula>"RECEITA"</formula>
    </cfRule>
    <cfRule type="cellIs" dxfId="480" priority="10" operator="equal">
      <formula>"DESPESA"</formula>
    </cfRule>
    <cfRule type="cellIs" dxfId="479" priority="11" operator="equal">
      <formula>"RECEITA"</formula>
    </cfRule>
    <cfRule type="cellIs" dxfId="478" priority="12" operator="equal">
      <formula>"DESPESA"</formula>
    </cfRule>
  </conditionalFormatting>
  <conditionalFormatting sqref="D7:D84">
    <cfRule type="cellIs" dxfId="477" priority="3" operator="equal">
      <formula>"RECEITA"</formula>
    </cfRule>
    <cfRule type="cellIs" dxfId="476" priority="4" operator="equal">
      <formula>"DESPESA"</formula>
    </cfRule>
    <cfRule type="cellIs" dxfId="475" priority="5" operator="equal">
      <formula>"RECEITA"</formula>
    </cfRule>
    <cfRule type="cellIs" dxfId="47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71" priority="36" operator="equal">
      <formula>"RECEITA"</formula>
    </cfRule>
    <cfRule type="cellIs" dxfId="470" priority="37" operator="equal">
      <formula>"DESPESA"</formula>
    </cfRule>
    <cfRule type="cellIs" dxfId="469" priority="38" operator="equal">
      <formula>"RECEITA"</formula>
    </cfRule>
    <cfRule type="cellIs" dxfId="468" priority="39" operator="equal">
      <formula>"DESPESA"</formula>
    </cfRule>
    <cfRule type="cellIs" dxfId="467" priority="40" operator="equal">
      <formula>"RECEITA"</formula>
    </cfRule>
    <cfRule type="cellIs" dxfId="466" priority="41" operator="equal">
      <formula>"DESPESA"</formula>
    </cfRule>
  </conditionalFormatting>
  <conditionalFormatting sqref="M8">
    <cfRule type="cellIs" dxfId="465" priority="30" operator="equal">
      <formula>"RECEITA"</formula>
    </cfRule>
    <cfRule type="cellIs" dxfId="464" priority="31" operator="equal">
      <formula>"DESPESA"</formula>
    </cfRule>
    <cfRule type="cellIs" dxfId="463" priority="32" operator="equal">
      <formula>"RECEITA"</formula>
    </cfRule>
    <cfRule type="cellIs" dxfId="462" priority="33" operator="equal">
      <formula>"DESPESA"</formula>
    </cfRule>
    <cfRule type="cellIs" dxfId="461" priority="34" operator="equal">
      <formula>"RECEITA"</formula>
    </cfRule>
    <cfRule type="cellIs" dxfId="460" priority="35" operator="equal">
      <formula>"DESPESA"</formula>
    </cfRule>
  </conditionalFormatting>
  <conditionalFormatting sqref="M9">
    <cfRule type="cellIs" dxfId="459" priority="24" operator="equal">
      <formula>"RECEITA"</formula>
    </cfRule>
    <cfRule type="cellIs" dxfId="458" priority="25" operator="equal">
      <formula>"DESPESA"</formula>
    </cfRule>
    <cfRule type="cellIs" dxfId="457" priority="26" operator="equal">
      <formula>"RECEITA"</formula>
    </cfRule>
    <cfRule type="cellIs" dxfId="456" priority="27" operator="equal">
      <formula>"DESPESA"</formula>
    </cfRule>
    <cfRule type="cellIs" dxfId="455" priority="28" operator="equal">
      <formula>"RECEITA"</formula>
    </cfRule>
    <cfRule type="cellIs" dxfId="454" priority="29" operator="equal">
      <formula>"DESPESA"</formula>
    </cfRule>
  </conditionalFormatting>
  <conditionalFormatting sqref="N10">
    <cfRule type="cellIs" dxfId="453" priority="19" operator="greaterThan">
      <formula>0</formula>
    </cfRule>
    <cfRule type="cellIs" dxfId="452" priority="20" operator="greaterThan">
      <formula>0</formula>
    </cfRule>
    <cfRule type="cellIs" dxfId="451" priority="21" operator="greaterThan">
      <formula>0</formula>
    </cfRule>
    <cfRule type="cellIs" dxfId="450" priority="22" operator="lessThan">
      <formula>0</formula>
    </cfRule>
    <cfRule type="cellIs" dxfId="449" priority="23" operator="greaterThan">
      <formula>0</formula>
    </cfRule>
  </conditionalFormatting>
  <conditionalFormatting sqref="E7:E84">
    <cfRule type="cellIs" dxfId="448" priority="7" operator="equal">
      <formula>"RECEITA"</formula>
    </cfRule>
    <cfRule type="cellIs" dxfId="447" priority="8" operator="equal">
      <formula>"DESPESA"</formula>
    </cfRule>
    <cfRule type="cellIs" dxfId="446" priority="9" operator="equal">
      <formula>"RECEITA"</formula>
    </cfRule>
    <cfRule type="cellIs" dxfId="445" priority="10" operator="equal">
      <formula>"DESPESA"</formula>
    </cfRule>
    <cfRule type="cellIs" dxfId="444" priority="11" operator="equal">
      <formula>"RECEITA"</formula>
    </cfRule>
    <cfRule type="cellIs" dxfId="443" priority="12" operator="equal">
      <formula>"DESPESA"</formula>
    </cfRule>
  </conditionalFormatting>
  <conditionalFormatting sqref="D7:D84">
    <cfRule type="cellIs" dxfId="442" priority="3" operator="equal">
      <formula>"RECEITA"</formula>
    </cfRule>
    <cfRule type="cellIs" dxfId="441" priority="4" operator="equal">
      <formula>"DESPESA"</formula>
    </cfRule>
    <cfRule type="cellIs" dxfId="440" priority="5" operator="equal">
      <formula>"RECEITA"</formula>
    </cfRule>
    <cfRule type="cellIs" dxfId="43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36" priority="36" operator="equal">
      <formula>"RECEITA"</formula>
    </cfRule>
    <cfRule type="cellIs" dxfId="435" priority="37" operator="equal">
      <formula>"DESPESA"</formula>
    </cfRule>
    <cfRule type="cellIs" dxfId="434" priority="38" operator="equal">
      <formula>"RECEITA"</formula>
    </cfRule>
    <cfRule type="cellIs" dxfId="433" priority="39" operator="equal">
      <formula>"DESPESA"</formula>
    </cfRule>
    <cfRule type="cellIs" dxfId="432" priority="40" operator="equal">
      <formula>"RECEITA"</formula>
    </cfRule>
    <cfRule type="cellIs" dxfId="431" priority="41" operator="equal">
      <formula>"DESPESA"</formula>
    </cfRule>
  </conditionalFormatting>
  <conditionalFormatting sqref="M8">
    <cfRule type="cellIs" dxfId="430" priority="30" operator="equal">
      <formula>"RECEITA"</formula>
    </cfRule>
    <cfRule type="cellIs" dxfId="429" priority="31" operator="equal">
      <formula>"DESPESA"</formula>
    </cfRule>
    <cfRule type="cellIs" dxfId="428" priority="32" operator="equal">
      <formula>"RECEITA"</formula>
    </cfRule>
    <cfRule type="cellIs" dxfId="427" priority="33" operator="equal">
      <formula>"DESPESA"</formula>
    </cfRule>
    <cfRule type="cellIs" dxfId="426" priority="34" operator="equal">
      <formula>"RECEITA"</formula>
    </cfRule>
    <cfRule type="cellIs" dxfId="425" priority="35" operator="equal">
      <formula>"DESPESA"</formula>
    </cfRule>
  </conditionalFormatting>
  <conditionalFormatting sqref="M9">
    <cfRule type="cellIs" dxfId="424" priority="24" operator="equal">
      <formula>"RECEITA"</formula>
    </cfRule>
    <cfRule type="cellIs" dxfId="423" priority="25" operator="equal">
      <formula>"DESPESA"</formula>
    </cfRule>
    <cfRule type="cellIs" dxfId="422" priority="26" operator="equal">
      <formula>"RECEITA"</formula>
    </cfRule>
    <cfRule type="cellIs" dxfId="421" priority="27" operator="equal">
      <formula>"DESPESA"</formula>
    </cfRule>
    <cfRule type="cellIs" dxfId="420" priority="28" operator="equal">
      <formula>"RECEITA"</formula>
    </cfRule>
    <cfRule type="cellIs" dxfId="419" priority="29" operator="equal">
      <formula>"DESPESA"</formula>
    </cfRule>
  </conditionalFormatting>
  <conditionalFormatting sqref="N10">
    <cfRule type="cellIs" dxfId="418" priority="19" operator="greaterThan">
      <formula>0</formula>
    </cfRule>
    <cfRule type="cellIs" dxfId="417" priority="20" operator="greaterThan">
      <formula>0</formula>
    </cfRule>
    <cfRule type="cellIs" dxfId="416" priority="21" operator="greaterThan">
      <formula>0</formula>
    </cfRule>
    <cfRule type="cellIs" dxfId="415" priority="22" operator="lessThan">
      <formula>0</formula>
    </cfRule>
    <cfRule type="cellIs" dxfId="414" priority="23" operator="greaterThan">
      <formula>0</formula>
    </cfRule>
  </conditionalFormatting>
  <conditionalFormatting sqref="E7:E84">
    <cfRule type="cellIs" dxfId="413" priority="7" operator="equal">
      <formula>"RECEITA"</formula>
    </cfRule>
    <cfRule type="cellIs" dxfId="412" priority="8" operator="equal">
      <formula>"DESPESA"</formula>
    </cfRule>
    <cfRule type="cellIs" dxfId="411" priority="9" operator="equal">
      <formula>"RECEITA"</formula>
    </cfRule>
    <cfRule type="cellIs" dxfId="410" priority="10" operator="equal">
      <formula>"DESPESA"</formula>
    </cfRule>
    <cfRule type="cellIs" dxfId="409" priority="11" operator="equal">
      <formula>"RECEITA"</formula>
    </cfRule>
    <cfRule type="cellIs" dxfId="408" priority="12" operator="equal">
      <formula>"DESPESA"</formula>
    </cfRule>
  </conditionalFormatting>
  <conditionalFormatting sqref="D7:D84">
    <cfRule type="cellIs" dxfId="407" priority="3" operator="equal">
      <formula>"RECEITA"</formula>
    </cfRule>
    <cfRule type="cellIs" dxfId="406" priority="4" operator="equal">
      <formula>"DESPESA"</formula>
    </cfRule>
    <cfRule type="cellIs" dxfId="405" priority="5" operator="equal">
      <formula>"RECEITA"</formula>
    </cfRule>
    <cfRule type="cellIs" dxfId="40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pane xSplit="5" ySplit="8" topLeftCell="N9" activePane="bottomRight" state="frozen"/>
      <selection activeCell="I1" sqref="I1"/>
      <selection pane="topRight" activeCell="N1" sqref="N1"/>
      <selection pane="bottomLeft" activeCell="I9" sqref="I9"/>
      <selection pane="bottomRigh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401" priority="36" operator="equal">
      <formula>"RECEITA"</formula>
    </cfRule>
    <cfRule type="cellIs" dxfId="400" priority="37" operator="equal">
      <formula>"DESPESA"</formula>
    </cfRule>
    <cfRule type="cellIs" dxfId="399" priority="38" operator="equal">
      <formula>"RECEITA"</formula>
    </cfRule>
    <cfRule type="cellIs" dxfId="398" priority="39" operator="equal">
      <formula>"DESPESA"</formula>
    </cfRule>
    <cfRule type="cellIs" dxfId="397" priority="40" operator="equal">
      <formula>"RECEITA"</formula>
    </cfRule>
    <cfRule type="cellIs" dxfId="396" priority="41" operator="equal">
      <formula>"DESPESA"</formula>
    </cfRule>
  </conditionalFormatting>
  <conditionalFormatting sqref="M8">
    <cfRule type="cellIs" dxfId="395" priority="30" operator="equal">
      <formula>"RECEITA"</formula>
    </cfRule>
    <cfRule type="cellIs" dxfId="394" priority="31" operator="equal">
      <formula>"DESPESA"</formula>
    </cfRule>
    <cfRule type="cellIs" dxfId="393" priority="32" operator="equal">
      <formula>"RECEITA"</formula>
    </cfRule>
    <cfRule type="cellIs" dxfId="392" priority="33" operator="equal">
      <formula>"DESPESA"</formula>
    </cfRule>
    <cfRule type="cellIs" dxfId="391" priority="34" operator="equal">
      <formula>"RECEITA"</formula>
    </cfRule>
    <cfRule type="cellIs" dxfId="390" priority="35" operator="equal">
      <formula>"DESPESA"</formula>
    </cfRule>
  </conditionalFormatting>
  <conditionalFormatting sqref="M9">
    <cfRule type="cellIs" dxfId="389" priority="24" operator="equal">
      <formula>"RECEITA"</formula>
    </cfRule>
    <cfRule type="cellIs" dxfId="388" priority="25" operator="equal">
      <formula>"DESPESA"</formula>
    </cfRule>
    <cfRule type="cellIs" dxfId="387" priority="26" operator="equal">
      <formula>"RECEITA"</formula>
    </cfRule>
    <cfRule type="cellIs" dxfId="386" priority="27" operator="equal">
      <formula>"DESPESA"</formula>
    </cfRule>
    <cfRule type="cellIs" dxfId="385" priority="28" operator="equal">
      <formula>"RECEITA"</formula>
    </cfRule>
    <cfRule type="cellIs" dxfId="384" priority="29" operator="equal">
      <formula>"DESPESA"</formula>
    </cfRule>
  </conditionalFormatting>
  <conditionalFormatting sqref="N10">
    <cfRule type="cellIs" dxfId="383" priority="19" operator="greaterThan">
      <formula>0</formula>
    </cfRule>
    <cfRule type="cellIs" dxfId="382" priority="20" operator="greaterThan">
      <formula>0</formula>
    </cfRule>
    <cfRule type="cellIs" dxfId="381" priority="21" operator="greaterThan">
      <formula>0</formula>
    </cfRule>
    <cfRule type="cellIs" dxfId="380" priority="22" operator="lessThan">
      <formula>0</formula>
    </cfRule>
    <cfRule type="cellIs" dxfId="379" priority="23" operator="greaterThan">
      <formula>0</formula>
    </cfRule>
  </conditionalFormatting>
  <conditionalFormatting sqref="E7:E84">
    <cfRule type="cellIs" dxfId="378" priority="7" operator="equal">
      <formula>"RECEITA"</formula>
    </cfRule>
    <cfRule type="cellIs" dxfId="377" priority="8" operator="equal">
      <formula>"DESPESA"</formula>
    </cfRule>
    <cfRule type="cellIs" dxfId="376" priority="9" operator="equal">
      <formula>"RECEITA"</formula>
    </cfRule>
    <cfRule type="cellIs" dxfId="375" priority="10" operator="equal">
      <formula>"DESPESA"</formula>
    </cfRule>
    <cfRule type="cellIs" dxfId="374" priority="11" operator="equal">
      <formula>"RECEITA"</formula>
    </cfRule>
    <cfRule type="cellIs" dxfId="373" priority="12" operator="equal">
      <formula>"DESPESA"</formula>
    </cfRule>
  </conditionalFormatting>
  <conditionalFormatting sqref="D7:D84">
    <cfRule type="cellIs" dxfId="372" priority="3" operator="equal">
      <formula>"RECEITA"</formula>
    </cfRule>
    <cfRule type="cellIs" dxfId="371" priority="4" operator="equal">
      <formula>"DESPESA"</formula>
    </cfRule>
    <cfRule type="cellIs" dxfId="370" priority="5" operator="equal">
      <formula>"RECEITA"</formula>
    </cfRule>
    <cfRule type="cellIs" dxfId="36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66" priority="36" operator="equal">
      <formula>"RECEITA"</formula>
    </cfRule>
    <cfRule type="cellIs" dxfId="365" priority="37" operator="equal">
      <formula>"DESPESA"</formula>
    </cfRule>
    <cfRule type="cellIs" dxfId="364" priority="38" operator="equal">
      <formula>"RECEITA"</formula>
    </cfRule>
    <cfRule type="cellIs" dxfId="363" priority="39" operator="equal">
      <formula>"DESPESA"</formula>
    </cfRule>
    <cfRule type="cellIs" dxfId="362" priority="40" operator="equal">
      <formula>"RECEITA"</formula>
    </cfRule>
    <cfRule type="cellIs" dxfId="361" priority="41" operator="equal">
      <formula>"DESPESA"</formula>
    </cfRule>
  </conditionalFormatting>
  <conditionalFormatting sqref="M8">
    <cfRule type="cellIs" dxfId="360" priority="30" operator="equal">
      <formula>"RECEITA"</formula>
    </cfRule>
    <cfRule type="cellIs" dxfId="359" priority="31" operator="equal">
      <formula>"DESPESA"</formula>
    </cfRule>
    <cfRule type="cellIs" dxfId="358" priority="32" operator="equal">
      <formula>"RECEITA"</formula>
    </cfRule>
    <cfRule type="cellIs" dxfId="357" priority="33" operator="equal">
      <formula>"DESPESA"</formula>
    </cfRule>
    <cfRule type="cellIs" dxfId="356" priority="34" operator="equal">
      <formula>"RECEITA"</formula>
    </cfRule>
    <cfRule type="cellIs" dxfId="355" priority="35" operator="equal">
      <formula>"DESPESA"</formula>
    </cfRule>
  </conditionalFormatting>
  <conditionalFormatting sqref="M9">
    <cfRule type="cellIs" dxfId="354" priority="24" operator="equal">
      <formula>"RECEITA"</formula>
    </cfRule>
    <cfRule type="cellIs" dxfId="353" priority="25" operator="equal">
      <formula>"DESPESA"</formula>
    </cfRule>
    <cfRule type="cellIs" dxfId="352" priority="26" operator="equal">
      <formula>"RECEITA"</formula>
    </cfRule>
    <cfRule type="cellIs" dxfId="351" priority="27" operator="equal">
      <formula>"DESPESA"</formula>
    </cfRule>
    <cfRule type="cellIs" dxfId="350" priority="28" operator="equal">
      <formula>"RECEITA"</formula>
    </cfRule>
    <cfRule type="cellIs" dxfId="349" priority="29" operator="equal">
      <formula>"DESPESA"</formula>
    </cfRule>
  </conditionalFormatting>
  <conditionalFormatting sqref="N10">
    <cfRule type="cellIs" dxfId="348" priority="19" operator="greaterThan">
      <formula>0</formula>
    </cfRule>
    <cfRule type="cellIs" dxfId="347" priority="20" operator="greaterThan">
      <formula>0</formula>
    </cfRule>
    <cfRule type="cellIs" dxfId="346" priority="21" operator="greaterThan">
      <formula>0</formula>
    </cfRule>
    <cfRule type="cellIs" dxfId="345" priority="22" operator="lessThan">
      <formula>0</formula>
    </cfRule>
    <cfRule type="cellIs" dxfId="344" priority="23" operator="greaterThan">
      <formula>0</formula>
    </cfRule>
  </conditionalFormatting>
  <conditionalFormatting sqref="E7:E84">
    <cfRule type="cellIs" dxfId="343" priority="7" operator="equal">
      <formula>"RECEITA"</formula>
    </cfRule>
    <cfRule type="cellIs" dxfId="342" priority="8" operator="equal">
      <formula>"DESPESA"</formula>
    </cfRule>
    <cfRule type="cellIs" dxfId="341" priority="9" operator="equal">
      <formula>"RECEITA"</formula>
    </cfRule>
    <cfRule type="cellIs" dxfId="340" priority="10" operator="equal">
      <formula>"DESPESA"</formula>
    </cfRule>
    <cfRule type="cellIs" dxfId="339" priority="11" operator="equal">
      <formula>"RECEITA"</formula>
    </cfRule>
    <cfRule type="cellIs" dxfId="338" priority="12" operator="equal">
      <formula>"DESPESA"</formula>
    </cfRule>
  </conditionalFormatting>
  <conditionalFormatting sqref="D7:D84">
    <cfRule type="cellIs" dxfId="337" priority="3" operator="equal">
      <formula>"RECEITA"</formula>
    </cfRule>
    <cfRule type="cellIs" dxfId="336" priority="4" operator="equal">
      <formula>"DESPESA"</formula>
    </cfRule>
    <cfRule type="cellIs" dxfId="335" priority="5" operator="equal">
      <formula>"RECEITA"</formula>
    </cfRule>
    <cfRule type="cellIs" dxfId="33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31" priority="36" operator="equal">
      <formula>"RECEITA"</formula>
    </cfRule>
    <cfRule type="cellIs" dxfId="330" priority="37" operator="equal">
      <formula>"DESPESA"</formula>
    </cfRule>
    <cfRule type="cellIs" dxfId="329" priority="38" operator="equal">
      <formula>"RECEITA"</formula>
    </cfRule>
    <cfRule type="cellIs" dxfId="328" priority="39" operator="equal">
      <formula>"DESPESA"</formula>
    </cfRule>
    <cfRule type="cellIs" dxfId="327" priority="40" operator="equal">
      <formula>"RECEITA"</formula>
    </cfRule>
    <cfRule type="cellIs" dxfId="326" priority="41" operator="equal">
      <formula>"DESPESA"</formula>
    </cfRule>
  </conditionalFormatting>
  <conditionalFormatting sqref="M8">
    <cfRule type="cellIs" dxfId="325" priority="30" operator="equal">
      <formula>"RECEITA"</formula>
    </cfRule>
    <cfRule type="cellIs" dxfId="324" priority="31" operator="equal">
      <formula>"DESPESA"</formula>
    </cfRule>
    <cfRule type="cellIs" dxfId="323" priority="32" operator="equal">
      <formula>"RECEITA"</formula>
    </cfRule>
    <cfRule type="cellIs" dxfId="322" priority="33" operator="equal">
      <formula>"DESPESA"</formula>
    </cfRule>
    <cfRule type="cellIs" dxfId="321" priority="34" operator="equal">
      <formula>"RECEITA"</formula>
    </cfRule>
    <cfRule type="cellIs" dxfId="320" priority="35" operator="equal">
      <formula>"DESPESA"</formula>
    </cfRule>
  </conditionalFormatting>
  <conditionalFormatting sqref="M9">
    <cfRule type="cellIs" dxfId="319" priority="24" operator="equal">
      <formula>"RECEITA"</formula>
    </cfRule>
    <cfRule type="cellIs" dxfId="318" priority="25" operator="equal">
      <formula>"DESPESA"</formula>
    </cfRule>
    <cfRule type="cellIs" dxfId="317" priority="26" operator="equal">
      <formula>"RECEITA"</formula>
    </cfRule>
    <cfRule type="cellIs" dxfId="316" priority="27" operator="equal">
      <formula>"DESPESA"</formula>
    </cfRule>
    <cfRule type="cellIs" dxfId="315" priority="28" operator="equal">
      <formula>"RECEITA"</formula>
    </cfRule>
    <cfRule type="cellIs" dxfId="314" priority="29" operator="equal">
      <formula>"DESPESA"</formula>
    </cfRule>
  </conditionalFormatting>
  <conditionalFormatting sqref="N10">
    <cfRule type="cellIs" dxfId="313" priority="19" operator="greaterThan">
      <formula>0</formula>
    </cfRule>
    <cfRule type="cellIs" dxfId="312" priority="20" operator="greaterThan">
      <formula>0</formula>
    </cfRule>
    <cfRule type="cellIs" dxfId="311" priority="21" operator="greaterThan">
      <formula>0</formula>
    </cfRule>
    <cfRule type="cellIs" dxfId="310" priority="22" operator="lessThan">
      <formula>0</formula>
    </cfRule>
    <cfRule type="cellIs" dxfId="309" priority="23" operator="greaterThan">
      <formula>0</formula>
    </cfRule>
  </conditionalFormatting>
  <conditionalFormatting sqref="E7:E84">
    <cfRule type="cellIs" dxfId="308" priority="7" operator="equal">
      <formula>"RECEITA"</formula>
    </cfRule>
    <cfRule type="cellIs" dxfId="307" priority="8" operator="equal">
      <formula>"DESPESA"</formula>
    </cfRule>
    <cfRule type="cellIs" dxfId="306" priority="9" operator="equal">
      <formula>"RECEITA"</formula>
    </cfRule>
    <cfRule type="cellIs" dxfId="305" priority="10" operator="equal">
      <formula>"DESPESA"</formula>
    </cfRule>
    <cfRule type="cellIs" dxfId="304" priority="11" operator="equal">
      <formula>"RECEITA"</formula>
    </cfRule>
    <cfRule type="cellIs" dxfId="303" priority="12" operator="equal">
      <formula>"DESPESA"</formula>
    </cfRule>
  </conditionalFormatting>
  <conditionalFormatting sqref="D7:D84">
    <cfRule type="cellIs" dxfId="302" priority="3" operator="equal">
      <formula>"RECEITA"</formula>
    </cfRule>
    <cfRule type="cellIs" dxfId="301" priority="4" operator="equal">
      <formula>"DESPESA"</formula>
    </cfRule>
    <cfRule type="cellIs" dxfId="300" priority="5" operator="equal">
      <formula>"RECEITA"</formula>
    </cfRule>
    <cfRule type="cellIs" dxfId="29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296" priority="36" operator="equal">
      <formula>"RECEITA"</formula>
    </cfRule>
    <cfRule type="cellIs" dxfId="295" priority="37" operator="equal">
      <formula>"DESPESA"</formula>
    </cfRule>
    <cfRule type="cellIs" dxfId="294" priority="38" operator="equal">
      <formula>"RECEITA"</formula>
    </cfRule>
    <cfRule type="cellIs" dxfId="293" priority="39" operator="equal">
      <formula>"DESPESA"</formula>
    </cfRule>
    <cfRule type="cellIs" dxfId="292" priority="40" operator="equal">
      <formula>"RECEITA"</formula>
    </cfRule>
    <cfRule type="cellIs" dxfId="291" priority="41" operator="equal">
      <formula>"DESPESA"</formula>
    </cfRule>
  </conditionalFormatting>
  <conditionalFormatting sqref="M8">
    <cfRule type="cellIs" dxfId="290" priority="30" operator="equal">
      <formula>"RECEITA"</formula>
    </cfRule>
    <cfRule type="cellIs" dxfId="289" priority="31" operator="equal">
      <formula>"DESPESA"</formula>
    </cfRule>
    <cfRule type="cellIs" dxfId="288" priority="32" operator="equal">
      <formula>"RECEITA"</formula>
    </cfRule>
    <cfRule type="cellIs" dxfId="287" priority="33" operator="equal">
      <formula>"DESPESA"</formula>
    </cfRule>
    <cfRule type="cellIs" dxfId="286" priority="34" operator="equal">
      <formula>"RECEITA"</formula>
    </cfRule>
    <cfRule type="cellIs" dxfId="285" priority="35" operator="equal">
      <formula>"DESPESA"</formula>
    </cfRule>
  </conditionalFormatting>
  <conditionalFormatting sqref="M9">
    <cfRule type="cellIs" dxfId="284" priority="24" operator="equal">
      <formula>"RECEITA"</formula>
    </cfRule>
    <cfRule type="cellIs" dxfId="283" priority="25" operator="equal">
      <formula>"DESPESA"</formula>
    </cfRule>
    <cfRule type="cellIs" dxfId="282" priority="26" operator="equal">
      <formula>"RECEITA"</formula>
    </cfRule>
    <cfRule type="cellIs" dxfId="281" priority="27" operator="equal">
      <formula>"DESPESA"</formula>
    </cfRule>
    <cfRule type="cellIs" dxfId="280" priority="28" operator="equal">
      <formula>"RECEITA"</formula>
    </cfRule>
    <cfRule type="cellIs" dxfId="279" priority="29" operator="equal">
      <formula>"DESPESA"</formula>
    </cfRule>
  </conditionalFormatting>
  <conditionalFormatting sqref="N10">
    <cfRule type="cellIs" dxfId="278" priority="19" operator="greaterThan">
      <formula>0</formula>
    </cfRule>
    <cfRule type="cellIs" dxfId="277" priority="20" operator="greaterThan">
      <formula>0</formula>
    </cfRule>
    <cfRule type="cellIs" dxfId="276" priority="21" operator="greaterThan">
      <formula>0</formula>
    </cfRule>
    <cfRule type="cellIs" dxfId="275" priority="22" operator="lessThan">
      <formula>0</formula>
    </cfRule>
    <cfRule type="cellIs" dxfId="274" priority="23" operator="greaterThan">
      <formula>0</formula>
    </cfRule>
  </conditionalFormatting>
  <conditionalFormatting sqref="E7:E84">
    <cfRule type="cellIs" dxfId="273" priority="7" operator="equal">
      <formula>"RECEITA"</formula>
    </cfRule>
    <cfRule type="cellIs" dxfId="272" priority="8" operator="equal">
      <formula>"DESPESA"</formula>
    </cfRule>
    <cfRule type="cellIs" dxfId="271" priority="9" operator="equal">
      <formula>"RECEITA"</formula>
    </cfRule>
    <cfRule type="cellIs" dxfId="270" priority="10" operator="equal">
      <formula>"DESPESA"</formula>
    </cfRule>
    <cfRule type="cellIs" dxfId="269" priority="11" operator="equal">
      <formula>"RECEITA"</formula>
    </cfRule>
    <cfRule type="cellIs" dxfId="268" priority="12" operator="equal">
      <formula>"DESPESA"</formula>
    </cfRule>
  </conditionalFormatting>
  <conditionalFormatting sqref="D7:D84">
    <cfRule type="cellIs" dxfId="267" priority="3" operator="equal">
      <formula>"RECEITA"</formula>
    </cfRule>
    <cfRule type="cellIs" dxfId="266" priority="4" operator="equal">
      <formula>"DESPESA"</formula>
    </cfRule>
    <cfRule type="cellIs" dxfId="265" priority="5" operator="equal">
      <formula>"RECEITA"</formula>
    </cfRule>
    <cfRule type="cellIs" dxfId="264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pane ySplit="6" topLeftCell="A22" activePane="bottomLeft" state="frozen"/>
      <selection activeCell="A7" sqref="A7:XFD7"/>
      <selection pane="bottomLeft" activeCell="A7" sqref="A7:XFD7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61" priority="36" operator="equal">
      <formula>"RECEITA"</formula>
    </cfRule>
    <cfRule type="cellIs" dxfId="260" priority="37" operator="equal">
      <formula>"DESPESA"</formula>
    </cfRule>
    <cfRule type="cellIs" dxfId="259" priority="38" operator="equal">
      <formula>"RECEITA"</formula>
    </cfRule>
    <cfRule type="cellIs" dxfId="258" priority="39" operator="equal">
      <formula>"DESPESA"</formula>
    </cfRule>
    <cfRule type="cellIs" dxfId="257" priority="40" operator="equal">
      <formula>"RECEITA"</formula>
    </cfRule>
    <cfRule type="cellIs" dxfId="256" priority="41" operator="equal">
      <formula>"DESPESA"</formula>
    </cfRule>
  </conditionalFormatting>
  <conditionalFormatting sqref="M8">
    <cfRule type="cellIs" dxfId="255" priority="30" operator="equal">
      <formula>"RECEITA"</formula>
    </cfRule>
    <cfRule type="cellIs" dxfId="254" priority="31" operator="equal">
      <formula>"DESPESA"</formula>
    </cfRule>
    <cfRule type="cellIs" dxfId="253" priority="32" operator="equal">
      <formula>"RECEITA"</formula>
    </cfRule>
    <cfRule type="cellIs" dxfId="252" priority="33" operator="equal">
      <formula>"DESPESA"</formula>
    </cfRule>
    <cfRule type="cellIs" dxfId="251" priority="34" operator="equal">
      <formula>"RECEITA"</formula>
    </cfRule>
    <cfRule type="cellIs" dxfId="250" priority="35" operator="equal">
      <formula>"DESPESA"</formula>
    </cfRule>
  </conditionalFormatting>
  <conditionalFormatting sqref="M9">
    <cfRule type="cellIs" dxfId="249" priority="24" operator="equal">
      <formula>"RECEITA"</formula>
    </cfRule>
    <cfRule type="cellIs" dxfId="248" priority="25" operator="equal">
      <formula>"DESPESA"</formula>
    </cfRule>
    <cfRule type="cellIs" dxfId="247" priority="26" operator="equal">
      <formula>"RECEITA"</formula>
    </cfRule>
    <cfRule type="cellIs" dxfId="246" priority="27" operator="equal">
      <formula>"DESPESA"</formula>
    </cfRule>
    <cfRule type="cellIs" dxfId="245" priority="28" operator="equal">
      <formula>"RECEITA"</formula>
    </cfRule>
    <cfRule type="cellIs" dxfId="244" priority="29" operator="equal">
      <formula>"DESPESA"</formula>
    </cfRule>
  </conditionalFormatting>
  <conditionalFormatting sqref="N10">
    <cfRule type="cellIs" dxfId="243" priority="19" operator="greaterThan">
      <formula>0</formula>
    </cfRule>
    <cfRule type="cellIs" dxfId="242" priority="20" operator="greaterThan">
      <formula>0</formula>
    </cfRule>
    <cfRule type="cellIs" dxfId="241" priority="21" operator="greaterThan">
      <formula>0</formula>
    </cfRule>
    <cfRule type="cellIs" dxfId="240" priority="22" operator="lessThan">
      <formula>0</formula>
    </cfRule>
    <cfRule type="cellIs" dxfId="239" priority="23" operator="greaterThan">
      <formula>0</formula>
    </cfRule>
  </conditionalFormatting>
  <conditionalFormatting sqref="E7:E84">
    <cfRule type="cellIs" dxfId="238" priority="7" operator="equal">
      <formula>"RECEITA"</formula>
    </cfRule>
    <cfRule type="cellIs" dxfId="237" priority="8" operator="equal">
      <formula>"DESPESA"</formula>
    </cfRule>
    <cfRule type="cellIs" dxfId="236" priority="9" operator="equal">
      <formula>"RECEITA"</formula>
    </cfRule>
    <cfRule type="cellIs" dxfId="235" priority="10" operator="equal">
      <formula>"DESPESA"</formula>
    </cfRule>
    <cfRule type="cellIs" dxfId="234" priority="11" operator="equal">
      <formula>"RECEITA"</formula>
    </cfRule>
    <cfRule type="cellIs" dxfId="233" priority="12" operator="equal">
      <formula>"DESPESA"</formula>
    </cfRule>
  </conditionalFormatting>
  <conditionalFormatting sqref="D7:D84">
    <cfRule type="cellIs" dxfId="232" priority="3" operator="equal">
      <formula>"RECEITA"</formula>
    </cfRule>
    <cfRule type="cellIs" dxfId="231" priority="4" operator="equal">
      <formula>"DESPESA"</formula>
    </cfRule>
    <cfRule type="cellIs" dxfId="230" priority="5" operator="equal">
      <formula>"RECEITA"</formula>
    </cfRule>
    <cfRule type="cellIs" dxfId="22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26" priority="36" operator="equal">
      <formula>"RECEITA"</formula>
    </cfRule>
    <cfRule type="cellIs" dxfId="225" priority="37" operator="equal">
      <formula>"DESPESA"</formula>
    </cfRule>
    <cfRule type="cellIs" dxfId="224" priority="38" operator="equal">
      <formula>"RECEITA"</formula>
    </cfRule>
    <cfRule type="cellIs" dxfId="223" priority="39" operator="equal">
      <formula>"DESPESA"</formula>
    </cfRule>
    <cfRule type="cellIs" dxfId="222" priority="40" operator="equal">
      <formula>"RECEITA"</formula>
    </cfRule>
    <cfRule type="cellIs" dxfId="221" priority="41" operator="equal">
      <formula>"DESPESA"</formula>
    </cfRule>
  </conditionalFormatting>
  <conditionalFormatting sqref="M8">
    <cfRule type="cellIs" dxfId="220" priority="30" operator="equal">
      <formula>"RECEITA"</formula>
    </cfRule>
    <cfRule type="cellIs" dxfId="219" priority="31" operator="equal">
      <formula>"DESPESA"</formula>
    </cfRule>
    <cfRule type="cellIs" dxfId="218" priority="32" operator="equal">
      <formula>"RECEITA"</formula>
    </cfRule>
    <cfRule type="cellIs" dxfId="217" priority="33" operator="equal">
      <formula>"DESPESA"</formula>
    </cfRule>
    <cfRule type="cellIs" dxfId="216" priority="34" operator="equal">
      <formula>"RECEITA"</formula>
    </cfRule>
    <cfRule type="cellIs" dxfId="215" priority="35" operator="equal">
      <formula>"DESPESA"</formula>
    </cfRule>
  </conditionalFormatting>
  <conditionalFormatting sqref="M9">
    <cfRule type="cellIs" dxfId="214" priority="24" operator="equal">
      <formula>"RECEITA"</formula>
    </cfRule>
    <cfRule type="cellIs" dxfId="213" priority="25" operator="equal">
      <formula>"DESPESA"</formula>
    </cfRule>
    <cfRule type="cellIs" dxfId="212" priority="26" operator="equal">
      <formula>"RECEITA"</formula>
    </cfRule>
    <cfRule type="cellIs" dxfId="211" priority="27" operator="equal">
      <formula>"DESPESA"</formula>
    </cfRule>
    <cfRule type="cellIs" dxfId="210" priority="28" operator="equal">
      <formula>"RECEITA"</formula>
    </cfRule>
    <cfRule type="cellIs" dxfId="209" priority="29" operator="equal">
      <formula>"DESPESA"</formula>
    </cfRule>
  </conditionalFormatting>
  <conditionalFormatting sqref="N10">
    <cfRule type="cellIs" dxfId="208" priority="19" operator="greaterThan">
      <formula>0</formula>
    </cfRule>
    <cfRule type="cellIs" dxfId="207" priority="20" operator="greaterThan">
      <formula>0</formula>
    </cfRule>
    <cfRule type="cellIs" dxfId="206" priority="21" operator="greaterThan">
      <formula>0</formula>
    </cfRule>
    <cfRule type="cellIs" dxfId="205" priority="22" operator="lessThan">
      <formula>0</formula>
    </cfRule>
    <cfRule type="cellIs" dxfId="204" priority="23" operator="greaterThan">
      <formula>0</formula>
    </cfRule>
  </conditionalFormatting>
  <conditionalFormatting sqref="E7:E84">
    <cfRule type="cellIs" dxfId="203" priority="7" operator="equal">
      <formula>"RECEITA"</formula>
    </cfRule>
    <cfRule type="cellIs" dxfId="202" priority="8" operator="equal">
      <formula>"DESPESA"</formula>
    </cfRule>
    <cfRule type="cellIs" dxfId="201" priority="9" operator="equal">
      <formula>"RECEITA"</formula>
    </cfRule>
    <cfRule type="cellIs" dxfId="200" priority="10" operator="equal">
      <formula>"DESPESA"</formula>
    </cfRule>
    <cfRule type="cellIs" dxfId="199" priority="11" operator="equal">
      <formula>"RECEITA"</formula>
    </cfRule>
    <cfRule type="cellIs" dxfId="198" priority="12" operator="equal">
      <formula>"DESPESA"</formula>
    </cfRule>
  </conditionalFormatting>
  <conditionalFormatting sqref="D7:D84">
    <cfRule type="cellIs" dxfId="197" priority="3" operator="equal">
      <formula>"RECEITA"</formula>
    </cfRule>
    <cfRule type="cellIs" dxfId="196" priority="4" operator="equal">
      <formula>"DESPESA"</formula>
    </cfRule>
    <cfRule type="cellIs" dxfId="195" priority="5" operator="equal">
      <formula>"RECEITA"</formula>
    </cfRule>
    <cfRule type="cellIs" dxfId="19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96" t="s">
        <v>14</v>
      </c>
      <c r="N7" s="96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91" priority="36" operator="equal">
      <formula>"RECEITA"</formula>
    </cfRule>
    <cfRule type="cellIs" dxfId="190" priority="37" operator="equal">
      <formula>"DESPESA"</formula>
    </cfRule>
    <cfRule type="cellIs" dxfId="189" priority="38" operator="equal">
      <formula>"RECEITA"</formula>
    </cfRule>
    <cfRule type="cellIs" dxfId="188" priority="39" operator="equal">
      <formula>"DESPESA"</formula>
    </cfRule>
    <cfRule type="cellIs" dxfId="187" priority="40" operator="equal">
      <formula>"RECEITA"</formula>
    </cfRule>
    <cfRule type="cellIs" dxfId="186" priority="41" operator="equal">
      <formula>"DESPESA"</formula>
    </cfRule>
  </conditionalFormatting>
  <conditionalFormatting sqref="M8">
    <cfRule type="cellIs" dxfId="185" priority="30" operator="equal">
      <formula>"RECEITA"</formula>
    </cfRule>
    <cfRule type="cellIs" dxfId="184" priority="31" operator="equal">
      <formula>"DESPESA"</formula>
    </cfRule>
    <cfRule type="cellIs" dxfId="183" priority="32" operator="equal">
      <formula>"RECEITA"</formula>
    </cfRule>
    <cfRule type="cellIs" dxfId="182" priority="33" operator="equal">
      <formula>"DESPESA"</formula>
    </cfRule>
    <cfRule type="cellIs" dxfId="181" priority="34" operator="equal">
      <formula>"RECEITA"</formula>
    </cfRule>
    <cfRule type="cellIs" dxfId="180" priority="35" operator="equal">
      <formula>"DESPESA"</formula>
    </cfRule>
  </conditionalFormatting>
  <conditionalFormatting sqref="M9">
    <cfRule type="cellIs" dxfId="179" priority="24" operator="equal">
      <formula>"RECEITA"</formula>
    </cfRule>
    <cfRule type="cellIs" dxfId="178" priority="25" operator="equal">
      <formula>"DESPESA"</formula>
    </cfRule>
    <cfRule type="cellIs" dxfId="177" priority="26" operator="equal">
      <formula>"RECEITA"</formula>
    </cfRule>
    <cfRule type="cellIs" dxfId="176" priority="27" operator="equal">
      <formula>"DESPESA"</formula>
    </cfRule>
    <cfRule type="cellIs" dxfId="175" priority="28" operator="equal">
      <formula>"RECEITA"</formula>
    </cfRule>
    <cfRule type="cellIs" dxfId="174" priority="29" operator="equal">
      <formula>"DESPESA"</formula>
    </cfRule>
  </conditionalFormatting>
  <conditionalFormatting sqref="N10">
    <cfRule type="cellIs" dxfId="173" priority="19" operator="greaterThan">
      <formula>0</formula>
    </cfRule>
    <cfRule type="cellIs" dxfId="172" priority="20" operator="greaterThan">
      <formula>0</formula>
    </cfRule>
    <cfRule type="cellIs" dxfId="171" priority="21" operator="greaterThan">
      <formula>0</formula>
    </cfRule>
    <cfRule type="cellIs" dxfId="170" priority="22" operator="lessThan">
      <formula>0</formula>
    </cfRule>
    <cfRule type="cellIs" dxfId="169" priority="23" operator="greaterThan">
      <formula>0</formula>
    </cfRule>
  </conditionalFormatting>
  <conditionalFormatting sqref="E7:E84">
    <cfRule type="cellIs" dxfId="168" priority="7" operator="equal">
      <formula>"RECEITA"</formula>
    </cfRule>
    <cfRule type="cellIs" dxfId="167" priority="8" operator="equal">
      <formula>"DESPESA"</formula>
    </cfRule>
    <cfRule type="cellIs" dxfId="166" priority="9" operator="equal">
      <formula>"RECEITA"</formula>
    </cfRule>
    <cfRule type="cellIs" dxfId="165" priority="10" operator="equal">
      <formula>"DESPESA"</formula>
    </cfRule>
    <cfRule type="cellIs" dxfId="164" priority="11" operator="equal">
      <formula>"RECEITA"</formula>
    </cfRule>
    <cfRule type="cellIs" dxfId="163" priority="12" operator="equal">
      <formula>"DESPESA"</formula>
    </cfRule>
  </conditionalFormatting>
  <conditionalFormatting sqref="D7:D84">
    <cfRule type="cellIs" dxfId="162" priority="3" operator="equal">
      <formula>"RECEITA"</formula>
    </cfRule>
    <cfRule type="cellIs" dxfId="161" priority="4" operator="equal">
      <formula>"DESPESA"</formula>
    </cfRule>
    <cfRule type="cellIs" dxfId="160" priority="5" operator="equal">
      <formula>"RECEITA"</formula>
    </cfRule>
    <cfRule type="cellIs" dxfId="15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C1:I13"/>
  <sheetViews>
    <sheetView showGridLines="0" topLeftCell="A4" zoomScaleNormal="100" workbookViewId="0">
      <selection activeCell="A4" sqref="A4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1" customFormat="1" ht="51.75" customHeight="1" thickBot="1" x14ac:dyDescent="0.3">
      <c r="C1" s="74"/>
      <c r="D1" s="74"/>
      <c r="E1" s="74"/>
      <c r="F1" s="74"/>
      <c r="G1" s="74"/>
      <c r="H1" s="74"/>
      <c r="I1" s="74"/>
    </row>
    <row r="2" spans="3:9" ht="6.75" customHeight="1" x14ac:dyDescent="0.25"/>
    <row r="3" spans="3:9" ht="22.5" customHeight="1" x14ac:dyDescent="0.25">
      <c r="C3" s="83" t="str">
        <f>'FLUXO DE CAIXA (2)'!B12</f>
        <v>VALOR ACUMULADO</v>
      </c>
      <c r="E3" s="83" t="str">
        <f>'FLUXO DE CAIXA (2)'!B9</f>
        <v>RECEITAS</v>
      </c>
      <c r="G3" s="83" t="str">
        <f>'FLUXO DE CAIXA (2)'!B10</f>
        <v>DESPESAS</v>
      </c>
      <c r="I3" s="83" t="str">
        <f>'FLUXO DE CAIXA (2)'!B11</f>
        <v>SALDO FINANCEIRO</v>
      </c>
    </row>
    <row r="4" spans="3:9" ht="43.5" customHeight="1" x14ac:dyDescent="0.5">
      <c r="C4" s="86">
        <f>'AUXILIAR 2'!J10</f>
        <v>-2898.0666666666662</v>
      </c>
      <c r="E4" s="85">
        <f>'AUXILIAR 2'!J7</f>
        <v>8018</v>
      </c>
      <c r="G4" s="87">
        <f>'AUXILIAR 2'!J8</f>
        <v>11535</v>
      </c>
      <c r="I4" s="86">
        <f>'AUXILIAR 2'!J9</f>
        <v>-3517</v>
      </c>
    </row>
    <row r="5" spans="3:9" ht="33.75" x14ac:dyDescent="0.5">
      <c r="E5" s="72"/>
      <c r="F5" s="72"/>
      <c r="G5" s="72"/>
      <c r="H5" s="72"/>
      <c r="I5" s="82"/>
    </row>
    <row r="6" spans="3:9" ht="22.5" customHeight="1" x14ac:dyDescent="0.25">
      <c r="C6" s="83" t="str">
        <f>'FLUXO DE CAIXA (2)'!B16</f>
        <v>CONTAS A RECEBER</v>
      </c>
      <c r="D6" s="76"/>
      <c r="E6" s="71"/>
      <c r="F6" s="71"/>
      <c r="G6" s="71"/>
      <c r="H6" s="71"/>
      <c r="I6" s="75"/>
    </row>
    <row r="7" spans="3:9" ht="43.5" customHeight="1" x14ac:dyDescent="0.5">
      <c r="C7" s="85">
        <f>'AUXILIAR 2'!J11</f>
        <v>0</v>
      </c>
      <c r="D7" s="76"/>
      <c r="E7" s="53"/>
      <c r="F7" s="71"/>
      <c r="G7" s="71"/>
      <c r="H7" s="71"/>
      <c r="I7" s="76"/>
    </row>
    <row r="8" spans="3:9" x14ac:dyDescent="0.25">
      <c r="D8" s="76"/>
      <c r="E8" s="71"/>
      <c r="F8" s="71"/>
      <c r="G8" s="71"/>
      <c r="H8" s="71"/>
      <c r="I8" s="76"/>
    </row>
    <row r="9" spans="3:9" ht="22.5" customHeight="1" x14ac:dyDescent="0.25">
      <c r="C9" s="83" t="str">
        <f>'FLUXO DE CAIXA (2)'!B17</f>
        <v>CONTAS A PAGAR</v>
      </c>
      <c r="D9" s="76"/>
      <c r="E9" s="71"/>
      <c r="F9" s="71"/>
      <c r="G9" s="71"/>
      <c r="H9" s="71"/>
      <c r="I9" s="76"/>
    </row>
    <row r="10" spans="3:9" ht="43.5" customHeight="1" x14ac:dyDescent="0.5">
      <c r="C10" s="87">
        <f>'AUXILIAR 2'!J12</f>
        <v>0</v>
      </c>
      <c r="D10" s="76"/>
      <c r="E10" s="71"/>
      <c r="F10" s="71"/>
      <c r="G10" s="71"/>
      <c r="H10" s="71"/>
      <c r="I10" s="76"/>
    </row>
    <row r="11" spans="3:9" ht="16.5" customHeight="1" x14ac:dyDescent="0.25">
      <c r="D11" s="76"/>
      <c r="E11" s="71"/>
      <c r="F11" s="71"/>
      <c r="G11" s="71"/>
      <c r="H11" s="71"/>
      <c r="I11" s="76"/>
    </row>
    <row r="12" spans="3:9" ht="22.5" customHeight="1" x14ac:dyDescent="0.25">
      <c r="C12" s="83" t="str">
        <f>'FLUXO DE CAIXA (2)'!B18</f>
        <v>NECESSIDADE DE CAIXA</v>
      </c>
      <c r="D12" s="76"/>
      <c r="E12" s="71"/>
      <c r="F12" s="71"/>
      <c r="G12" s="71"/>
      <c r="H12" s="71"/>
      <c r="I12" s="76"/>
    </row>
    <row r="13" spans="3:9" ht="43.5" customHeight="1" x14ac:dyDescent="0.25">
      <c r="C13" s="86">
        <f>'AUXILIAR 2'!J13</f>
        <v>0</v>
      </c>
      <c r="D13" s="76"/>
      <c r="E13" s="77"/>
      <c r="F13" s="72"/>
      <c r="G13" s="72"/>
      <c r="H13" s="72"/>
      <c r="I13" s="78"/>
    </row>
  </sheetData>
  <conditionalFormatting sqref="C13 E7">
    <cfRule type="cellIs" dxfId="156" priority="5" operator="lessThan">
      <formula>0</formula>
    </cfRule>
    <cfRule type="cellIs" dxfId="155" priority="6" operator="greaterThan">
      <formula>0</formula>
    </cfRule>
  </conditionalFormatting>
  <conditionalFormatting sqref="I4">
    <cfRule type="cellIs" dxfId="154" priority="3" operator="lessThan">
      <formula>0</formula>
    </cfRule>
    <cfRule type="cellIs" dxfId="153" priority="4" operator="greaterThan">
      <formula>0</formula>
    </cfRule>
  </conditionalFormatting>
  <conditionalFormatting sqref="C4">
    <cfRule type="cellIs" dxfId="152" priority="1" operator="lessThan">
      <formula>0</formula>
    </cfRule>
    <cfRule type="cellIs" dxfId="151" priority="2" operator="greaterThan">
      <formula>0</formula>
    </cfRule>
  </conditionalFormatting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>
      <selection activeCell="C6" sqref="C6:I13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1" customFormat="1" ht="51.75" customHeight="1" thickBot="1" x14ac:dyDescent="0.45">
      <c r="C1" s="91" t="s">
        <v>202</v>
      </c>
      <c r="D1" s="74"/>
      <c r="E1" s="93" t="s">
        <v>204</v>
      </c>
      <c r="F1" s="74"/>
      <c r="G1" s="74"/>
      <c r="H1" s="74"/>
      <c r="I1" s="92" t="s">
        <v>203</v>
      </c>
    </row>
    <row r="2" spans="3:9" ht="6.75" customHeight="1" x14ac:dyDescent="0.25"/>
    <row r="3" spans="3:9" ht="22.5" customHeight="1" x14ac:dyDescent="0.25">
      <c r="C3" s="99" t="str">
        <f>'FLUXO DE CAIXA (2)'!B12</f>
        <v>VALOR ACUMULADO</v>
      </c>
      <c r="D3" s="99"/>
      <c r="E3" s="99"/>
      <c r="G3" s="99" t="str">
        <f>'FLUXO DE CAIXA (2)'!B11</f>
        <v>SALDO FINANCEIRO</v>
      </c>
      <c r="H3" s="99"/>
      <c r="I3" s="99"/>
    </row>
    <row r="4" spans="3:9" ht="43.5" customHeight="1" x14ac:dyDescent="0.25">
      <c r="C4" s="98">
        <f>'AUXILIAR 2'!J10</f>
        <v>-2898.0666666666662</v>
      </c>
      <c r="D4" s="98"/>
      <c r="E4" s="98"/>
      <c r="G4" s="98">
        <f>'AUXILIAR 2'!J9</f>
        <v>-3517</v>
      </c>
      <c r="H4" s="98"/>
      <c r="I4" s="98"/>
    </row>
    <row r="5" spans="3:9" ht="33.75" x14ac:dyDescent="0.5">
      <c r="E5" s="71"/>
      <c r="F5" s="71"/>
      <c r="G5" s="71"/>
      <c r="H5" s="71"/>
      <c r="I5" s="90"/>
    </row>
    <row r="6" spans="3:9" ht="22.5" customHeight="1" x14ac:dyDescent="0.25">
      <c r="C6" s="100"/>
      <c r="D6" s="100"/>
      <c r="E6" s="100"/>
      <c r="F6" s="100"/>
      <c r="G6" s="100"/>
      <c r="H6" s="100"/>
      <c r="I6" s="100"/>
    </row>
    <row r="7" spans="3:9" ht="43.5" customHeight="1" x14ac:dyDescent="0.25">
      <c r="C7" s="100"/>
      <c r="D7" s="100"/>
      <c r="E7" s="100"/>
      <c r="F7" s="100"/>
      <c r="G7" s="100"/>
      <c r="H7" s="100"/>
      <c r="I7" s="100"/>
    </row>
    <row r="8" spans="3:9" x14ac:dyDescent="0.25">
      <c r="C8" s="100"/>
      <c r="D8" s="100"/>
      <c r="E8" s="100"/>
      <c r="F8" s="100"/>
      <c r="G8" s="100"/>
      <c r="H8" s="100"/>
      <c r="I8" s="100"/>
    </row>
    <row r="9" spans="3:9" ht="22.5" customHeight="1" x14ac:dyDescent="0.25">
      <c r="C9" s="100"/>
      <c r="D9" s="100"/>
      <c r="E9" s="100"/>
      <c r="F9" s="100"/>
      <c r="G9" s="100"/>
      <c r="H9" s="100"/>
      <c r="I9" s="100"/>
    </row>
    <row r="10" spans="3:9" ht="43.5" customHeight="1" x14ac:dyDescent="0.25">
      <c r="C10" s="100"/>
      <c r="D10" s="100"/>
      <c r="E10" s="100"/>
      <c r="F10" s="100"/>
      <c r="G10" s="100"/>
      <c r="H10" s="100"/>
      <c r="I10" s="100"/>
    </row>
    <row r="11" spans="3:9" ht="16.5" customHeight="1" x14ac:dyDescent="0.25">
      <c r="C11" s="100"/>
      <c r="D11" s="100"/>
      <c r="E11" s="100"/>
      <c r="F11" s="100"/>
      <c r="G11" s="100"/>
      <c r="H11" s="100"/>
      <c r="I11" s="100"/>
    </row>
    <row r="12" spans="3:9" ht="22.5" customHeight="1" x14ac:dyDescent="0.25">
      <c r="C12" s="100"/>
      <c r="D12" s="100"/>
      <c r="E12" s="100"/>
      <c r="F12" s="100"/>
      <c r="G12" s="100"/>
      <c r="H12" s="100"/>
      <c r="I12" s="100"/>
    </row>
    <row r="13" spans="3:9" ht="43.5" customHeight="1" x14ac:dyDescent="0.25">
      <c r="C13" s="100"/>
      <c r="D13" s="100"/>
      <c r="E13" s="100"/>
      <c r="F13" s="100"/>
      <c r="G13" s="100"/>
      <c r="H13" s="100"/>
      <c r="I13" s="100"/>
    </row>
  </sheetData>
  <mergeCells count="5">
    <mergeCell ref="C4:E4"/>
    <mergeCell ref="G4:I4"/>
    <mergeCell ref="C3:E3"/>
    <mergeCell ref="G3:I3"/>
    <mergeCell ref="C6:I13"/>
  </mergeCells>
  <conditionalFormatting sqref="G4">
    <cfRule type="cellIs" dxfId="150" priority="3" operator="lessThan">
      <formula>0</formula>
    </cfRule>
    <cfRule type="cellIs" dxfId="149" priority="4" operator="greaterThan">
      <formula>0</formula>
    </cfRule>
  </conditionalFormatting>
  <conditionalFormatting sqref="C4">
    <cfRule type="cellIs" dxfId="148" priority="1" operator="lessThan">
      <formula>0</formula>
    </cfRule>
    <cfRule type="cellIs" dxfId="1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Drop Down 1">
              <controlPr defaultSize="0" autoLine="0" autoPict="0">
                <anchor moveWithCells="1">
                  <from>
                    <xdr:col>2</xdr:col>
                    <xdr:colOff>1343025</xdr:colOff>
                    <xdr:row>0</xdr:row>
                    <xdr:rowOff>66675</xdr:rowOff>
                  </from>
                  <to>
                    <xdr:col>2</xdr:col>
                    <xdr:colOff>2781300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4" name="Drop Down 3">
              <controlPr defaultSize="0" autoLine="0" autoPict="0">
                <anchor moveWithCells="1">
                  <from>
                    <xdr:col>5</xdr:col>
                    <xdr:colOff>47625</xdr:colOff>
                    <xdr:row>0</xdr:row>
                    <xdr:rowOff>161925</xdr:rowOff>
                  </from>
                  <to>
                    <xdr:col>6</xdr:col>
                    <xdr:colOff>1781175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5" name="Drop Down 4">
              <controlPr defaultSize="0" autoLine="0" autoPict="0">
                <anchor moveWithCells="1">
                  <from>
                    <xdr:col>8</xdr:col>
                    <xdr:colOff>1171575</xdr:colOff>
                    <xdr:row>0</xdr:row>
                    <xdr:rowOff>161925</xdr:rowOff>
                  </from>
                  <to>
                    <xdr:col>8</xdr:col>
                    <xdr:colOff>2857500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4"/>
  <sheetViews>
    <sheetView showGridLines="0" zoomScale="80" zoomScaleNormal="80" workbookViewId="0">
      <selection activeCell="C11" sqref="C11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  <col min="13" max="13" width="40.7109375" bestFit="1" customWidth="1"/>
  </cols>
  <sheetData>
    <row r="2" spans="2:14" x14ac:dyDescent="0.25">
      <c r="B2" s="101" t="s">
        <v>182</v>
      </c>
      <c r="C2" s="101"/>
      <c r="E2" t="s">
        <v>183</v>
      </c>
      <c r="F2" s="70">
        <v>5</v>
      </c>
      <c r="I2" t="s">
        <v>192</v>
      </c>
      <c r="J2">
        <v>12</v>
      </c>
      <c r="M2" t="s">
        <v>198</v>
      </c>
      <c r="N2">
        <v>6</v>
      </c>
    </row>
    <row r="3" spans="2:14" x14ac:dyDescent="0.25">
      <c r="B3" s="45">
        <v>1</v>
      </c>
      <c r="C3" s="45" t="s">
        <v>20</v>
      </c>
      <c r="M3" t="s">
        <v>199</v>
      </c>
      <c r="N3">
        <v>7</v>
      </c>
    </row>
    <row r="4" spans="2:14" x14ac:dyDescent="0.25">
      <c r="B4" s="45">
        <v>2</v>
      </c>
      <c r="C4" s="45" t="s">
        <v>21</v>
      </c>
      <c r="E4" t="s">
        <v>184</v>
      </c>
      <c r="F4" t="s">
        <v>185</v>
      </c>
      <c r="M4" t="s">
        <v>200</v>
      </c>
      <c r="N4">
        <v>4</v>
      </c>
    </row>
    <row r="5" spans="2:14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  <c r="M5" t="s">
        <v>201</v>
      </c>
      <c r="N5">
        <v>1</v>
      </c>
    </row>
    <row r="6" spans="2:14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1" t="s">
        <v>186</v>
      </c>
    </row>
    <row r="7" spans="2:14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4">
        <v>1</v>
      </c>
      <c r="I7" s="71" t="str">
        <f>INDICADORES!B3</f>
        <v>RECEITAS</v>
      </c>
      <c r="J7" s="81">
        <f>INDEX('FLUXO DE CAIXA (2)'!$C$9:$N$18,'AUXILIAR 2'!H7,'AUXILIAR 2'!$J$2)</f>
        <v>8018</v>
      </c>
      <c r="K7" s="50"/>
    </row>
    <row r="8" spans="2:14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4">
        <v>2</v>
      </c>
      <c r="I8" s="71" t="str">
        <f>INDICADORES!B4</f>
        <v>DESPESA</v>
      </c>
      <c r="J8" s="81">
        <f>INDEX('FLUXO DE CAIXA (2)'!$C$9:$N$18,'AUXILIAR 2'!H8,'AUXILIAR 2'!$J$2)</f>
        <v>11535</v>
      </c>
      <c r="K8" s="50"/>
    </row>
    <row r="9" spans="2:14" x14ac:dyDescent="0.25">
      <c r="B9" s="45">
        <v>7</v>
      </c>
      <c r="C9" s="45" t="s">
        <v>26</v>
      </c>
      <c r="F9">
        <f>INDEX('FLUXO DE CAIXA (2)'!C13:$N$18,1,'AUXILIAR 2'!$F$2)</f>
        <v>0</v>
      </c>
      <c r="H9" s="84">
        <v>3</v>
      </c>
      <c r="I9" s="71" t="str">
        <f>INDICADORES!B5</f>
        <v>RESULTADOS</v>
      </c>
      <c r="J9" s="81">
        <f>INDEX('FLUXO DE CAIXA (2)'!$C$9:$N$18,'AUXILIAR 2'!H9,'AUXILIAR 2'!$J$2)</f>
        <v>-3517</v>
      </c>
      <c r="K9" s="50"/>
    </row>
    <row r="10" spans="2:14" x14ac:dyDescent="0.25">
      <c r="B10" s="45">
        <v>8</v>
      </c>
      <c r="C10" s="45" t="s">
        <v>27</v>
      </c>
      <c r="F10">
        <f>INDEX('FLUXO DE CAIXA (2)'!C14:$N$18,1,'AUXILIAR 2'!$F$2)</f>
        <v>0</v>
      </c>
      <c r="H10" s="84">
        <v>4</v>
      </c>
      <c r="I10" s="71" t="str">
        <f>INDICADORES!B6</f>
        <v>ACUMULADO</v>
      </c>
      <c r="J10" s="81">
        <f>INDEX('FLUXO DE CAIXA (2)'!$C$9:$N$18,'AUXILIAR 2'!H10,'AUXILIAR 2'!$J$2)</f>
        <v>-2898.0666666666662</v>
      </c>
      <c r="K10" s="50"/>
    </row>
    <row r="11" spans="2:14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4">
        <v>8</v>
      </c>
      <c r="I11" s="71" t="str">
        <f>INDICADORES!B7</f>
        <v>CONTAS A RECEBER</v>
      </c>
      <c r="J11" s="81">
        <f>INDEX('FLUXO DE CAIXA (2)'!$C$9:$N$18,'AUXILIAR 2'!H11,'AUXILIAR 2'!$J$2)</f>
        <v>0</v>
      </c>
      <c r="K11" s="50"/>
    </row>
    <row r="12" spans="2:14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4">
        <v>9</v>
      </c>
      <c r="I12" s="71" t="str">
        <f>INDICADORES!B8</f>
        <v>CONTAS A PAGAR</v>
      </c>
      <c r="J12" s="81">
        <f>INDEX('FLUXO DE CAIXA (2)'!$C$9:$N$18,'AUXILIAR 2'!H12,'AUXILIAR 2'!$J$2)</f>
        <v>0</v>
      </c>
      <c r="K12" s="50"/>
    </row>
    <row r="13" spans="2:14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4">
        <v>10</v>
      </c>
      <c r="I13" s="71" t="str">
        <f>INDICADORES!B9</f>
        <v>NECESSIDADE DE CAIXA</v>
      </c>
      <c r="J13" s="81">
        <f>INDEX('FLUXO DE CAIXA (2)'!$C$9:$N$18,'AUXILIAR 2'!H13,'AUXILIAR 2'!$J$2)</f>
        <v>0</v>
      </c>
      <c r="K13" s="50"/>
    </row>
    <row r="14" spans="2:14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pane ySplit="7" topLeftCell="A8" activePane="bottomLeft" state="frozen"/>
      <selection pane="bottomLeft" activeCell="A8" sqref="A8:XFD8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59" customFormat="1" ht="31.5" customHeight="1" x14ac:dyDescent="0.25"/>
    <row r="2" spans="2:18" s="59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69" t="s">
        <v>20</v>
      </c>
      <c r="D7" s="69" t="s">
        <v>21</v>
      </c>
      <c r="E7" s="69" t="s">
        <v>22</v>
      </c>
      <c r="F7" s="69" t="s">
        <v>23</v>
      </c>
      <c r="G7" s="69" t="s">
        <v>24</v>
      </c>
      <c r="H7" s="69" t="s">
        <v>25</v>
      </c>
      <c r="I7" s="69" t="s">
        <v>26</v>
      </c>
      <c r="J7" s="69" t="s">
        <v>27</v>
      </c>
      <c r="K7" s="69" t="s">
        <v>28</v>
      </c>
      <c r="L7" s="69" t="s">
        <v>29</v>
      </c>
      <c r="M7" s="69" t="s">
        <v>30</v>
      </c>
      <c r="N7" s="69" t="s">
        <v>31</v>
      </c>
      <c r="O7" s="69" t="s">
        <v>37</v>
      </c>
      <c r="P7" s="69" t="s">
        <v>32</v>
      </c>
      <c r="Q7" s="54"/>
      <c r="R7" s="54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2957</v>
      </c>
      <c r="K8" s="53">
        <f t="shared" si="0"/>
        <v>2957</v>
      </c>
      <c r="L8" s="53">
        <f t="shared" si="0"/>
        <v>2351</v>
      </c>
      <c r="M8" s="53">
        <f t="shared" si="0"/>
        <v>904.60000000000036</v>
      </c>
      <c r="N8" s="53">
        <f t="shared" si="0"/>
        <v>618.93333333333396</v>
      </c>
      <c r="O8" s="53">
        <f>SUM(C8:N8)</f>
        <v>19425.533333333333</v>
      </c>
      <c r="P8" s="53">
        <f>C8</f>
        <v>111</v>
      </c>
      <c r="Q8" s="54"/>
      <c r="R8" s="54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490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13234.833333333332</v>
      </c>
      <c r="P9" s="53">
        <f>SUM(C9:N9)</f>
        <v>13234.833333333332</v>
      </c>
      <c r="Q9" s="54"/>
      <c r="R9" s="54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100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16243.899999999998</v>
      </c>
      <c r="P10" s="53">
        <f>SUM(C10:N10)</f>
        <v>16243.899999999998</v>
      </c>
      <c r="Q10" s="54"/>
      <c r="R10" s="54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390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-3009.0666666666662</v>
      </c>
      <c r="P11" s="53">
        <f>P9-P10</f>
        <v>-3009.0666666666657</v>
      </c>
      <c r="Q11" s="54"/>
      <c r="R11" s="54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2957</v>
      </c>
      <c r="J12" s="53">
        <f t="shared" si="2"/>
        <v>2957</v>
      </c>
      <c r="K12" s="53">
        <f t="shared" si="2"/>
        <v>2351</v>
      </c>
      <c r="L12" s="53">
        <f t="shared" si="2"/>
        <v>904.60000000000036</v>
      </c>
      <c r="M12" s="53">
        <f t="shared" si="2"/>
        <v>618.93333333333396</v>
      </c>
      <c r="N12" s="53">
        <f t="shared" si="2"/>
        <v>-2898.0666666666662</v>
      </c>
      <c r="O12" s="53">
        <f>SUM(C12:N12)</f>
        <v>16416.466666666667</v>
      </c>
      <c r="P12" s="53">
        <f>N12</f>
        <v>-2898.0666666666662</v>
      </c>
      <c r="Q12" s="54"/>
      <c r="R12" s="54"/>
    </row>
    <row r="13" spans="2:18" ht="23.25" x14ac:dyDescent="0.25">
      <c r="C13" s="54"/>
      <c r="D13" s="54"/>
      <c r="E13" s="79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</row>
    <row r="14" spans="2:18" ht="30" customHeight="1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</row>
    <row r="15" spans="2:18" ht="53.25" customHeight="1" x14ac:dyDescent="0.25">
      <c r="B15" s="56" t="s">
        <v>104</v>
      </c>
      <c r="C15" s="69" t="s">
        <v>20</v>
      </c>
      <c r="D15" s="69" t="s">
        <v>21</v>
      </c>
      <c r="E15" s="69" t="s">
        <v>22</v>
      </c>
      <c r="F15" s="69" t="s">
        <v>23</v>
      </c>
      <c r="G15" s="69" t="s">
        <v>24</v>
      </c>
      <c r="H15" s="69" t="s">
        <v>25</v>
      </c>
      <c r="I15" s="69" t="s">
        <v>26</v>
      </c>
      <c r="J15" s="69" t="s">
        <v>27</v>
      </c>
      <c r="K15" s="69" t="s">
        <v>28</v>
      </c>
      <c r="L15" s="69" t="s">
        <v>29</v>
      </c>
      <c r="M15" s="69" t="s">
        <v>30</v>
      </c>
      <c r="N15" s="69" t="s">
        <v>31</v>
      </c>
      <c r="O15" s="69" t="s">
        <v>32</v>
      </c>
      <c r="P15" s="54"/>
      <c r="Q15" s="54"/>
      <c r="R15" s="54"/>
    </row>
    <row r="16" spans="2:18" ht="30" customHeight="1" x14ac:dyDescent="0.25">
      <c r="B16" s="56" t="s">
        <v>105</v>
      </c>
      <c r="C16" s="80">
        <f>SUMIFS(AUXILIAR!$G$6:$G$941,AUXILIAR!$I$6:$I$941,"RECEITAS",AUXILIAR!$P$6:$P$941,"NAO PAGO",AUXILIAR!$L$6:$L$941,'FLUXO DE CAIXA (2)'!C$15)</f>
        <v>18</v>
      </c>
      <c r="D16" s="80">
        <f>SUMIFS(AUXILIAR!$G$6:$G$941,AUXILIAR!$I$6:$I$941,"RECEITAS",AUXILIAR!$P$6:$P$941,"NAO PAGO",AUXILIAR!$L$6:$L$941,'FLUXO DE CAIXA (2)'!D$15)</f>
        <v>0</v>
      </c>
      <c r="E16" s="80">
        <f>SUMIFS(AUXILIAR!$G$6:$G$941,AUXILIAR!$I$6:$I$941,"RECEITAS",AUXILIAR!$P$6:$P$941,"NAO PAGO",AUXILIAR!$L$6:$L$941,'FLUXO DE CAIXA (2)'!E$15)</f>
        <v>0</v>
      </c>
      <c r="F16" s="80">
        <f>SUMIFS(AUXILIAR!$G$6:$G$941,AUXILIAR!$I$6:$I$941,"RECEITAS",AUXILIAR!$P$6:$P$941,"NAO PAGO",AUXILIAR!$L$6:$L$941,'FLUXO DE CAIXA (2)'!F$15)</f>
        <v>0</v>
      </c>
      <c r="G16" s="80">
        <f>SUMIFS(AUXILIAR!$G$6:$G$941,AUXILIAR!$I$6:$I$941,"RECEITAS",AUXILIAR!$P$6:$P$941,"NAO PAGO",AUXILIAR!$L$6:$L$941,'FLUXO DE CAIXA (2)'!G$15)</f>
        <v>0</v>
      </c>
      <c r="H16" s="80">
        <f>SUMIFS(AUXILIAR!$G$6:$G$941,AUXILIAR!$I$6:$I$941,"RECEITAS",AUXILIAR!$P$6:$P$941,"NAO PAGO",AUXILIAR!$L$6:$L$941,'FLUXO DE CAIXA (2)'!H$15)</f>
        <v>0</v>
      </c>
      <c r="I16" s="80">
        <f>SUMIFS(AUXILIAR!$G$6:$G$941,AUXILIAR!$I$6:$I$941,"RECEITAS",AUXILIAR!$P$6:$P$941,"NAO PAGO",AUXILIAR!$L$6:$L$941,'FLUXO DE CAIXA (2)'!I$15)</f>
        <v>0</v>
      </c>
      <c r="J16" s="80">
        <f>SUMIFS(AUXILIAR!$G$6:$G$941,AUXILIAR!$I$6:$I$941,"RECEITAS",AUXILIAR!$P$6:$P$941,"NAO PAGO",AUXILIAR!$L$6:$L$941,'FLUXO DE CAIXA (2)'!J$15)</f>
        <v>1</v>
      </c>
      <c r="K16" s="80">
        <f>SUMIFS(AUXILIAR!$G$6:$G$941,AUXILIAR!$I$6:$I$941,"RECEITAS",AUXILIAR!$P$6:$P$941,"NAO PAGO",AUXILIAR!$L$6:$L$941,'FLUXO DE CAIXA (2)'!K$15)</f>
        <v>0</v>
      </c>
      <c r="L16" s="80">
        <f>SUMIFS(AUXILIAR!$G$6:$G$941,AUXILIAR!$I$6:$I$941,"RECEITAS",AUXILIAR!$P$6:$P$941,"NAO PAGO",AUXILIAR!$L$6:$L$941,'FLUXO DE CAIXA (2)'!L$15)</f>
        <v>0</v>
      </c>
      <c r="M16" s="80">
        <f>SUMIFS(AUXILIAR!$G$6:$G$941,AUXILIAR!$I$6:$I$941,"RECEITAS",AUXILIAR!$P$6:$P$941,"NAO PAGO",AUXILIAR!$L$6:$L$941,'FLUXO DE CAIXA (2)'!M$15)</f>
        <v>0</v>
      </c>
      <c r="N16" s="80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4"/>
      <c r="Q16" s="54"/>
      <c r="R16" s="54"/>
    </row>
    <row r="17" spans="2:18" ht="30" customHeight="1" x14ac:dyDescent="0.25">
      <c r="B17" s="56" t="s">
        <v>56</v>
      </c>
      <c r="C17" s="80">
        <f>SUMIFS(AUXILIAR!$G$6:$G$941,AUXILIAR!$I$6:$I$941,"DESPESAS",AUXILIAR!$P$6:$P$941,"NAO PAGO",AUXILIAR!$L$6:$L$941,'FLUXO DE CAIXA (2)'!C$15)</f>
        <v>0</v>
      </c>
      <c r="D17" s="80">
        <f>SUMIFS(AUXILIAR!$G$6:$G$941,AUXILIAR!$I$6:$I$941,"DESPESAS",AUXILIAR!$P$6:$P$941,"NAO PAGO",AUXILIAR!$L$6:$L$941,'FLUXO DE CAIXA (2)'!D$15)</f>
        <v>0</v>
      </c>
      <c r="E17" s="80">
        <f>SUMIFS(AUXILIAR!$G$6:$G$941,AUXILIAR!$I$6:$I$941,"DESPESAS",AUXILIAR!$P$6:$P$941,"NAO PAGO",AUXILIAR!$L$6:$L$941,'FLUXO DE CAIXA (2)'!E$15)</f>
        <v>0</v>
      </c>
      <c r="F17" s="80">
        <f>SUMIFS(AUXILIAR!$G$6:$G$941,AUXILIAR!$I$6:$I$941,"DESPESAS",AUXILIAR!$P$6:$P$941,"NAO PAGO",AUXILIAR!$L$6:$L$941,'FLUXO DE CAIXA (2)'!F$15)</f>
        <v>0</v>
      </c>
      <c r="G17" s="80">
        <f>SUMIFS(AUXILIAR!$G$6:$G$941,AUXILIAR!$I$6:$I$941,"DESPESAS",AUXILIAR!$P$6:$P$941,"NAO PAGO",AUXILIAR!$L$6:$L$941,'FLUXO DE CAIXA (2)'!G$15)</f>
        <v>0</v>
      </c>
      <c r="H17" s="80">
        <f>SUMIFS(AUXILIAR!$G$6:$G$941,AUXILIAR!$I$6:$I$941,"DESPESAS",AUXILIAR!$P$6:$P$941,"NAO PAGO",AUXILIAR!$L$6:$L$941,'FLUXO DE CAIXA (2)'!H$15)</f>
        <v>0</v>
      </c>
      <c r="I17" s="80">
        <f>SUMIFS(AUXILIAR!$G$6:$G$941,AUXILIAR!$I$6:$I$941,"DESPESAS",AUXILIAR!$P$6:$P$941,"NAO PAGO",AUXILIAR!$L$6:$L$941,'FLUXO DE CAIXA (2)'!I$15)</f>
        <v>0</v>
      </c>
      <c r="J17" s="80">
        <f>SUMIFS(AUXILIAR!$G$6:$G$941,AUXILIAR!$I$6:$I$941,"DESPESAS",AUXILIAR!$P$6:$P$941,"NAO PAGO",AUXILIAR!$L$6:$L$941,'FLUXO DE CAIXA (2)'!J$15)</f>
        <v>26</v>
      </c>
      <c r="K17" s="80">
        <f>SUMIFS(AUXILIAR!$G$6:$G$941,AUXILIAR!$I$6:$I$941,"DESPESAS",AUXILIAR!$P$6:$P$941,"NAO PAGO",AUXILIAR!$L$6:$L$941,'FLUXO DE CAIXA (2)'!K$15)</f>
        <v>0</v>
      </c>
      <c r="L17" s="80">
        <f>SUMIFS(AUXILIAR!$G$6:$G$941,AUXILIAR!$I$6:$I$941,"DESPESAS",AUXILIAR!$P$6:$P$941,"NAO PAGO",AUXILIAR!$L$6:$L$941,'FLUXO DE CAIXA (2)'!L$15)</f>
        <v>19</v>
      </c>
      <c r="M17" s="80">
        <f>SUMIFS(AUXILIAR!$G$6:$G$941,AUXILIAR!$I$6:$I$941,"DESPESAS",AUXILIAR!$P$6:$P$941,"NAO PAGO",AUXILIAR!$L$6:$L$941,'FLUXO DE CAIXA (2)'!M$15)</f>
        <v>0</v>
      </c>
      <c r="N17" s="80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4"/>
      <c r="Q17" s="54"/>
      <c r="R17" s="54"/>
    </row>
    <row r="18" spans="2:18" ht="46.5" x14ac:dyDescent="0.25">
      <c r="B18" s="56" t="s">
        <v>106</v>
      </c>
      <c r="C18" s="80">
        <f>C16-C17</f>
        <v>18</v>
      </c>
      <c r="D18" s="80">
        <f t="shared" ref="D18:O18" si="3">D16-D17</f>
        <v>0</v>
      </c>
      <c r="E18" s="80">
        <f t="shared" si="3"/>
        <v>0</v>
      </c>
      <c r="F18" s="80">
        <f t="shared" si="3"/>
        <v>0</v>
      </c>
      <c r="G18" s="80">
        <f t="shared" si="3"/>
        <v>0</v>
      </c>
      <c r="H18" s="80">
        <f t="shared" si="3"/>
        <v>0</v>
      </c>
      <c r="I18" s="80">
        <f t="shared" si="3"/>
        <v>0</v>
      </c>
      <c r="J18" s="80">
        <f t="shared" si="3"/>
        <v>-25</v>
      </c>
      <c r="K18" s="80">
        <f t="shared" si="3"/>
        <v>0</v>
      </c>
      <c r="L18" s="80">
        <f t="shared" si="3"/>
        <v>-19</v>
      </c>
      <c r="M18" s="80">
        <f t="shared" si="3"/>
        <v>0</v>
      </c>
      <c r="N18" s="80">
        <f t="shared" si="3"/>
        <v>0</v>
      </c>
      <c r="O18" s="80">
        <f t="shared" si="3"/>
        <v>-26</v>
      </c>
      <c r="P18" s="54"/>
      <c r="Q18" s="54"/>
      <c r="R18" s="54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46" priority="11" operator="equal">
      <formula>"RECEITA"</formula>
    </cfRule>
    <cfRule type="cellIs" dxfId="145" priority="12" operator="equal">
      <formula>"DESPESA"</formula>
    </cfRule>
    <cfRule type="cellIs" dxfId="144" priority="13" operator="equal">
      <formula>"RECEITA"</formula>
    </cfRule>
    <cfRule type="cellIs" dxfId="143" priority="14" operator="equal">
      <formula>"DESPESA"</formula>
    </cfRule>
    <cfRule type="cellIs" dxfId="142" priority="15" operator="equal">
      <formula>"RECEITA"</formula>
    </cfRule>
    <cfRule type="cellIs" dxfId="141" priority="16" operator="equal">
      <formula>"DESPESA"</formula>
    </cfRule>
  </conditionalFormatting>
  <conditionalFormatting sqref="B9">
    <cfRule type="cellIs" dxfId="140" priority="5" operator="equal">
      <formula>"RECEITA"</formula>
    </cfRule>
    <cfRule type="cellIs" dxfId="139" priority="6" operator="equal">
      <formula>"DESPESA"</formula>
    </cfRule>
    <cfRule type="cellIs" dxfId="138" priority="7" operator="equal">
      <formula>"RECEITA"</formula>
    </cfRule>
    <cfRule type="cellIs" dxfId="137" priority="8" operator="equal">
      <formula>"DESPESA"</formula>
    </cfRule>
    <cfRule type="cellIs" dxfId="136" priority="9" operator="equal">
      <formula>"RECEITA"</formula>
    </cfRule>
    <cfRule type="cellIs" dxfId="135" priority="10" operator="equal">
      <formula>"DESPESA"</formula>
    </cfRule>
  </conditionalFormatting>
  <conditionalFormatting sqref="C11:O11">
    <cfRule type="cellIs" dxfId="134" priority="3" operator="lessThan">
      <formula>0</formula>
    </cfRule>
    <cfRule type="cellIs" dxfId="133" priority="4" operator="greaterThan">
      <formula>0</formula>
    </cfRule>
  </conditionalFormatting>
  <conditionalFormatting sqref="C12:P12">
    <cfRule type="cellIs" dxfId="132" priority="1" operator="lessThan">
      <formula>0</formula>
    </cfRule>
    <cfRule type="cellIs" dxfId="13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workbookViewId="0">
      <selection activeCell="F3" sqref="F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88" t="s">
        <v>186</v>
      </c>
      <c r="C2" s="88" t="s">
        <v>187</v>
      </c>
      <c r="D2" s="88" t="s">
        <v>83</v>
      </c>
      <c r="F2" s="89" t="s">
        <v>194</v>
      </c>
      <c r="G2" s="89" t="s">
        <v>195</v>
      </c>
    </row>
    <row r="3" spans="2:7" x14ac:dyDescent="0.25">
      <c r="B3" s="71" t="s">
        <v>34</v>
      </c>
      <c r="C3" s="71" t="s">
        <v>189</v>
      </c>
      <c r="D3" s="71" t="s">
        <v>190</v>
      </c>
      <c r="F3" t="s">
        <v>196</v>
      </c>
      <c r="G3" t="s">
        <v>197</v>
      </c>
    </row>
    <row r="4" spans="2:7" x14ac:dyDescent="0.25">
      <c r="B4" s="71" t="s">
        <v>4</v>
      </c>
      <c r="C4" s="71" t="s">
        <v>189</v>
      </c>
      <c r="D4" s="71" t="s">
        <v>190</v>
      </c>
    </row>
    <row r="5" spans="2:7" x14ac:dyDescent="0.25">
      <c r="B5" s="71" t="s">
        <v>188</v>
      </c>
      <c r="C5" s="71" t="s">
        <v>189</v>
      </c>
      <c r="D5" s="71" t="s">
        <v>190</v>
      </c>
    </row>
    <row r="6" spans="2:7" x14ac:dyDescent="0.25">
      <c r="B6" s="73" t="s">
        <v>191</v>
      </c>
      <c r="C6" s="71" t="s">
        <v>189</v>
      </c>
    </row>
    <row r="7" spans="2:7" x14ac:dyDescent="0.25">
      <c r="B7" s="71" t="s">
        <v>105</v>
      </c>
      <c r="C7" s="71" t="s">
        <v>189</v>
      </c>
      <c r="D7" s="71"/>
    </row>
    <row r="8" spans="2:7" x14ac:dyDescent="0.25">
      <c r="B8" s="71" t="s">
        <v>56</v>
      </c>
      <c r="C8" s="71" t="s">
        <v>189</v>
      </c>
      <c r="D8" s="71"/>
    </row>
    <row r="9" spans="2:7" x14ac:dyDescent="0.25">
      <c r="B9" s="72" t="s">
        <v>106</v>
      </c>
      <c r="C9" s="72" t="s">
        <v>189</v>
      </c>
      <c r="D9" s="72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pane ySplit="7" topLeftCell="A1048547" activePane="bottomLeft" state="frozen"/>
      <selection pane="bottomLeft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59" customFormat="1" ht="31.5" customHeight="1" x14ac:dyDescent="0.25">
      <c r="A1" s="59" t="s">
        <v>79</v>
      </c>
    </row>
    <row r="2" spans="1:16" s="59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0" priority="13" operator="equal">
      <formula>"RECEITA"</formula>
    </cfRule>
    <cfRule type="cellIs" dxfId="129" priority="14" operator="equal">
      <formula>"DESPESA"</formula>
    </cfRule>
    <cfRule type="cellIs" dxfId="128" priority="15" operator="equal">
      <formula>"RECEITA"</formula>
    </cfRule>
    <cfRule type="cellIs" dxfId="127" priority="16" operator="equal">
      <formula>"DESPESA"</formula>
    </cfRule>
    <cfRule type="cellIs" dxfId="126" priority="17" operator="equal">
      <formula>"RECEITA"</formula>
    </cfRule>
    <cfRule type="cellIs" dxfId="125" priority="18" operator="equal">
      <formula>"DESPESA"</formula>
    </cfRule>
  </conditionalFormatting>
  <conditionalFormatting sqref="C11:O11 O18">
    <cfRule type="cellIs" dxfId="124" priority="5" operator="lessThan">
      <formula>0</formula>
    </cfRule>
    <cfRule type="cellIs" dxfId="123" priority="6" operator="greaterThan">
      <formula>0</formula>
    </cfRule>
  </conditionalFormatting>
  <conditionalFormatting sqref="C12:O12">
    <cfRule type="cellIs" dxfId="122" priority="3" operator="lessThan">
      <formula>0</formula>
    </cfRule>
    <cfRule type="cellIs" dxfId="121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zoomScale="70" zoomScaleNormal="70" workbookViewId="0">
      <pane ySplit="9" topLeftCell="A10" activePane="bottomLeft" state="frozen"/>
      <selection pane="bottomLeft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59" customFormat="1" ht="31.5" customHeight="1" x14ac:dyDescent="0.25"/>
    <row r="2" spans="2:16" s="59" customFormat="1" ht="36" customHeight="1" x14ac:dyDescent="0.25"/>
    <row r="7" spans="2:16" ht="45.75" customHeight="1" x14ac:dyDescent="0.25">
      <c r="B7" s="68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125</v>
      </c>
      <c r="J14" s="47">
        <f t="shared" si="2"/>
        <v>125</v>
      </c>
      <c r="K14" s="47">
        <f t="shared" si="2"/>
        <v>125</v>
      </c>
      <c r="L14" s="47">
        <f t="shared" si="2"/>
        <v>125</v>
      </c>
      <c r="M14" s="47">
        <f t="shared" si="2"/>
        <v>125</v>
      </c>
      <c r="N14" s="47">
        <f t="shared" si="2"/>
        <v>125</v>
      </c>
      <c r="O14" s="47">
        <f>SUM(C14:N14)</f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6" t="s">
        <v>104</v>
      </c>
      <c r="C17" s="58" t="s">
        <v>20</v>
      </c>
      <c r="D17" s="58" t="s">
        <v>21</v>
      </c>
      <c r="E17" s="58" t="s">
        <v>22</v>
      </c>
      <c r="F17" s="58" t="s">
        <v>23</v>
      </c>
      <c r="G17" s="58" t="s">
        <v>24</v>
      </c>
      <c r="H17" s="58" t="s">
        <v>25</v>
      </c>
      <c r="I17" s="58" t="s">
        <v>26</v>
      </c>
      <c r="J17" s="58" t="s">
        <v>27</v>
      </c>
      <c r="K17" s="58" t="s">
        <v>28</v>
      </c>
      <c r="L17" s="58" t="s">
        <v>29</v>
      </c>
      <c r="M17" s="58" t="s">
        <v>30</v>
      </c>
      <c r="N17" s="58" t="s">
        <v>31</v>
      </c>
      <c r="O17" s="58" t="s">
        <v>32</v>
      </c>
    </row>
    <row r="18" spans="2:15" ht="30" customHeight="1" x14ac:dyDescent="0.25">
      <c r="B18" s="56" t="s">
        <v>105</v>
      </c>
      <c r="C18" s="57">
        <f>SUMIFS(AUXILIAR!$G$6:$G$941,AUXILIAR!$I$6:$I$941,"RECEITAS",AUXILIAR!$P$6:$P$941,"NAO PAGO",AUXILIAR!$L$6:$L$941,'FLUXO DE CAIXA CENTROS'!C$17,AUXILIAR!$F$6:$F$941,'FLUXO DE CAIXA CENTROS'!$C$7)</f>
        <v>0</v>
      </c>
      <c r="D18" s="57">
        <f>SUMIFS(AUXILIAR!$G$6:$G$941,AUXILIAR!$I$6:$I$941,"RECEITAS",AUXILIAR!$P$6:$P$941,"NAO PAGO",AUXILIAR!$L$6:$L$941,'FLUXO DE CAIXA CENTROS'!D$17,AUXILIAR!$F$6:$F$941,'FLUXO DE CAIXA CENTROS'!$C$7)</f>
        <v>0</v>
      </c>
      <c r="E18" s="57">
        <f>SUMIFS(AUXILIAR!$G$6:$G$941,AUXILIAR!$I$6:$I$941,"RECEITAS",AUXILIAR!$P$6:$P$941,"NAO PAGO",AUXILIAR!$L$6:$L$941,'FLUXO DE CAIXA CENTROS'!E$17,AUXILIAR!$F$6:$F$941,'FLUXO DE CAIXA CENTROS'!$C$7)</f>
        <v>0</v>
      </c>
      <c r="F18" s="57">
        <f>SUMIFS(AUXILIAR!$G$6:$G$941,AUXILIAR!$I$6:$I$941,"RECEITAS",AUXILIAR!$P$6:$P$941,"NAO PAGO",AUXILIAR!$L$6:$L$941,'FLUXO DE CAIXA CENTROS'!F$17,AUXILIAR!$F$6:$F$941,'FLUXO DE CAIXA CENTROS'!$C$7)</f>
        <v>0</v>
      </c>
      <c r="G18" s="57">
        <f>SUMIFS(AUXILIAR!$G$6:$G$941,AUXILIAR!$I$6:$I$941,"RECEITAS",AUXILIAR!$P$6:$P$941,"NAO PAGO",AUXILIAR!$L$6:$L$941,'FLUXO DE CAIXA CENTROS'!G$17,AUXILIAR!$F$6:$F$941,'FLUXO DE CAIXA CENTROS'!$C$7)</f>
        <v>0</v>
      </c>
      <c r="H18" s="57">
        <f>SUMIFS(AUXILIAR!$G$6:$G$941,AUXILIAR!$I$6:$I$941,"RECEITAS",AUXILIAR!$P$6:$P$941,"NAO PAGO",AUXILIAR!$L$6:$L$941,'FLUXO DE CAIXA CENTROS'!H$17,AUXILIAR!$F$6:$F$941,'FLUXO DE CAIXA CENTROS'!$C$7)</f>
        <v>0</v>
      </c>
      <c r="I18" s="57">
        <f>SUMIFS(AUXILIAR!$G$6:$G$941,AUXILIAR!$I$6:$I$941,"RECEITAS",AUXILIAR!$P$6:$P$941,"NAO PAGO",AUXILIAR!$L$6:$L$941,'FLUXO DE CAIXA CENTROS'!I$17,AUXILIAR!$F$6:$F$941,'FLUXO DE CAIXA CENTROS'!$C$7)</f>
        <v>0</v>
      </c>
      <c r="J18" s="57">
        <f>SUMIFS(AUXILIAR!$G$6:$G$941,AUXILIAR!$I$6:$I$941,"RECEITAS",AUXILIAR!$P$6:$P$941,"NAO PAGO",AUXILIAR!$L$6:$L$941,'FLUXO DE CAIXA CENTROS'!J$17,AUXILIAR!$F$6:$F$941,'FLUXO DE CAIXA CENTROS'!$C$7)</f>
        <v>0</v>
      </c>
      <c r="K18" s="57">
        <f>SUMIFS(AUXILIAR!$G$6:$G$941,AUXILIAR!$I$6:$I$941,"RECEITAS",AUXILIAR!$P$6:$P$941,"NAO PAGO",AUXILIAR!$L$6:$L$941,'FLUXO DE CAIXA CENTROS'!K$17,AUXILIAR!$F$6:$F$941,'FLUXO DE CAIXA CENTROS'!$C$7)</f>
        <v>0</v>
      </c>
      <c r="L18" s="57">
        <f>SUMIFS(AUXILIAR!$G$6:$G$941,AUXILIAR!$I$6:$I$941,"RECEITAS",AUXILIAR!$P$6:$P$941,"NAO PAGO",AUXILIAR!$L$6:$L$941,'FLUXO DE CAIXA CENTROS'!L$17,AUXILIAR!$F$6:$F$941,'FLUXO DE CAIXA CENTROS'!$C$7)</f>
        <v>0</v>
      </c>
      <c r="M18" s="57">
        <f>SUMIFS(AUXILIAR!$G$6:$G$941,AUXILIAR!$I$6:$I$941,"RECEITAS",AUXILIAR!$P$6:$P$941,"NAO PAGO",AUXILIAR!$L$6:$L$941,'FLUXO DE CAIXA CENTROS'!M$17,AUXILIAR!$F$6:$F$941,'FLUXO DE CAIXA CENTROS'!$C$7)</f>
        <v>0</v>
      </c>
      <c r="N18" s="57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6" t="s">
        <v>56</v>
      </c>
      <c r="C19" s="57">
        <f>SUMIFS(AUXILIAR!$G$6:$G$941,AUXILIAR!$I$6:$I$941,"DESPESAS",AUXILIAR!$P$6:$P$941,"NAO PAGO",AUXILIAR!$L$6:$L$941,'FLUXO DE CAIXA CENTROS'!C$17,AUXILIAR!$F$6:$F$941,'FLUXO DE CAIXA CENTROS'!$C$7)</f>
        <v>0</v>
      </c>
      <c r="D19" s="57">
        <f>SUMIFS(AUXILIAR!$G$6:$G$941,AUXILIAR!$I$6:$I$941,"DESPESAS",AUXILIAR!$P$6:$P$941,"NAO PAGO",AUXILIAR!$L$6:$L$941,'FLUXO DE CAIXA CENTROS'!D$17,AUXILIAR!$F$6:$F$941,'FLUXO DE CAIXA CENTROS'!$C$7)</f>
        <v>0</v>
      </c>
      <c r="E19" s="57">
        <f>SUMIFS(AUXILIAR!$G$6:$G$941,AUXILIAR!$I$6:$I$941,"DESPESAS",AUXILIAR!$P$6:$P$941,"NAO PAGO",AUXILIAR!$L$6:$L$941,'FLUXO DE CAIXA CENTROS'!E$17,AUXILIAR!$F$6:$F$941,'FLUXO DE CAIXA CENTROS'!$C$7)</f>
        <v>0</v>
      </c>
      <c r="F19" s="57">
        <f>SUMIFS(AUXILIAR!$G$6:$G$941,AUXILIAR!$I$6:$I$941,"DESPESAS",AUXILIAR!$P$6:$P$941,"NAO PAGO",AUXILIAR!$L$6:$L$941,'FLUXO DE CAIXA CENTROS'!F$17,AUXILIAR!$F$6:$F$941,'FLUXO DE CAIXA CENTROS'!$C$7)</f>
        <v>0</v>
      </c>
      <c r="G19" s="57">
        <f>SUMIFS(AUXILIAR!$G$6:$G$941,AUXILIAR!$I$6:$I$941,"DESPESAS",AUXILIAR!$P$6:$P$941,"NAO PAGO",AUXILIAR!$L$6:$L$941,'FLUXO DE CAIXA CENTROS'!G$17,AUXILIAR!$F$6:$F$941,'FLUXO DE CAIXA CENTROS'!$C$7)</f>
        <v>0</v>
      </c>
      <c r="H19" s="57">
        <f>SUMIFS(AUXILIAR!$G$6:$G$941,AUXILIAR!$I$6:$I$941,"DESPESAS",AUXILIAR!$P$6:$P$941,"NAO PAGO",AUXILIAR!$L$6:$L$941,'FLUXO DE CAIXA CENTROS'!H$17,AUXILIAR!$F$6:$F$941,'FLUXO DE CAIXA CENTROS'!$C$7)</f>
        <v>0</v>
      </c>
      <c r="I19" s="57">
        <f>SUMIFS(AUXILIAR!$G$6:$G$941,AUXILIAR!$I$6:$I$941,"DESPESAS",AUXILIAR!$P$6:$P$941,"NAO PAGO",AUXILIAR!$L$6:$L$941,'FLUXO DE CAIXA CENTROS'!I$17,AUXILIAR!$F$6:$F$941,'FLUXO DE CAIXA CENTROS'!$C$7)</f>
        <v>0</v>
      </c>
      <c r="J19" s="57">
        <f>SUMIFS(AUXILIAR!$G$6:$G$941,AUXILIAR!$I$6:$I$941,"DESPESAS",AUXILIAR!$P$6:$P$941,"NAO PAGO",AUXILIAR!$L$6:$L$941,'FLUXO DE CAIXA CENTROS'!J$17,AUXILIAR!$F$6:$F$941,'FLUXO DE CAIXA CENTROS'!$C$7)</f>
        <v>0</v>
      </c>
      <c r="K19" s="57">
        <f>SUMIFS(AUXILIAR!$G$6:$G$941,AUXILIAR!$I$6:$I$941,"DESPESAS",AUXILIAR!$P$6:$P$941,"NAO PAGO",AUXILIAR!$L$6:$L$941,'FLUXO DE CAIXA CENTROS'!K$17,AUXILIAR!$F$6:$F$941,'FLUXO DE CAIXA CENTROS'!$C$7)</f>
        <v>0</v>
      </c>
      <c r="L19" s="57">
        <f>SUMIFS(AUXILIAR!$G$6:$G$941,AUXILIAR!$I$6:$I$941,"DESPESAS",AUXILIAR!$P$6:$P$941,"NAO PAGO",AUXILIAR!$L$6:$L$941,'FLUXO DE CAIXA CENTROS'!L$17,AUXILIAR!$F$6:$F$941,'FLUXO DE CAIXA CENTROS'!$C$7)</f>
        <v>0</v>
      </c>
      <c r="M19" s="57">
        <f>SUMIFS(AUXILIAR!$G$6:$G$941,AUXILIAR!$I$6:$I$941,"DESPESAS",AUXILIAR!$P$6:$P$941,"NAO PAGO",AUXILIAR!$L$6:$L$941,'FLUXO DE CAIXA CENTROS'!M$17,AUXILIAR!$F$6:$F$941,'FLUXO DE CAIXA CENTROS'!$C$7)</f>
        <v>0</v>
      </c>
      <c r="N19" s="57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6" t="s">
        <v>106</v>
      </c>
      <c r="C20" s="57">
        <f>C18-C19</f>
        <v>0</v>
      </c>
      <c r="D20" s="57">
        <f t="shared" ref="D20:O20" si="3">D18-D19</f>
        <v>0</v>
      </c>
      <c r="E20" s="57">
        <f t="shared" si="3"/>
        <v>0</v>
      </c>
      <c r="F20" s="57">
        <f t="shared" si="3"/>
        <v>0</v>
      </c>
      <c r="G20" s="57">
        <f t="shared" si="3"/>
        <v>0</v>
      </c>
      <c r="H20" s="57">
        <f t="shared" si="3"/>
        <v>0</v>
      </c>
      <c r="I20" s="57">
        <f t="shared" si="3"/>
        <v>0</v>
      </c>
      <c r="J20" s="57">
        <f t="shared" si="3"/>
        <v>0</v>
      </c>
      <c r="K20" s="57">
        <f t="shared" si="3"/>
        <v>0</v>
      </c>
      <c r="L20" s="57">
        <f t="shared" si="3"/>
        <v>0</v>
      </c>
      <c r="M20" s="57">
        <f t="shared" si="3"/>
        <v>0</v>
      </c>
      <c r="N20" s="57">
        <f t="shared" si="3"/>
        <v>0</v>
      </c>
      <c r="O20" s="57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0" priority="11" operator="equal">
      <formula>"RECEITA"</formula>
    </cfRule>
    <cfRule type="cellIs" dxfId="119" priority="12" operator="equal">
      <formula>"DESPESA"</formula>
    </cfRule>
    <cfRule type="cellIs" dxfId="118" priority="13" operator="equal">
      <formula>"RECEITA"</formula>
    </cfRule>
    <cfRule type="cellIs" dxfId="117" priority="14" operator="equal">
      <formula>"DESPESA"</formula>
    </cfRule>
    <cfRule type="cellIs" dxfId="116" priority="15" operator="equal">
      <formula>"RECEITA"</formula>
    </cfRule>
    <cfRule type="cellIs" dxfId="115" priority="16" operator="equal">
      <formula>"DESPESA"</formula>
    </cfRule>
  </conditionalFormatting>
  <conditionalFormatting sqref="B11">
    <cfRule type="cellIs" dxfId="114" priority="5" operator="equal">
      <formula>"RECEITA"</formula>
    </cfRule>
    <cfRule type="cellIs" dxfId="113" priority="6" operator="equal">
      <formula>"DESPESA"</formula>
    </cfRule>
    <cfRule type="cellIs" dxfId="112" priority="7" operator="equal">
      <formula>"RECEITA"</formula>
    </cfRule>
    <cfRule type="cellIs" dxfId="111" priority="8" operator="equal">
      <formula>"DESPESA"</formula>
    </cfRule>
    <cfRule type="cellIs" dxfId="110" priority="9" operator="equal">
      <formula>"RECEITA"</formula>
    </cfRule>
    <cfRule type="cellIs" dxfId="109" priority="10" operator="equal">
      <formula>"DESPESA"</formula>
    </cfRule>
  </conditionalFormatting>
  <conditionalFormatting sqref="C13:O13">
    <cfRule type="cellIs" dxfId="108" priority="3" operator="lessThan">
      <formula>0</formula>
    </cfRule>
    <cfRule type="cellIs" dxfId="107" priority="4" operator="greaterThan">
      <formula>0</formula>
    </cfRule>
  </conditionalFormatting>
  <conditionalFormatting sqref="C14:P14">
    <cfRule type="cellIs" dxfId="106" priority="1" operator="lessThan">
      <formula>0</formula>
    </cfRule>
    <cfRule type="cellIs" dxfId="10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80" zoomScaleNormal="80" workbookViewId="0">
      <pane ySplit="7" topLeftCell="A23" activePane="bottomLeft" state="frozen"/>
      <selection activeCell="B1" sqref="B1"/>
      <selection pane="bottomLeft" activeCell="E29" sqref="E29"/>
    </sheetView>
  </sheetViews>
  <sheetFormatPr defaultRowHeight="15" x14ac:dyDescent="0.25"/>
  <cols>
    <col min="2" max="2" width="36.85546875" bestFit="1" customWidth="1"/>
    <col min="3" max="3" width="3.7109375" customWidth="1"/>
    <col min="4" max="4" width="41.28515625" bestFit="1" customWidth="1"/>
    <col min="5" max="5" width="3.7109375" customWidth="1"/>
    <col min="6" max="6" width="32.42578125" bestFit="1" customWidth="1"/>
    <col min="7" max="7" width="3.7109375" customWidth="1"/>
    <col min="8" max="8" width="30.7109375" customWidth="1"/>
    <col min="9" max="9" width="3.7109375" customWidth="1"/>
    <col min="10" max="10" width="28" bestFit="1" customWidth="1"/>
    <col min="11" max="11" width="3.7109375" customWidth="1"/>
    <col min="12" max="12" width="42.5703125" bestFit="1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59" customFormat="1" ht="31.5" customHeight="1" x14ac:dyDescent="0.25"/>
    <row r="2" spans="2:16" s="59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102" t="s">
        <v>60</v>
      </c>
      <c r="P7" s="102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59" customFormat="1" ht="31.5" customHeight="1" x14ac:dyDescent="0.25"/>
    <row r="2" spans="2:2" s="59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4" t="s">
        <v>110</v>
      </c>
    </row>
    <row r="9" spans="2:2" ht="30" customHeight="1" x14ac:dyDescent="0.25">
      <c r="B9" s="64" t="s">
        <v>111</v>
      </c>
    </row>
    <row r="10" spans="2:2" ht="30" customHeight="1" x14ac:dyDescent="0.25">
      <c r="B10" s="64" t="s">
        <v>112</v>
      </c>
    </row>
    <row r="11" spans="2:2" ht="30" customHeight="1" x14ac:dyDescent="0.25">
      <c r="B11" s="64" t="s">
        <v>113</v>
      </c>
    </row>
    <row r="12" spans="2:2" ht="30" customHeight="1" x14ac:dyDescent="0.25">
      <c r="B12" s="64" t="s">
        <v>114</v>
      </c>
    </row>
    <row r="13" spans="2:2" ht="30" customHeight="1" x14ac:dyDescent="0.25">
      <c r="B13" s="64" t="s">
        <v>115</v>
      </c>
    </row>
    <row r="14" spans="2:2" ht="30" customHeight="1" x14ac:dyDescent="0.25">
      <c r="B14" s="64" t="s">
        <v>116</v>
      </c>
    </row>
    <row r="15" spans="2:2" ht="30" customHeight="1" x14ac:dyDescent="0.25">
      <c r="B15" s="64" t="s">
        <v>117</v>
      </c>
    </row>
    <row r="16" spans="2:2" ht="30" customHeight="1" x14ac:dyDescent="0.25">
      <c r="B16" s="64" t="s">
        <v>118</v>
      </c>
    </row>
    <row r="17" spans="2:2" ht="30" customHeight="1" x14ac:dyDescent="0.25">
      <c r="B17" s="64" t="s">
        <v>119</v>
      </c>
    </row>
    <row r="18" spans="2:2" ht="30" customHeight="1" x14ac:dyDescent="0.25">
      <c r="B18" s="64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pane ySplit="6" topLeftCell="A7" activePane="bottomLeft" state="frozen"/>
      <selection pane="bottomLeft" activeCell="A7" sqref="A7:XFD7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59" customFormat="1" ht="31.5" customHeight="1" x14ac:dyDescent="0.25"/>
    <row r="2" spans="2:16" s="59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04" priority="11" operator="equal">
      <formula>"RECEITA"</formula>
    </cfRule>
    <cfRule type="cellIs" dxfId="103" priority="12" operator="equal">
      <formula>"DESPESA"</formula>
    </cfRule>
    <cfRule type="cellIs" dxfId="102" priority="13" operator="equal">
      <formula>"RECEITA"</formula>
    </cfRule>
    <cfRule type="cellIs" dxfId="101" priority="14" operator="equal">
      <formula>"DESPESA"</formula>
    </cfRule>
    <cfRule type="cellIs" dxfId="100" priority="15" operator="equal">
      <formula>"RECEITA"</formula>
    </cfRule>
    <cfRule type="cellIs" dxfId="99" priority="16" operator="equal">
      <formula>"DESPESA"</formula>
    </cfRule>
  </conditionalFormatting>
  <conditionalFormatting sqref="B8:B10">
    <cfRule type="cellIs" dxfId="98" priority="5" operator="equal">
      <formula>"RECEITA"</formula>
    </cfRule>
    <cfRule type="cellIs" dxfId="97" priority="6" operator="equal">
      <formula>"DESPESA"</formula>
    </cfRule>
    <cfRule type="cellIs" dxfId="96" priority="7" operator="equal">
      <formula>"RECEITA"</formula>
    </cfRule>
    <cfRule type="cellIs" dxfId="95" priority="8" operator="equal">
      <formula>"DESPESA"</formula>
    </cfRule>
    <cfRule type="cellIs" dxfId="94" priority="9" operator="equal">
      <formula>"RECEITA"</formula>
    </cfRule>
    <cfRule type="cellIs" dxfId="93" priority="10" operator="equal">
      <formula>"DESPESA"</formula>
    </cfRule>
  </conditionalFormatting>
  <conditionalFormatting sqref="C16:O16">
    <cfRule type="cellIs" dxfId="92" priority="3" operator="lessThan">
      <formula>0</formula>
    </cfRule>
    <cfRule type="cellIs" dxfId="91" priority="4" operator="greaterThan">
      <formula>0</formula>
    </cfRule>
  </conditionalFormatting>
  <conditionalFormatting sqref="C17:P17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pane ySplit="7" topLeftCell="A8" activePane="bottomLeft" state="frozen"/>
      <selection pane="bottomLeft" activeCell="A8" sqref="A8:XFD8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59" customFormat="1" ht="31.5" customHeight="1" x14ac:dyDescent="0.25"/>
    <row r="2" spans="2:15" s="59" customFormat="1" ht="36" customHeight="1" x14ac:dyDescent="0.25"/>
    <row r="5" spans="2:15" ht="31.5" customHeight="1" x14ac:dyDescent="0.45">
      <c r="D5" s="106"/>
      <c r="E5" s="106"/>
      <c r="F5" s="55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94">
        <f>SUMIFS(AUXILIAR!$G$6:$G$941,AUXILIAR!$M$6:$M$941,'FC-DIARIO'!$B8,AUXILIAR!$I$6:$I$941,'FC-DIARIO'!C$7,AUXILIAR!$O$6:$O$941,'FC-DIARIO'!$F$5)</f>
        <v>0</v>
      </c>
      <c r="D8" s="94">
        <f>SUMIFS(AUXILIAR!$G$6:$G$941,AUXILIAR!$M$6:$M$941,'FC-DIARIO'!$B8,AUXILIAR!$I$6:$I$941,'FC-DIARIO'!D$7,AUXILIAR!$O$6:$O$941,'FC-DIARIO'!$F$5)</f>
        <v>34</v>
      </c>
      <c r="E8" s="95">
        <f>C8-D8</f>
        <v>-34</v>
      </c>
      <c r="F8" s="53"/>
      <c r="G8" s="52">
        <v>12</v>
      </c>
      <c r="H8" s="94">
        <f>SUMIFS(AUXILIAR!$G$6:$G$941,AUXILIAR!$M$6:$M$941,'FC-DIARIO'!$G8,AUXILIAR!$I$6:$I$941,'FC-DIARIO'!H$7,AUXILIAR!$O$6:$O$941,'FC-DIARIO'!$F$5)</f>
        <v>15</v>
      </c>
      <c r="I8" s="94">
        <f>SUMIFS(AUXILIAR!$G$6:$G$941,AUXILIAR!$M$6:$M$941,'FC-DIARIO'!$G8,AUXILIAR!$I$6:$I$941,'FC-DIARIO'!I$7,AUXILIAR!$O$6:$O$941,'FC-DIARIO'!$F$5)</f>
        <v>56</v>
      </c>
      <c r="J8" s="95">
        <f>H8-I8</f>
        <v>-41</v>
      </c>
      <c r="K8" s="53"/>
      <c r="L8" s="52">
        <v>23</v>
      </c>
      <c r="M8" s="94">
        <f>SUMIFS(AUXILIAR!$G$6:$G$941,AUXILIAR!$M$6:$M$941,'FC-DIARIO'!$L8,AUXILIAR!$I$6:$I$941,'FC-DIARIO'!M$7,AUXILIAR!$O$6:$O$941,'FC-DIARIO'!$F$5)</f>
        <v>1</v>
      </c>
      <c r="N8" s="94">
        <f>SUMIFS(AUXILIAR!$G$6:$G$941,AUXILIAR!$M$6:$M$941,'FC-DIARIO'!$L8,AUXILIAR!$I$6:$I$941,'FC-DIARIO'!N$7,AUXILIAR!$O$6:$O$941,'FC-DIARIO'!$F$5)</f>
        <v>42.3333333333333</v>
      </c>
      <c r="O8" s="95">
        <f>M8-N8</f>
        <v>-41.3333333333333</v>
      </c>
    </row>
    <row r="9" spans="2:15" ht="23.25" x14ac:dyDescent="0.25">
      <c r="B9" s="52">
        <v>2</v>
      </c>
      <c r="C9" s="94">
        <f>SUMIFS(AUXILIAR!$G$6:$G$941,AUXILIAR!$M$6:$M$941,'FC-DIARIO'!$B9,AUXILIAR!$I$6:$I$941,'FC-DIARIO'!C$7,AUXILIAR!$O$6:$O$941,'FC-DIARIO'!$F$5)</f>
        <v>0</v>
      </c>
      <c r="D9" s="94">
        <f>SUMIFS(AUXILIAR!$G$6:$G$941,AUXILIAR!$M$6:$M$941,'FC-DIARIO'!$B9,AUXILIAR!$I$6:$I$941,'FC-DIARIO'!D$7,AUXILIAR!$O$6:$O$941,'FC-DIARIO'!$F$5)</f>
        <v>36</v>
      </c>
      <c r="E9" s="95">
        <f t="shared" ref="E9:E18" si="0">C9-D9</f>
        <v>-36</v>
      </c>
      <c r="F9" s="53"/>
      <c r="G9" s="52">
        <v>13</v>
      </c>
      <c r="H9" s="94">
        <f>SUMIFS(AUXILIAR!$G$6:$G$941,AUXILIAR!$M$6:$M$941,'FC-DIARIO'!$G9,AUXILIAR!$I$6:$I$941,'FC-DIARIO'!H$7,AUXILIAR!$O$6:$O$941,'FC-DIARIO'!$F$5)</f>
        <v>0</v>
      </c>
      <c r="I9" s="94">
        <f>SUMIFS(AUXILIAR!$G$6:$G$941,AUXILIAR!$M$6:$M$941,'FC-DIARIO'!$G9,AUXILIAR!$I$6:$I$941,'FC-DIARIO'!I$7,AUXILIAR!$O$6:$O$941,'FC-DIARIO'!$F$5)</f>
        <v>62</v>
      </c>
      <c r="J9" s="95">
        <f t="shared" ref="J9:J18" si="1">H9-I9</f>
        <v>-62</v>
      </c>
      <c r="K9" s="53"/>
      <c r="L9" s="52">
        <v>24</v>
      </c>
      <c r="M9" s="94">
        <f>SUMIFS(AUXILIAR!$G$6:$G$941,AUXILIAR!$M$6:$M$941,'FC-DIARIO'!$L9,AUXILIAR!$I$6:$I$941,'FC-DIARIO'!M$7,AUXILIAR!$O$6:$O$941,'FC-DIARIO'!$F$5)</f>
        <v>1</v>
      </c>
      <c r="N9" s="94">
        <f>SUMIFS(AUXILIAR!$G$6:$G$941,AUXILIAR!$M$6:$M$941,'FC-DIARIO'!$L9,AUXILIAR!$I$6:$I$941,'FC-DIARIO'!N$7,AUXILIAR!$O$6:$O$941,'FC-DIARIO'!$F$5)</f>
        <v>19.8333333333333</v>
      </c>
      <c r="O9" s="95">
        <f t="shared" ref="O9:O16" si="2">M9-N9</f>
        <v>-18.8333333333333</v>
      </c>
    </row>
    <row r="10" spans="2:15" ht="23.25" x14ac:dyDescent="0.25">
      <c r="B10" s="52">
        <v>3</v>
      </c>
      <c r="C10" s="94">
        <f>SUMIFS(AUXILIAR!$G$6:$G$941,AUXILIAR!$M$6:$M$941,'FC-DIARIO'!$B10,AUXILIAR!$I$6:$I$941,'FC-DIARIO'!C$7,AUXILIAR!$O$6:$O$941,'FC-DIARIO'!$F$5)</f>
        <v>0</v>
      </c>
      <c r="D10" s="94">
        <f>SUMIFS(AUXILIAR!$G$6:$G$941,AUXILIAR!$M$6:$M$941,'FC-DIARIO'!$B10,AUXILIAR!$I$6:$I$941,'FC-DIARIO'!D$7,AUXILIAR!$O$6:$O$941,'FC-DIARIO'!$F$5)</f>
        <v>38</v>
      </c>
      <c r="E10" s="95">
        <f t="shared" si="0"/>
        <v>-38</v>
      </c>
      <c r="F10" s="53"/>
      <c r="G10" s="52">
        <v>14</v>
      </c>
      <c r="H10" s="94">
        <f>SUMIFS(AUXILIAR!$G$6:$G$941,AUXILIAR!$M$6:$M$941,'FC-DIARIO'!$G10,AUXILIAR!$I$6:$I$941,'FC-DIARIO'!H$7,AUXILIAR!$O$6:$O$941,'FC-DIARIO'!$F$5)</f>
        <v>0</v>
      </c>
      <c r="I10" s="94">
        <f>SUMIFS(AUXILIAR!$G$6:$G$941,AUXILIAR!$M$6:$M$941,'FC-DIARIO'!$G10,AUXILIAR!$I$6:$I$941,'FC-DIARIO'!I$7,AUXILIAR!$O$6:$O$941,'FC-DIARIO'!$F$5)</f>
        <v>67</v>
      </c>
      <c r="J10" s="95">
        <f t="shared" si="1"/>
        <v>-67</v>
      </c>
      <c r="K10" s="53"/>
      <c r="L10" s="52">
        <v>25</v>
      </c>
      <c r="M10" s="94">
        <f>SUMIFS(AUXILIAR!$G$6:$G$941,AUXILIAR!$M$6:$M$941,'FC-DIARIO'!$L10,AUXILIAR!$I$6:$I$941,'FC-DIARIO'!M$7,AUXILIAR!$O$6:$O$941,'FC-DIARIO'!$F$5)</f>
        <v>1</v>
      </c>
      <c r="N10" s="94">
        <f>SUMIFS(AUXILIAR!$G$6:$G$941,AUXILIAR!$M$6:$M$941,'FC-DIARIO'!$L10,AUXILIAR!$I$6:$I$941,'FC-DIARIO'!N$7,AUXILIAR!$O$6:$O$941,'FC-DIARIO'!$F$5)</f>
        <v>21.3333333333333</v>
      </c>
      <c r="O10" s="95">
        <f t="shared" si="2"/>
        <v>-20.3333333333333</v>
      </c>
    </row>
    <row r="11" spans="2:15" ht="23.25" x14ac:dyDescent="0.25">
      <c r="B11" s="52">
        <v>4</v>
      </c>
      <c r="C11" s="94">
        <f>SUMIFS(AUXILIAR!$G$6:$G$941,AUXILIAR!$M$6:$M$941,'FC-DIARIO'!$B11,AUXILIAR!$I$6:$I$941,'FC-DIARIO'!C$7,AUXILIAR!$O$6:$O$941,'FC-DIARIO'!$F$5)</f>
        <v>0</v>
      </c>
      <c r="D11" s="94">
        <f>SUMIFS(AUXILIAR!$G$6:$G$941,AUXILIAR!$M$6:$M$941,'FC-DIARIO'!$B11,AUXILIAR!$I$6:$I$941,'FC-DIARIO'!D$7,AUXILIAR!$O$6:$O$941,'FC-DIARIO'!$F$5)</f>
        <v>40</v>
      </c>
      <c r="E11" s="95">
        <f t="shared" si="0"/>
        <v>-40</v>
      </c>
      <c r="F11" s="53"/>
      <c r="G11" s="52">
        <v>15</v>
      </c>
      <c r="H11" s="94">
        <f>SUMIFS(AUXILIAR!$G$6:$G$941,AUXILIAR!$M$6:$M$941,'FC-DIARIO'!$G11,AUXILIAR!$I$6:$I$941,'FC-DIARIO'!H$7,AUXILIAR!$O$6:$O$941,'FC-DIARIO'!$F$5)</f>
        <v>0</v>
      </c>
      <c r="I11" s="94">
        <f>SUMIFS(AUXILIAR!$G$6:$G$941,AUXILIAR!$M$6:$M$941,'FC-DIARIO'!$G11,AUXILIAR!$I$6:$I$941,'FC-DIARIO'!I$7,AUXILIAR!$O$6:$O$941,'FC-DIARIO'!$F$5)</f>
        <v>71.333333333333329</v>
      </c>
      <c r="J11" s="95">
        <f t="shared" si="1"/>
        <v>-71.333333333333329</v>
      </c>
      <c r="K11" s="53"/>
      <c r="L11" s="52">
        <v>26</v>
      </c>
      <c r="M11" s="94">
        <f>SUMIFS(AUXILIAR!$G$6:$G$941,AUXILIAR!$M$6:$M$941,'FC-DIARIO'!$L11,AUXILIAR!$I$6:$I$941,'FC-DIARIO'!M$7,AUXILIAR!$O$6:$O$941,'FC-DIARIO'!$F$5)</f>
        <v>1</v>
      </c>
      <c r="N11" s="94">
        <f>SUMIFS(AUXILIAR!$G$6:$G$941,AUXILIAR!$M$6:$M$941,'FC-DIARIO'!$L11,AUXILIAR!$I$6:$I$941,'FC-DIARIO'!N$7,AUXILIAR!$O$6:$O$941,'FC-DIARIO'!$F$5)</f>
        <v>48.8333333333333</v>
      </c>
      <c r="O11" s="95">
        <f t="shared" si="2"/>
        <v>-47.8333333333333</v>
      </c>
    </row>
    <row r="12" spans="2:15" ht="23.25" x14ac:dyDescent="0.25">
      <c r="B12" s="52">
        <v>5</v>
      </c>
      <c r="C12" s="94">
        <f>SUMIFS(AUXILIAR!$G$6:$G$941,AUXILIAR!$M$6:$M$941,'FC-DIARIO'!$B12,AUXILIAR!$I$6:$I$941,'FC-DIARIO'!C$7,AUXILIAR!$O$6:$O$941,'FC-DIARIO'!$F$5)</f>
        <v>0</v>
      </c>
      <c r="D12" s="94">
        <f>SUMIFS(AUXILIAR!$G$6:$G$941,AUXILIAR!$M$6:$M$941,'FC-DIARIO'!$B12,AUXILIAR!$I$6:$I$941,'FC-DIARIO'!D$7,AUXILIAR!$O$6:$O$941,'FC-DIARIO'!$F$5)</f>
        <v>42</v>
      </c>
      <c r="E12" s="95">
        <f t="shared" si="0"/>
        <v>-42</v>
      </c>
      <c r="F12" s="53"/>
      <c r="G12" s="52">
        <v>16</v>
      </c>
      <c r="H12" s="94">
        <f>SUMIFS(AUXILIAR!$G$6:$G$941,AUXILIAR!$M$6:$M$941,'FC-DIARIO'!$G12,AUXILIAR!$I$6:$I$941,'FC-DIARIO'!H$7,AUXILIAR!$O$6:$O$941,'FC-DIARIO'!$F$5)</f>
        <v>0</v>
      </c>
      <c r="I12" s="94">
        <f>SUMIFS(AUXILIAR!$G$6:$G$941,AUXILIAR!$M$6:$M$941,'FC-DIARIO'!$G12,AUXILIAR!$I$6:$I$941,'FC-DIARIO'!I$7,AUXILIAR!$O$6:$O$941,'FC-DIARIO'!$F$5)</f>
        <v>69.833333333333329</v>
      </c>
      <c r="J12" s="95">
        <f t="shared" si="1"/>
        <v>-69.833333333333329</v>
      </c>
      <c r="K12" s="53"/>
      <c r="L12" s="52">
        <v>27</v>
      </c>
      <c r="M12" s="94">
        <f>SUMIFS(AUXILIAR!$G$6:$G$941,AUXILIAR!$M$6:$M$941,'FC-DIARIO'!$L12,AUXILIAR!$I$6:$I$941,'FC-DIARIO'!M$7,AUXILIAR!$O$6:$O$941,'FC-DIARIO'!$F$5)</f>
        <v>1</v>
      </c>
      <c r="N12" s="94">
        <f>SUMIFS(AUXILIAR!$G$6:$G$941,AUXILIAR!$M$6:$M$941,'FC-DIARIO'!$L12,AUXILIAR!$I$6:$I$941,'FC-DIARIO'!N$7,AUXILIAR!$O$6:$O$941,'FC-DIARIO'!$F$5)</f>
        <v>51.3333333333333</v>
      </c>
      <c r="O12" s="95">
        <f t="shared" si="2"/>
        <v>-50.3333333333333</v>
      </c>
    </row>
    <row r="13" spans="2:15" ht="23.25" x14ac:dyDescent="0.25">
      <c r="B13" s="52">
        <v>6</v>
      </c>
      <c r="C13" s="94">
        <f>SUMIFS(AUXILIAR!$G$6:$G$941,AUXILIAR!$M$6:$M$941,'FC-DIARIO'!$B13,AUXILIAR!$I$6:$I$941,'FC-DIARIO'!C$7,AUXILIAR!$O$6:$O$941,'FC-DIARIO'!$F$5)</f>
        <v>0</v>
      </c>
      <c r="D13" s="94">
        <f>SUMIFS(AUXILIAR!$G$6:$G$941,AUXILIAR!$M$6:$M$941,'FC-DIARIO'!$B13,AUXILIAR!$I$6:$I$941,'FC-DIARIO'!D$7,AUXILIAR!$O$6:$O$941,'FC-DIARIO'!$F$5)</f>
        <v>44</v>
      </c>
      <c r="E13" s="95">
        <f t="shared" si="0"/>
        <v>-44</v>
      </c>
      <c r="F13" s="54"/>
      <c r="G13" s="52">
        <v>17</v>
      </c>
      <c r="H13" s="94">
        <f>SUMIFS(AUXILIAR!$G$6:$G$941,AUXILIAR!$M$6:$M$941,'FC-DIARIO'!$G13,AUXILIAR!$I$6:$I$941,'FC-DIARIO'!H$7,AUXILIAR!$O$6:$O$941,'FC-DIARIO'!$F$5)</f>
        <v>0</v>
      </c>
      <c r="I13" s="94">
        <f>SUMIFS(AUXILIAR!$G$6:$G$941,AUXILIAR!$M$6:$M$941,'FC-DIARIO'!$G13,AUXILIAR!$I$6:$I$941,'FC-DIARIO'!I$7,AUXILIAR!$O$6:$O$941,'FC-DIARIO'!$F$5)</f>
        <v>70.733333333333334</v>
      </c>
      <c r="J13" s="95">
        <f t="shared" si="1"/>
        <v>-70.733333333333334</v>
      </c>
      <c r="K13" s="54"/>
      <c r="L13" s="52">
        <v>28</v>
      </c>
      <c r="M13" s="94">
        <f>SUMIFS(AUXILIAR!$G$6:$G$941,AUXILIAR!$M$6:$M$941,'FC-DIARIO'!$L13,AUXILIAR!$I$6:$I$941,'FC-DIARIO'!M$7,AUXILIAR!$O$6:$O$941,'FC-DIARIO'!$F$5)</f>
        <v>1</v>
      </c>
      <c r="N13" s="94">
        <f>SUMIFS(AUXILIAR!$G$6:$G$941,AUXILIAR!$M$6:$M$941,'FC-DIARIO'!$L13,AUXILIAR!$I$6:$I$941,'FC-DIARIO'!N$7,AUXILIAR!$O$6:$O$941,'FC-DIARIO'!$F$5)</f>
        <v>53.8333333333333</v>
      </c>
      <c r="O13" s="95">
        <f t="shared" si="2"/>
        <v>-52.8333333333333</v>
      </c>
    </row>
    <row r="14" spans="2:15" ht="30" customHeight="1" x14ac:dyDescent="0.25">
      <c r="B14" s="52">
        <v>7</v>
      </c>
      <c r="C14" s="94">
        <f>SUMIFS(AUXILIAR!$G$6:$G$941,AUXILIAR!$M$6:$M$941,'FC-DIARIO'!$B14,AUXILIAR!$I$6:$I$941,'FC-DIARIO'!C$7,AUXILIAR!$O$6:$O$941,'FC-DIARIO'!$F$5)</f>
        <v>0</v>
      </c>
      <c r="D14" s="94">
        <f>SUMIFS(AUXILIAR!$G$6:$G$941,AUXILIAR!$M$6:$M$941,'FC-DIARIO'!$B14,AUXILIAR!$I$6:$I$941,'FC-DIARIO'!D$7,AUXILIAR!$O$6:$O$941,'FC-DIARIO'!$F$5)</f>
        <v>46</v>
      </c>
      <c r="E14" s="95">
        <f t="shared" si="0"/>
        <v>-46</v>
      </c>
      <c r="F14" s="54"/>
      <c r="G14" s="52">
        <v>18</v>
      </c>
      <c r="H14" s="94">
        <f>SUMIFS(AUXILIAR!$G$6:$G$941,AUXILIAR!$M$6:$M$941,'FC-DIARIO'!$G14,AUXILIAR!$I$6:$I$941,'FC-DIARIO'!H$7,AUXILIAR!$O$6:$O$941,'FC-DIARIO'!$F$5)</f>
        <v>0</v>
      </c>
      <c r="I14" s="94">
        <f>SUMIFS(AUXILIAR!$G$6:$G$941,AUXILIAR!$M$6:$M$941,'FC-DIARIO'!$G14,AUXILIAR!$I$6:$I$941,'FC-DIARIO'!I$7,AUXILIAR!$O$6:$O$941,'FC-DIARIO'!$F$5)</f>
        <v>71.633333333333297</v>
      </c>
      <c r="J14" s="95">
        <f t="shared" si="1"/>
        <v>-71.633333333333297</v>
      </c>
      <c r="K14" s="54"/>
      <c r="L14" s="52">
        <v>29</v>
      </c>
      <c r="M14" s="94">
        <f>SUMIFS(AUXILIAR!$G$6:$G$941,AUXILIAR!$M$6:$M$941,'FC-DIARIO'!$L14,AUXILIAR!$I$6:$I$941,'FC-DIARIO'!M$7,AUXILIAR!$O$6:$O$941,'FC-DIARIO'!$F$5)</f>
        <v>1</v>
      </c>
      <c r="N14" s="94">
        <f>SUMIFS(AUXILIAR!$G$6:$G$941,AUXILIAR!$M$6:$M$941,'FC-DIARIO'!$L14,AUXILIAR!$I$6:$I$941,'FC-DIARIO'!N$7,AUXILIAR!$O$6:$O$941,'FC-DIARIO'!$F$5)</f>
        <v>56.3333333333333</v>
      </c>
      <c r="O14" s="95">
        <f t="shared" si="2"/>
        <v>-55.3333333333333</v>
      </c>
    </row>
    <row r="15" spans="2:15" ht="30" customHeight="1" x14ac:dyDescent="0.25">
      <c r="B15" s="52">
        <v>8</v>
      </c>
      <c r="C15" s="94">
        <f>SUMIFS(AUXILIAR!$G$6:$G$941,AUXILIAR!$M$6:$M$941,'FC-DIARIO'!$B15,AUXILIAR!$I$6:$I$941,'FC-DIARIO'!C$7,AUXILIAR!$O$6:$O$941,'FC-DIARIO'!$F$5)</f>
        <v>0</v>
      </c>
      <c r="D15" s="94">
        <f>SUMIFS(AUXILIAR!$G$6:$G$941,AUXILIAR!$M$6:$M$941,'FC-DIARIO'!$B15,AUXILIAR!$I$6:$I$941,'FC-DIARIO'!D$7,AUXILIAR!$O$6:$O$941,'FC-DIARIO'!$F$5)</f>
        <v>48</v>
      </c>
      <c r="E15" s="95">
        <f t="shared" si="0"/>
        <v>-48</v>
      </c>
      <c r="F15" s="54"/>
      <c r="G15" s="52">
        <v>19</v>
      </c>
      <c r="H15" s="94">
        <f>SUMIFS(AUXILIAR!$G$6:$G$941,AUXILIAR!$M$6:$M$941,'FC-DIARIO'!$G15,AUXILIAR!$I$6:$I$941,'FC-DIARIO'!H$7,AUXILIAR!$O$6:$O$941,'FC-DIARIO'!$F$5)</f>
        <v>0</v>
      </c>
      <c r="I15" s="94">
        <f>SUMIFS(AUXILIAR!$G$6:$G$941,AUXILIAR!$M$6:$M$941,'FC-DIARIO'!$G15,AUXILIAR!$I$6:$I$941,'FC-DIARIO'!I$7,AUXILIAR!$O$6:$O$941,'FC-DIARIO'!$F$5)</f>
        <v>22.533333333333299</v>
      </c>
      <c r="J15" s="95">
        <f t="shared" si="1"/>
        <v>-22.533333333333299</v>
      </c>
      <c r="K15" s="54"/>
      <c r="L15" s="52">
        <v>30</v>
      </c>
      <c r="M15" s="94">
        <f>SUMIFS(AUXILIAR!$G$6:$G$941,AUXILIAR!$M$6:$M$941,'FC-DIARIO'!$L15,AUXILIAR!$I$6:$I$941,'FC-DIARIO'!M$7,AUXILIAR!$O$6:$O$941,'FC-DIARIO'!$F$5)</f>
        <v>1</v>
      </c>
      <c r="N15" s="94">
        <f>SUMIFS(AUXILIAR!$G$6:$G$941,AUXILIAR!$M$6:$M$941,'FC-DIARIO'!$L15,AUXILIAR!$I$6:$I$941,'FC-DIARIO'!N$7,AUXILIAR!$O$6:$O$941,'FC-DIARIO'!$F$5)</f>
        <v>58.8333333333333</v>
      </c>
      <c r="O15" s="95">
        <f t="shared" si="2"/>
        <v>-57.8333333333333</v>
      </c>
    </row>
    <row r="16" spans="2:15" ht="30" customHeight="1" x14ac:dyDescent="0.25">
      <c r="B16" s="52">
        <v>9</v>
      </c>
      <c r="C16" s="94">
        <f>SUMIFS(AUXILIAR!$G$6:$G$941,AUXILIAR!$M$6:$M$941,'FC-DIARIO'!$B16,AUXILIAR!$I$6:$I$941,'FC-DIARIO'!C$7,AUXILIAR!$O$6:$O$941,'FC-DIARIO'!$F$5)</f>
        <v>0</v>
      </c>
      <c r="D16" s="94">
        <f>SUMIFS(AUXILIAR!$G$6:$G$941,AUXILIAR!$M$6:$M$941,'FC-DIARIO'!$B16,AUXILIAR!$I$6:$I$941,'FC-DIARIO'!D$7,AUXILIAR!$O$6:$O$941,'FC-DIARIO'!$F$5)</f>
        <v>50</v>
      </c>
      <c r="E16" s="95">
        <f t="shared" si="0"/>
        <v>-50</v>
      </c>
      <c r="F16" s="54"/>
      <c r="G16" s="52">
        <v>20</v>
      </c>
      <c r="H16" s="94">
        <f>SUMIFS(AUXILIAR!$G$6:$G$941,AUXILIAR!$M$6:$M$941,'FC-DIARIO'!$G16,AUXILIAR!$I$6:$I$941,'FC-DIARIO'!H$7,AUXILIAR!$O$6:$O$941,'FC-DIARIO'!$F$5)</f>
        <v>14.8333333333333</v>
      </c>
      <c r="I16" s="94">
        <f>SUMIFS(AUXILIAR!$G$6:$G$941,AUXILIAR!$M$6:$M$941,'FC-DIARIO'!$G16,AUXILIAR!$I$6:$I$941,'FC-DIARIO'!I$7,AUXILIAR!$O$6:$O$941,'FC-DIARIO'!$F$5)</f>
        <v>21</v>
      </c>
      <c r="J16" s="95">
        <f t="shared" si="1"/>
        <v>-6.1666666666666998</v>
      </c>
      <c r="K16" s="54"/>
      <c r="L16" s="52">
        <v>31</v>
      </c>
      <c r="M16" s="94">
        <f>SUMIFS(AUXILIAR!$G$6:$G$941,AUXILIAR!$M$6:$M$941,'FC-DIARIO'!$L16,AUXILIAR!$I$6:$I$941,'FC-DIARIO'!M$7,AUXILIAR!$O$6:$O$941,'FC-DIARIO'!$F$5)</f>
        <v>1</v>
      </c>
      <c r="N16" s="94">
        <f>SUMIFS(AUXILIAR!$G$6:$G$941,AUXILIAR!$M$6:$M$941,'FC-DIARIO'!$L16,AUXILIAR!$I$6:$I$941,'FC-DIARIO'!N$7,AUXILIAR!$O$6:$O$941,'FC-DIARIO'!$F$5)</f>
        <v>61.3333333333333</v>
      </c>
      <c r="O16" s="95">
        <f t="shared" si="2"/>
        <v>-60.3333333333333</v>
      </c>
    </row>
    <row r="17" spans="2:15" ht="30" customHeight="1" x14ac:dyDescent="0.25">
      <c r="B17" s="52">
        <v>10</v>
      </c>
      <c r="C17" s="94">
        <f>SUMIFS(AUXILIAR!$G$6:$G$941,AUXILIAR!$M$6:$M$941,'FC-DIARIO'!$B17,AUXILIAR!$I$6:$I$941,'FC-DIARIO'!C$7,AUXILIAR!$O$6:$O$941,'FC-DIARIO'!$F$5)</f>
        <v>0</v>
      </c>
      <c r="D17" s="94">
        <f>SUMIFS(AUXILIAR!$G$6:$G$941,AUXILIAR!$M$6:$M$941,'FC-DIARIO'!$B17,AUXILIAR!$I$6:$I$941,'FC-DIARIO'!D$7,AUXILIAR!$O$6:$O$941,'FC-DIARIO'!$F$5)</f>
        <v>52</v>
      </c>
      <c r="E17" s="95">
        <f t="shared" si="0"/>
        <v>-52</v>
      </c>
      <c r="F17" s="54"/>
      <c r="G17" s="52">
        <v>21</v>
      </c>
      <c r="H17" s="94">
        <f>SUMIFS(AUXILIAR!$G$6:$G$941,AUXILIAR!$M$6:$M$941,'FC-DIARIO'!$G17,AUXILIAR!$I$6:$I$941,'FC-DIARIO'!H$7,AUXILIAR!$O$6:$O$941,'FC-DIARIO'!$F$5)</f>
        <v>1</v>
      </c>
      <c r="I17" s="94">
        <f>SUMIFS(AUXILIAR!$G$6:$G$941,AUXILIAR!$M$6:$M$941,'FC-DIARIO'!$G17,AUXILIAR!$I$6:$I$941,'FC-DIARIO'!I$7,AUXILIAR!$O$6:$O$941,'FC-DIARIO'!$F$5)</f>
        <v>37.3333333333333</v>
      </c>
      <c r="J17" s="95">
        <f t="shared" si="1"/>
        <v>-36.3333333333333</v>
      </c>
      <c r="K17" s="54"/>
      <c r="L17" s="103" t="s">
        <v>32</v>
      </c>
      <c r="M17" s="105">
        <f>SUM(M8:M16,H8:H18,C8:C18)</f>
        <v>40.8333333333333</v>
      </c>
      <c r="N17" s="105">
        <f>SUM(N8:N16,I8:I18,D8:D18)</f>
        <v>1487.2333333333331</v>
      </c>
      <c r="O17" s="105">
        <f>M17-N17</f>
        <v>-1446.3999999999999</v>
      </c>
    </row>
    <row r="18" spans="2:15" ht="30" customHeight="1" x14ac:dyDescent="0.25">
      <c r="B18" s="52">
        <v>11</v>
      </c>
      <c r="C18" s="94">
        <f>SUMIFS(AUXILIAR!$G$6:$G$941,AUXILIAR!$M$6:$M$941,'FC-DIARIO'!$B18,AUXILIAR!$I$6:$I$941,'FC-DIARIO'!C$7,AUXILIAR!$O$6:$O$941,'FC-DIARIO'!$F$5)</f>
        <v>0</v>
      </c>
      <c r="D18" s="94">
        <f>SUMIFS(AUXILIAR!$G$6:$G$941,AUXILIAR!$M$6:$M$941,'FC-DIARIO'!$B18,AUXILIAR!$I$6:$I$941,'FC-DIARIO'!D$7,AUXILIAR!$O$6:$O$941,'FC-DIARIO'!$F$5)</f>
        <v>54</v>
      </c>
      <c r="E18" s="95">
        <f t="shared" si="0"/>
        <v>-54</v>
      </c>
      <c r="F18" s="54"/>
      <c r="G18" s="52">
        <v>22</v>
      </c>
      <c r="H18" s="94">
        <f>SUMIFS(AUXILIAR!$G$6:$G$941,AUXILIAR!$M$6:$M$941,'FC-DIARIO'!$G18,AUXILIAR!$I$6:$I$941,'FC-DIARIO'!H$7,AUXILIAR!$O$6:$O$941,'FC-DIARIO'!$F$5)</f>
        <v>1</v>
      </c>
      <c r="I18" s="94">
        <f>SUMIFS(AUXILIAR!$G$6:$G$941,AUXILIAR!$M$6:$M$941,'FC-DIARIO'!$G18,AUXILIAR!$I$6:$I$941,'FC-DIARIO'!I$7,AUXILIAR!$O$6:$O$941,'FC-DIARIO'!$F$5)</f>
        <v>39.8333333333333</v>
      </c>
      <c r="J18" s="95">
        <f t="shared" si="1"/>
        <v>-38.8333333333333</v>
      </c>
      <c r="K18" s="54"/>
      <c r="L18" s="104"/>
      <c r="M18" s="105"/>
      <c r="N18" s="105"/>
      <c r="O18" s="105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88" priority="53" operator="lessThan">
      <formula>0</formula>
    </cfRule>
    <cfRule type="cellIs" dxfId="87" priority="54" operator="greaterThan">
      <formula>0</formula>
    </cfRule>
  </conditionalFormatting>
  <conditionalFormatting sqref="F12 K12">
    <cfRule type="cellIs" dxfId="86" priority="51" operator="lessThan">
      <formula>0</formula>
    </cfRule>
    <cfRule type="cellIs" dxfId="85" priority="52" operator="greaterThan">
      <formula>0</formula>
    </cfRule>
  </conditionalFormatting>
  <conditionalFormatting sqref="E8:E18">
    <cfRule type="cellIs" dxfId="84" priority="20" operator="lessThan">
      <formula>0</formula>
    </cfRule>
    <cfRule type="cellIs" dxfId="83" priority="21" operator="greaterThan">
      <formula>0</formula>
    </cfRule>
  </conditionalFormatting>
  <conditionalFormatting sqref="E8:E18">
    <cfRule type="cellIs" dxfId="82" priority="19" operator="equal">
      <formula>0</formula>
    </cfRule>
  </conditionalFormatting>
  <conditionalFormatting sqref="J8:J18">
    <cfRule type="cellIs" dxfId="81" priority="11" operator="lessThan">
      <formula>0</formula>
    </cfRule>
    <cfRule type="cellIs" dxfId="80" priority="12" operator="greaterThan">
      <formula>0</formula>
    </cfRule>
  </conditionalFormatting>
  <conditionalFormatting sqref="J8:J18">
    <cfRule type="cellIs" dxfId="79" priority="10" operator="equal">
      <formula>0</formula>
    </cfRule>
  </conditionalFormatting>
  <conditionalFormatting sqref="O8:O16">
    <cfRule type="cellIs" dxfId="78" priority="8" operator="lessThan">
      <formula>0</formula>
    </cfRule>
    <cfRule type="cellIs" dxfId="77" priority="9" operator="greaterThan">
      <formula>0</formula>
    </cfRule>
  </conditionalFormatting>
  <conditionalFormatting sqref="O8:O16">
    <cfRule type="cellIs" dxfId="76" priority="7" operator="equal">
      <formula>0</formula>
    </cfRule>
  </conditionalFormatting>
  <conditionalFormatting sqref="L17:M17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L17:M17">
    <cfRule type="cellIs" dxfId="73" priority="4" operator="equal">
      <formula>0</formula>
    </cfRule>
  </conditionalFormatting>
  <conditionalFormatting sqref="N17:O17">
    <cfRule type="cellIs" dxfId="72" priority="2" operator="lessThan">
      <formula>0</formula>
    </cfRule>
    <cfRule type="cellIs" dxfId="71" priority="3" operator="greaterThan">
      <formula>0</formula>
    </cfRule>
  </conditionalFormatting>
  <conditionalFormatting sqref="N17:O17">
    <cfRule type="cellIs" dxfId="7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1" customFormat="1" ht="31.5" customHeight="1" x14ac:dyDescent="0.25"/>
    <row r="2" spans="2:16" s="61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3755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80770.766666666663</v>
      </c>
      <c r="P12" s="28">
        <f t="shared" si="4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3747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79811.933333333334</v>
      </c>
      <c r="P13" s="28">
        <f t="shared" si="5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3384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79907.100000000006</v>
      </c>
      <c r="P14" s="28">
        <f t="shared" si="6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3276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69730.566666666666</v>
      </c>
      <c r="P15" s="28">
        <f t="shared" si="7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14162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310220.3666666667</v>
      </c>
      <c r="P16" s="27">
        <f t="shared" si="8"/>
        <v>310220.3666666667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-7142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-7142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3276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75846.566666666666</v>
      </c>
      <c r="P22" s="27">
        <f t="shared" si="11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9960.366666666665</v>
      </c>
      <c r="P26" s="26">
        <f t="shared" si="13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9960.366666666665</v>
      </c>
      <c r="P27" s="26">
        <f t="shared" si="13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9960.366666666665</v>
      </c>
      <c r="P28" s="26">
        <f t="shared" si="13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9960.366666666665</v>
      </c>
      <c r="P29" s="26">
        <f t="shared" si="13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9960.366666666665</v>
      </c>
      <c r="P30" s="26">
        <f t="shared" si="13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9960.366666666665</v>
      </c>
      <c r="P31" s="26">
        <f t="shared" si="13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9960.366666666665</v>
      </c>
      <c r="P32" s="26">
        <f t="shared" si="13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3744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81731.933333333334</v>
      </c>
      <c r="P36" s="27">
        <f t="shared" si="14"/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9960.366666666665</v>
      </c>
      <c r="P39" s="26">
        <f t="shared" si="16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9960.366666666665</v>
      </c>
      <c r="P40" s="26">
        <f t="shared" si="16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9960.366666666665</v>
      </c>
      <c r="P41" s="26">
        <f t="shared" si="16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9960.366666666665</v>
      </c>
      <c r="P42" s="26">
        <f t="shared" si="16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9960.366666666665</v>
      </c>
      <c r="P43" s="26">
        <f t="shared" si="16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9960.366666666665</v>
      </c>
      <c r="P44" s="26">
        <f t="shared" si="16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9960.366666666665</v>
      </c>
      <c r="P45" s="26">
        <f t="shared" si="16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9960.366666666665</v>
      </c>
      <c r="P46" s="26">
        <f t="shared" si="16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3755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80770.766666666663</v>
      </c>
      <c r="P49" s="27">
        <f t="shared" si="17"/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1082.8333333333333</v>
      </c>
      <c r="P51" s="26">
        <f t="shared" ref="P51:P60" si="19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9960.366666666665</v>
      </c>
      <c r="P52" s="26">
        <f t="shared" si="19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9960.366666666665</v>
      </c>
      <c r="P53" s="26">
        <f t="shared" si="19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9960.366666666665</v>
      </c>
      <c r="P54" s="26">
        <f t="shared" si="19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9960.366666666665</v>
      </c>
      <c r="P55" s="26">
        <f t="shared" si="19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9960.366666666665</v>
      </c>
      <c r="P56" s="26">
        <f t="shared" si="19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9960.366666666665</v>
      </c>
      <c r="P57" s="26">
        <f t="shared" si="19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9960.366666666665</v>
      </c>
      <c r="P58" s="26">
        <f t="shared" si="19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9960.366666666665</v>
      </c>
      <c r="P59" s="26">
        <f t="shared" si="19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3747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79811.933333333334</v>
      </c>
      <c r="P62" s="27">
        <f t="shared" si="20"/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54</v>
      </c>
      <c r="P64" s="26">
        <f t="shared" ref="P64:P73" si="22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9960.366666666665</v>
      </c>
      <c r="P65" s="26">
        <f t="shared" si="22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9960.366666666665</v>
      </c>
      <c r="P66" s="26">
        <f t="shared" si="22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9960.366666666665</v>
      </c>
      <c r="P67" s="26">
        <f t="shared" si="22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9960.366666666665</v>
      </c>
      <c r="P68" s="26">
        <f t="shared" si="22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9960.366666666665</v>
      </c>
      <c r="P69" s="26">
        <f t="shared" si="22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9960.366666666665</v>
      </c>
      <c r="P70" s="26">
        <f t="shared" si="22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9960.366666666665</v>
      </c>
      <c r="P71" s="26">
        <f t="shared" si="22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9960.366666666665</v>
      </c>
      <c r="P72" s="26">
        <f t="shared" si="22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3384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79907.100000000006</v>
      </c>
      <c r="P75" s="27">
        <f t="shared" si="23"/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72.533333333333303</v>
      </c>
      <c r="P78" s="26">
        <f t="shared" si="25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9960.366666666665</v>
      </c>
      <c r="P79" s="26">
        <f t="shared" si="25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9960.366666666665</v>
      </c>
      <c r="P80" s="26">
        <f t="shared" si="25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9960.366666666665</v>
      </c>
      <c r="P81" s="26">
        <f t="shared" si="25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9960.366666666665</v>
      </c>
      <c r="P82" s="26">
        <f t="shared" si="25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9960.366666666665</v>
      </c>
      <c r="P83" s="26">
        <f t="shared" si="25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9960.366666666665</v>
      </c>
      <c r="P84" s="26">
        <f t="shared" si="25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9960.366666666665</v>
      </c>
      <c r="P85" s="26">
        <f t="shared" si="25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100</v>
      </c>
      <c r="P86" s="26">
        <f t="shared" si="25"/>
        <v>100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3276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69730.566666666666</v>
      </c>
      <c r="P88" s="22">
        <f t="shared" si="26"/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9960.366666666665</v>
      </c>
      <c r="P92" s="23">
        <f t="shared" si="28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9960.366666666665</v>
      </c>
      <c r="P93" s="23">
        <f t="shared" si="28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9960.366666666665</v>
      </c>
      <c r="P94" s="23">
        <f t="shared" si="28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9960.366666666665</v>
      </c>
      <c r="P95" s="23">
        <f t="shared" si="28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9960.366666666665</v>
      </c>
      <c r="P96" s="23">
        <f t="shared" si="28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9960.366666666665</v>
      </c>
      <c r="P97" s="23">
        <f t="shared" si="28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9960.366666666665</v>
      </c>
      <c r="P98" s="23">
        <f t="shared" si="28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69" priority="92" operator="equal">
      <formula>"RECEITA"</formula>
    </cfRule>
    <cfRule type="cellIs" dxfId="68" priority="93" operator="equal">
      <formula>"DESPESA"</formula>
    </cfRule>
    <cfRule type="cellIs" dxfId="67" priority="94" operator="equal">
      <formula>"RECEITA"</formula>
    </cfRule>
    <cfRule type="cellIs" dxfId="66" priority="95" operator="equal">
      <formula>"DESPESA"</formula>
    </cfRule>
    <cfRule type="cellIs" dxfId="65" priority="96" operator="equal">
      <formula>"RECEITA"</formula>
    </cfRule>
    <cfRule type="cellIs" dxfId="64" priority="97" operator="equal">
      <formula>"DESPESA"</formula>
    </cfRule>
  </conditionalFormatting>
  <conditionalFormatting sqref="B11:B15">
    <cfRule type="cellIs" dxfId="63" priority="86" operator="equal">
      <formula>"RECEITA"</formula>
    </cfRule>
    <cfRule type="cellIs" dxfId="62" priority="87" operator="equal">
      <formula>"DESPESA"</formula>
    </cfRule>
    <cfRule type="cellIs" dxfId="61" priority="88" operator="equal">
      <formula>"RECEITA"</formula>
    </cfRule>
    <cfRule type="cellIs" dxfId="60" priority="89" operator="equal">
      <formula>"DESPESA"</formula>
    </cfRule>
    <cfRule type="cellIs" dxfId="59" priority="90" operator="equal">
      <formula>"RECEITA"</formula>
    </cfRule>
    <cfRule type="cellIs" dxfId="58" priority="91" operator="equal">
      <formula>"DESPESA"</formula>
    </cfRule>
  </conditionalFormatting>
  <conditionalFormatting sqref="C17:E18">
    <cfRule type="cellIs" dxfId="57" priority="84" operator="lessThan">
      <formula>0</formula>
    </cfRule>
    <cfRule type="cellIs" dxfId="56" priority="85" operator="greaterThan">
      <formula>0</formula>
    </cfRule>
  </conditionalFormatting>
  <conditionalFormatting sqref="C18:E18">
    <cfRule type="cellIs" dxfId="55" priority="82" operator="lessThan">
      <formula>0</formula>
    </cfRule>
    <cfRule type="cellIs" dxfId="54" priority="83" operator="greaterThan">
      <formula>0</formula>
    </cfRule>
  </conditionalFormatting>
  <conditionalFormatting sqref="B21">
    <cfRule type="cellIs" dxfId="53" priority="60" operator="equal">
      <formula>"RECEITA"</formula>
    </cfRule>
    <cfRule type="cellIs" dxfId="52" priority="61" operator="equal">
      <formula>"DESPESA"</formula>
    </cfRule>
    <cfRule type="cellIs" dxfId="51" priority="62" operator="equal">
      <formula>"RECEITA"</formula>
    </cfRule>
    <cfRule type="cellIs" dxfId="50" priority="63" operator="equal">
      <formula>"DESPESA"</formula>
    </cfRule>
    <cfRule type="cellIs" dxfId="49" priority="64" operator="equal">
      <formula>"RECEITA"</formula>
    </cfRule>
    <cfRule type="cellIs" dxfId="48" priority="65" operator="equal">
      <formula>"DESPESA"</formula>
    </cfRule>
  </conditionalFormatting>
  <conditionalFormatting sqref="B22:B33">
    <cfRule type="cellIs" dxfId="47" priority="54" operator="equal">
      <formula>"RECEITA"</formula>
    </cfRule>
    <cfRule type="cellIs" dxfId="46" priority="55" operator="equal">
      <formula>"DESPESA"</formula>
    </cfRule>
    <cfRule type="cellIs" dxfId="45" priority="56" operator="equal">
      <formula>"RECEITA"</formula>
    </cfRule>
    <cfRule type="cellIs" dxfId="44" priority="57" operator="equal">
      <formula>"DESPESA"</formula>
    </cfRule>
    <cfRule type="cellIs" dxfId="43" priority="58" operator="equal">
      <formula>"RECEITA"</formula>
    </cfRule>
    <cfRule type="cellIs" dxfId="42" priority="59" operator="equal">
      <formula>"DESPESA"</formula>
    </cfRule>
  </conditionalFormatting>
  <conditionalFormatting sqref="B36">
    <cfRule type="cellIs" dxfId="41" priority="48" operator="equal">
      <formula>"RECEITA"</formula>
    </cfRule>
    <cfRule type="cellIs" dxfId="40" priority="49" operator="equal">
      <formula>"DESPESA"</formula>
    </cfRule>
    <cfRule type="cellIs" dxfId="39" priority="50" operator="equal">
      <formula>"RECEITA"</formula>
    </cfRule>
    <cfRule type="cellIs" dxfId="38" priority="51" operator="equal">
      <formula>"DESPESA"</formula>
    </cfRule>
    <cfRule type="cellIs" dxfId="37" priority="52" operator="equal">
      <formula>"RECEITA"</formula>
    </cfRule>
    <cfRule type="cellIs" dxfId="36" priority="53" operator="equal">
      <formula>"DESPESA"</formula>
    </cfRule>
  </conditionalFormatting>
  <conditionalFormatting sqref="B37:B47">
    <cfRule type="cellIs" dxfId="35" priority="42" operator="equal">
      <formula>"RECEITA"</formula>
    </cfRule>
    <cfRule type="cellIs" dxfId="34" priority="43" operator="equal">
      <formula>"DESPESA"</formula>
    </cfRule>
    <cfRule type="cellIs" dxfId="33" priority="44" operator="equal">
      <formula>"RECEITA"</formula>
    </cfRule>
    <cfRule type="cellIs" dxfId="32" priority="45" operator="equal">
      <formula>"DESPESA"</formula>
    </cfRule>
    <cfRule type="cellIs" dxfId="31" priority="46" operator="equal">
      <formula>"RECEITA"</formula>
    </cfRule>
    <cfRule type="cellIs" dxfId="30" priority="47" operator="equal">
      <formula>"DESPESA"</formula>
    </cfRule>
  </conditionalFormatting>
  <conditionalFormatting sqref="B49:B60">
    <cfRule type="cellIs" dxfId="29" priority="36" operator="equal">
      <formula>"RECEITA"</formula>
    </cfRule>
    <cfRule type="cellIs" dxfId="28" priority="37" operator="equal">
      <formula>"DESPESA"</formula>
    </cfRule>
    <cfRule type="cellIs" dxfId="27" priority="38" operator="equal">
      <formula>"RECEITA"</formula>
    </cfRule>
    <cfRule type="cellIs" dxfId="26" priority="39" operator="equal">
      <formula>"DESPESA"</formula>
    </cfRule>
    <cfRule type="cellIs" dxfId="25" priority="40" operator="equal">
      <formula>"RECEITA"</formula>
    </cfRule>
    <cfRule type="cellIs" dxfId="24" priority="41" operator="equal">
      <formula>"DESPESA"</formula>
    </cfRule>
  </conditionalFormatting>
  <conditionalFormatting sqref="B88:B99">
    <cfRule type="cellIs" dxfId="23" priority="12" operator="equal">
      <formula>"RECEITA"</formula>
    </cfRule>
    <cfRule type="cellIs" dxfId="22" priority="13" operator="equal">
      <formula>"DESPESA"</formula>
    </cfRule>
    <cfRule type="cellIs" dxfId="21" priority="14" operator="equal">
      <formula>"RECEITA"</formula>
    </cfRule>
    <cfRule type="cellIs" dxfId="20" priority="15" operator="equal">
      <formula>"DESPESA"</formula>
    </cfRule>
    <cfRule type="cellIs" dxfId="19" priority="16" operator="equal">
      <formula>"RECEITA"</formula>
    </cfRule>
    <cfRule type="cellIs" dxfId="18" priority="17" operator="equal">
      <formula>"DESPESA"</formula>
    </cfRule>
  </conditionalFormatting>
  <conditionalFormatting sqref="B62:B73">
    <cfRule type="cellIs" dxfId="17" priority="24" operator="equal">
      <formula>"RECEITA"</formula>
    </cfRule>
    <cfRule type="cellIs" dxfId="16" priority="25" operator="equal">
      <formula>"DESPESA"</formula>
    </cfRule>
    <cfRule type="cellIs" dxfId="15" priority="26" operator="equal">
      <formula>"RECEITA"</formula>
    </cfRule>
    <cfRule type="cellIs" dxfId="14" priority="27" operator="equal">
      <formula>"DESPESA"</formula>
    </cfRule>
    <cfRule type="cellIs" dxfId="13" priority="28" operator="equal">
      <formula>"RECEITA"</formula>
    </cfRule>
    <cfRule type="cellIs" dxfId="12" priority="29" operator="equal">
      <formula>"DESPESA"</formula>
    </cfRule>
  </conditionalFormatting>
  <conditionalFormatting sqref="B75:B86">
    <cfRule type="cellIs" dxfId="11" priority="18" operator="equal">
      <formula>"RECEITA"</formula>
    </cfRule>
    <cfRule type="cellIs" dxfId="10" priority="19" operator="equal">
      <formula>"DESPESA"</formula>
    </cfRule>
    <cfRule type="cellIs" dxfId="9" priority="20" operator="equal">
      <formula>"RECEITA"</formula>
    </cfRule>
    <cfRule type="cellIs" dxfId="8" priority="21" operator="equal">
      <formula>"DESPESA"</formula>
    </cfRule>
    <cfRule type="cellIs" dxfId="7" priority="22" operator="equal">
      <formula>"RECEITA"</formula>
    </cfRule>
    <cfRule type="cellIs" dxfId="6" priority="23" operator="equal">
      <formula>"DESPESA"</formula>
    </cfRule>
  </conditionalFormatting>
  <conditionalFormatting sqref="C17:E18">
    <cfRule type="cellIs" dxfId="5" priority="11" operator="equal">
      <formula>0</formula>
    </cfRule>
  </conditionalFormatting>
  <conditionalFormatting sqref="F17:P18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F17:P18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F17:P18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>
      <pane ySplit="5" topLeftCell="A51" activePane="bottomLeft" state="frozen"/>
      <selection pane="bottomLeft" activeCell="A82" sqref="A82"/>
    </sheetView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59" customFormat="1" ht="31.5" customHeight="1" x14ac:dyDescent="0.25">
      <c r="H1" s="60"/>
    </row>
    <row r="2" spans="2:19" s="59" customFormat="1" ht="36" customHeight="1" x14ac:dyDescent="0.25">
      <c r="H2" s="60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107" t="s">
        <v>101</v>
      </c>
      <c r="S5" s="107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6" t="str">
        <f>JANEIRO!G7</f>
        <v>CALEMBA 2</v>
      </c>
      <c r="G6" s="67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6">
        <f>JANEIRO!G8</f>
        <v>0</v>
      </c>
      <c r="G7" s="67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6" t="str">
        <f>JANEIRO!G9</f>
        <v>CALEMBA 2</v>
      </c>
      <c r="G8" s="67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6">
        <f>JANEIRO!G10</f>
        <v>0</v>
      </c>
      <c r="G9" s="67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6">
        <f>JANEIRO!G11</f>
        <v>0</v>
      </c>
      <c r="G10" s="67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6" t="str">
        <f>JANEIRO!G12</f>
        <v>BENFICA</v>
      </c>
      <c r="G11" s="67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6">
        <f>JANEIRO!G13</f>
        <v>0</v>
      </c>
      <c r="G12" s="67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6">
        <f>JANEIRO!G14</f>
        <v>0</v>
      </c>
      <c r="G13" s="67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6">
        <f>JANEIRO!G15</f>
        <v>0</v>
      </c>
      <c r="G14" s="67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6" t="str">
        <f>JANEIRO!G16</f>
        <v>CACUACO</v>
      </c>
      <c r="G15" s="67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6" t="str">
        <f>JANEIRO!G17</f>
        <v>CACUACO</v>
      </c>
      <c r="G16" s="67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6" t="str">
        <f>JANEIRO!G18</f>
        <v>CACUACO</v>
      </c>
      <c r="G17" s="67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6">
        <f>JANEIRO!G19</f>
        <v>0</v>
      </c>
      <c r="G18" s="67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6" t="str">
        <f>JANEIRO!G20</f>
        <v>VILA ALICE</v>
      </c>
      <c r="G19" s="67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6">
        <f>JANEIRO!G21</f>
        <v>0</v>
      </c>
      <c r="G20" s="67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6">
        <f>JANEIRO!G22</f>
        <v>0</v>
      </c>
      <c r="G21" s="67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6">
        <f>JANEIRO!G23</f>
        <v>0</v>
      </c>
      <c r="G22" s="67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6">
        <f>JANEIRO!G24</f>
        <v>0</v>
      </c>
      <c r="G23" s="67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6">
        <f>JANEIRO!G25</f>
        <v>0</v>
      </c>
      <c r="G24" s="67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6">
        <f>JANEIRO!G26</f>
        <v>0</v>
      </c>
      <c r="G25" s="67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6">
        <f>JANEIRO!G27</f>
        <v>0</v>
      </c>
      <c r="G26" s="67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6">
        <f>JANEIRO!G28</f>
        <v>0</v>
      </c>
      <c r="G27" s="67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6">
        <f>JANEIRO!G29</f>
        <v>0</v>
      </c>
      <c r="G28" s="67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6">
        <f>JANEIRO!G30</f>
        <v>0</v>
      </c>
      <c r="G29" s="67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6">
        <f>JANEIRO!G31</f>
        <v>0</v>
      </c>
      <c r="G30" s="67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6">
        <f>JANEIRO!G32</f>
        <v>0</v>
      </c>
      <c r="G31" s="67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6">
        <f>JANEIRO!G33</f>
        <v>0</v>
      </c>
      <c r="G32" s="67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6">
        <f>JANEIRO!G34</f>
        <v>0</v>
      </c>
      <c r="G33" s="67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6">
        <f>JANEIRO!G35</f>
        <v>0</v>
      </c>
      <c r="G34" s="67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6">
        <f>JANEIRO!G36</f>
        <v>0</v>
      </c>
      <c r="G35" s="67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6">
        <f>JANEIRO!G37</f>
        <v>0</v>
      </c>
      <c r="G36" s="67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6">
        <f>JANEIRO!G38</f>
        <v>0</v>
      </c>
      <c r="G37" s="67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6">
        <f>JANEIRO!G39</f>
        <v>0</v>
      </c>
      <c r="G38" s="67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6">
        <f>JANEIRO!G40</f>
        <v>0</v>
      </c>
      <c r="G39" s="67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6">
        <f>JANEIRO!G41</f>
        <v>0</v>
      </c>
      <c r="G40" s="67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6">
        <f>JANEIRO!G42</f>
        <v>0</v>
      </c>
      <c r="G41" s="67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6">
        <f>JANEIRO!G43</f>
        <v>0</v>
      </c>
      <c r="G42" s="67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6">
        <f>JANEIRO!G44</f>
        <v>0</v>
      </c>
      <c r="G43" s="67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6">
        <f>JANEIRO!G45</f>
        <v>0</v>
      </c>
      <c r="G44" s="67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6">
        <f>JANEIRO!G46</f>
        <v>0</v>
      </c>
      <c r="G45" s="67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6">
        <f>JANEIRO!G47</f>
        <v>0</v>
      </c>
      <c r="G46" s="67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6">
        <f>JANEIRO!G48</f>
        <v>0</v>
      </c>
      <c r="G47" s="67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6">
        <f>JANEIRO!G49</f>
        <v>0</v>
      </c>
      <c r="G48" s="67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6">
        <f>JANEIRO!G50</f>
        <v>0</v>
      </c>
      <c r="G49" s="67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6">
        <f>JANEIRO!G51</f>
        <v>0</v>
      </c>
      <c r="G50" s="67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6">
        <f>JANEIRO!G52</f>
        <v>0</v>
      </c>
      <c r="G51" s="67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6">
        <f>JANEIRO!G53</f>
        <v>0</v>
      </c>
      <c r="G52" s="67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6">
        <f>JANEIRO!G54</f>
        <v>0</v>
      </c>
      <c r="G53" s="67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6">
        <f>JANEIRO!G55</f>
        <v>0</v>
      </c>
      <c r="G54" s="67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6">
        <f>JANEIRO!G56</f>
        <v>0</v>
      </c>
      <c r="G55" s="67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6">
        <f>JANEIRO!G57</f>
        <v>0</v>
      </c>
      <c r="G56" s="67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6">
        <f>JANEIRO!G58</f>
        <v>0</v>
      </c>
      <c r="G57" s="67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6">
        <f>JANEIRO!G59</f>
        <v>0</v>
      </c>
      <c r="G58" s="67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6">
        <f>JANEIRO!G60</f>
        <v>0</v>
      </c>
      <c r="G59" s="67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6">
        <f>JANEIRO!G61</f>
        <v>0</v>
      </c>
      <c r="G60" s="67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6">
        <f>JANEIRO!G62</f>
        <v>0</v>
      </c>
      <c r="G61" s="67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6">
        <f>JANEIRO!G63</f>
        <v>0</v>
      </c>
      <c r="G62" s="67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6">
        <f>JANEIRO!G64</f>
        <v>0</v>
      </c>
      <c r="G63" s="67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6">
        <f>JANEIRO!G65</f>
        <v>0</v>
      </c>
      <c r="G64" s="67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6">
        <f>JANEIRO!G66</f>
        <v>0</v>
      </c>
      <c r="G65" s="67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6">
        <f>JANEIRO!G67</f>
        <v>0</v>
      </c>
      <c r="G66" s="67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6">
        <f>JANEIRO!G68</f>
        <v>0</v>
      </c>
      <c r="G67" s="67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6">
        <f>JANEIRO!G69</f>
        <v>0</v>
      </c>
      <c r="G68" s="67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6">
        <f>JANEIRO!G70</f>
        <v>0</v>
      </c>
      <c r="G69" s="67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6">
        <f>JANEIRO!G71</f>
        <v>0</v>
      </c>
      <c r="G70" s="67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6">
        <f>JANEIRO!G72</f>
        <v>0</v>
      </c>
      <c r="G71" s="67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6">
        <f>JANEIRO!G73</f>
        <v>0</v>
      </c>
      <c r="G72" s="67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6">
        <f>JANEIRO!G74</f>
        <v>0</v>
      </c>
      <c r="G73" s="67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6">
        <f>JANEIRO!G75</f>
        <v>0</v>
      </c>
      <c r="G74" s="67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6">
        <f>JANEIRO!G76</f>
        <v>0</v>
      </c>
      <c r="G75" s="67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6">
        <f>JANEIRO!G77</f>
        <v>0</v>
      </c>
      <c r="G76" s="67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6">
        <f>JANEIRO!G78</f>
        <v>0</v>
      </c>
      <c r="G77" s="67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6">
        <f>JANEIRO!G79</f>
        <v>0</v>
      </c>
      <c r="G78" s="67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6" t="str">
        <f>JANEIRO!G80</f>
        <v>BENFICA</v>
      </c>
      <c r="G79" s="67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6">
        <f>JANEIRO!G81</f>
        <v>0</v>
      </c>
      <c r="G80" s="67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6">
        <f>JANEIRO!G82</f>
        <v>0</v>
      </c>
      <c r="G81" s="67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6">
        <f>JANEIRO!G83</f>
        <v>0</v>
      </c>
      <c r="G82" s="67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6" t="str">
        <f>JANEIRO!G84</f>
        <v>CALEMBA 2</v>
      </c>
      <c r="G83" s="67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6">
        <f>FEVEREIRO!G7</f>
        <v>0</v>
      </c>
      <c r="G84" s="67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6">
        <f>FEVEREIRO!G8</f>
        <v>0</v>
      </c>
      <c r="G85" s="67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6">
        <f>FEVEREIRO!G9</f>
        <v>0</v>
      </c>
      <c r="G86" s="67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6">
        <f>FEVEREIRO!G10</f>
        <v>0</v>
      </c>
      <c r="G87" s="67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6">
        <f>FEVEREIRO!G11</f>
        <v>0</v>
      </c>
      <c r="G88" s="67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6" t="str">
        <f>FEVEREIRO!G12</f>
        <v>BENFICA</v>
      </c>
      <c r="G89" s="67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6">
        <f>FEVEREIRO!G13</f>
        <v>0</v>
      </c>
      <c r="G90" s="67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6">
        <f>FEVEREIRO!G14</f>
        <v>0</v>
      </c>
      <c r="G91" s="67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6">
        <f>FEVEREIRO!G15</f>
        <v>0</v>
      </c>
      <c r="G92" s="67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6">
        <f>FEVEREIRO!G16</f>
        <v>0</v>
      </c>
      <c r="G93" s="67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6">
        <f>FEVEREIRO!G17</f>
        <v>0</v>
      </c>
      <c r="G94" s="67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6" t="str">
        <f>FEVEREIRO!G18</f>
        <v>CALEMBA 2</v>
      </c>
      <c r="G95" s="67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6">
        <f>FEVEREIRO!G19</f>
        <v>0</v>
      </c>
      <c r="G96" s="67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6">
        <f>FEVEREIRO!G20</f>
        <v>0</v>
      </c>
      <c r="G97" s="67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6">
        <f>FEVEREIRO!G21</f>
        <v>0</v>
      </c>
      <c r="G98" s="67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6">
        <f>FEVEREIRO!G22</f>
        <v>0</v>
      </c>
      <c r="G99" s="67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6">
        <f>FEVEREIRO!G23</f>
        <v>0</v>
      </c>
      <c r="G100" s="67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6">
        <f>FEVEREIRO!G24</f>
        <v>0</v>
      </c>
      <c r="G101" s="67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6">
        <f>FEVEREIRO!G25</f>
        <v>0</v>
      </c>
      <c r="G102" s="67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6">
        <f>FEVEREIRO!G26</f>
        <v>0</v>
      </c>
      <c r="G103" s="67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6">
        <f>FEVEREIRO!G27</f>
        <v>0</v>
      </c>
      <c r="G104" s="67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6">
        <f>FEVEREIRO!G28</f>
        <v>0</v>
      </c>
      <c r="G105" s="67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6">
        <f>FEVEREIRO!G29</f>
        <v>0</v>
      </c>
      <c r="G106" s="67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6">
        <f>FEVEREIRO!G30</f>
        <v>0</v>
      </c>
      <c r="G107" s="67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6">
        <f>FEVEREIRO!G31</f>
        <v>0</v>
      </c>
      <c r="G108" s="67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6">
        <f>FEVEREIRO!G32</f>
        <v>0</v>
      </c>
      <c r="G109" s="67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6">
        <f>FEVEREIRO!G33</f>
        <v>0</v>
      </c>
      <c r="G110" s="67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6">
        <f>FEVEREIRO!G34</f>
        <v>0</v>
      </c>
      <c r="G111" s="67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6">
        <f>FEVEREIRO!G35</f>
        <v>0</v>
      </c>
      <c r="G112" s="67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6">
        <f>FEVEREIRO!G36</f>
        <v>0</v>
      </c>
      <c r="G113" s="67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6">
        <f>FEVEREIRO!G37</f>
        <v>0</v>
      </c>
      <c r="G114" s="67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6">
        <f>FEVEREIRO!G38</f>
        <v>0</v>
      </c>
      <c r="G115" s="67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6">
        <f>FEVEREIRO!G39</f>
        <v>0</v>
      </c>
      <c r="G116" s="67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6">
        <f>FEVEREIRO!G40</f>
        <v>0</v>
      </c>
      <c r="G117" s="67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6">
        <f>FEVEREIRO!G41</f>
        <v>0</v>
      </c>
      <c r="G118" s="67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6">
        <f>FEVEREIRO!G42</f>
        <v>0</v>
      </c>
      <c r="G119" s="67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6">
        <f>FEVEREIRO!G43</f>
        <v>0</v>
      </c>
      <c r="G120" s="67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6">
        <f>FEVEREIRO!G44</f>
        <v>0</v>
      </c>
      <c r="G121" s="67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6">
        <f>FEVEREIRO!G45</f>
        <v>0</v>
      </c>
      <c r="G122" s="67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6">
        <f>FEVEREIRO!G46</f>
        <v>0</v>
      </c>
      <c r="G123" s="67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6">
        <f>FEVEREIRO!G47</f>
        <v>0</v>
      </c>
      <c r="G124" s="67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6">
        <f>FEVEREIRO!G48</f>
        <v>0</v>
      </c>
      <c r="G125" s="67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6">
        <f>FEVEREIRO!G49</f>
        <v>0</v>
      </c>
      <c r="G126" s="67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6">
        <f>FEVEREIRO!G50</f>
        <v>0</v>
      </c>
      <c r="G127" s="67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6">
        <f>FEVEREIRO!G51</f>
        <v>0</v>
      </c>
      <c r="G128" s="67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6">
        <f>FEVEREIRO!G52</f>
        <v>0</v>
      </c>
      <c r="G129" s="67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6">
        <f>FEVEREIRO!G53</f>
        <v>0</v>
      </c>
      <c r="G130" s="67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6">
        <f>FEVEREIRO!G54</f>
        <v>0</v>
      </c>
      <c r="G131" s="67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6">
        <f>FEVEREIRO!G55</f>
        <v>0</v>
      </c>
      <c r="G132" s="67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6">
        <f>FEVEREIRO!G56</f>
        <v>0</v>
      </c>
      <c r="G133" s="67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6">
        <f>FEVEREIRO!G57</f>
        <v>0</v>
      </c>
      <c r="G134" s="67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6">
        <f>FEVEREIRO!G58</f>
        <v>0</v>
      </c>
      <c r="G135" s="67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6">
        <f>FEVEREIRO!G59</f>
        <v>0</v>
      </c>
      <c r="G136" s="67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6">
        <f>FEVEREIRO!G60</f>
        <v>0</v>
      </c>
      <c r="G137" s="67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6">
        <f>FEVEREIRO!G61</f>
        <v>0</v>
      </c>
      <c r="G138" s="67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6">
        <f>FEVEREIRO!G62</f>
        <v>0</v>
      </c>
      <c r="G139" s="67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6">
        <f>FEVEREIRO!G63</f>
        <v>0</v>
      </c>
      <c r="G140" s="67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6">
        <f>FEVEREIRO!G64</f>
        <v>0</v>
      </c>
      <c r="G141" s="67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6">
        <f>FEVEREIRO!G65</f>
        <v>0</v>
      </c>
      <c r="G142" s="67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6">
        <f>FEVEREIRO!G66</f>
        <v>0</v>
      </c>
      <c r="G143" s="67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6">
        <f>FEVEREIRO!G67</f>
        <v>0</v>
      </c>
      <c r="G144" s="67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6">
        <f>FEVEREIRO!G68</f>
        <v>0</v>
      </c>
      <c r="G145" s="67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6">
        <f>FEVEREIRO!G69</f>
        <v>0</v>
      </c>
      <c r="G146" s="67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6">
        <f>FEVEREIRO!G70</f>
        <v>0</v>
      </c>
      <c r="G147" s="67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6">
        <f>FEVEREIRO!G71</f>
        <v>0</v>
      </c>
      <c r="G148" s="67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6">
        <f>FEVEREIRO!G72</f>
        <v>0</v>
      </c>
      <c r="G149" s="67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6">
        <f>FEVEREIRO!G73</f>
        <v>0</v>
      </c>
      <c r="G150" s="67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6">
        <f>FEVEREIRO!G74</f>
        <v>0</v>
      </c>
      <c r="G151" s="67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6">
        <f>FEVEREIRO!G75</f>
        <v>0</v>
      </c>
      <c r="G152" s="67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6">
        <f>FEVEREIRO!G76</f>
        <v>0</v>
      </c>
      <c r="G153" s="67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6">
        <f>FEVEREIRO!G77</f>
        <v>0</v>
      </c>
      <c r="G154" s="67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6">
        <f>FEVEREIRO!G78</f>
        <v>0</v>
      </c>
      <c r="G155" s="67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6">
        <f>FEVEREIRO!G79</f>
        <v>0</v>
      </c>
      <c r="G156" s="67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6" t="str">
        <f>FEVEREIRO!G80</f>
        <v>BENFICA</v>
      </c>
      <c r="G157" s="67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6">
        <f>FEVEREIRO!G81</f>
        <v>0</v>
      </c>
      <c r="G158" s="67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6">
        <f>FEVEREIRO!G82</f>
        <v>0</v>
      </c>
      <c r="G159" s="67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6">
        <f>FEVEREIRO!G83</f>
        <v>0</v>
      </c>
      <c r="G160" s="67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6">
        <f>FEVEREIRO!G84</f>
        <v>0</v>
      </c>
      <c r="G161" s="67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6">
        <f>MARÇO!G7</f>
        <v>0</v>
      </c>
      <c r="G162" s="67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6">
        <f>MARÇO!G8</f>
        <v>0</v>
      </c>
      <c r="G163" s="67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6">
        <f>MARÇO!G9</f>
        <v>0</v>
      </c>
      <c r="G164" s="67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6">
        <f>MARÇO!G10</f>
        <v>0</v>
      </c>
      <c r="G165" s="67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6">
        <f>MARÇO!G11</f>
        <v>0</v>
      </c>
      <c r="G166" s="67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6" t="str">
        <f>MARÇO!G12</f>
        <v>BENFICA</v>
      </c>
      <c r="G167" s="67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6">
        <f>MARÇO!G13</f>
        <v>0</v>
      </c>
      <c r="G168" s="67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6">
        <f>MARÇO!G14</f>
        <v>0</v>
      </c>
      <c r="G169" s="67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6">
        <f>MARÇO!G15</f>
        <v>0</v>
      </c>
      <c r="G170" s="67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6">
        <f>MARÇO!G16</f>
        <v>0</v>
      </c>
      <c r="G171" s="67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6">
        <f>MARÇO!G17</f>
        <v>0</v>
      </c>
      <c r="G172" s="67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6" t="str">
        <f>MARÇO!G18</f>
        <v>CALEMBA 2</v>
      </c>
      <c r="G173" s="67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6">
        <f>MARÇO!G19</f>
        <v>0</v>
      </c>
      <c r="G174" s="67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6">
        <f>MARÇO!G20</f>
        <v>0</v>
      </c>
      <c r="G175" s="67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6">
        <f>MARÇO!G21</f>
        <v>0</v>
      </c>
      <c r="G176" s="67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6">
        <f>MARÇO!G22</f>
        <v>0</v>
      </c>
      <c r="G177" s="67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6">
        <f>MARÇO!G23</f>
        <v>0</v>
      </c>
      <c r="G178" s="67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6">
        <f>MARÇO!G24</f>
        <v>0</v>
      </c>
      <c r="G179" s="67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6">
        <f>MARÇO!G25</f>
        <v>0</v>
      </c>
      <c r="G180" s="67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6">
        <f>MARÇO!G26</f>
        <v>0</v>
      </c>
      <c r="G181" s="67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6">
        <f>MARÇO!G27</f>
        <v>0</v>
      </c>
      <c r="G182" s="67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6">
        <f>MARÇO!G28</f>
        <v>0</v>
      </c>
      <c r="G183" s="67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6">
        <f>MARÇO!G29</f>
        <v>0</v>
      </c>
      <c r="G184" s="67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6">
        <f>MARÇO!G30</f>
        <v>0</v>
      </c>
      <c r="G185" s="67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6">
        <f>MARÇO!G31</f>
        <v>0</v>
      </c>
      <c r="G186" s="67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6">
        <f>MARÇO!G32</f>
        <v>0</v>
      </c>
      <c r="G187" s="67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6">
        <f>MARÇO!G33</f>
        <v>0</v>
      </c>
      <c r="G188" s="67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6">
        <f>MARÇO!G34</f>
        <v>0</v>
      </c>
      <c r="G189" s="67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6">
        <f>MARÇO!G35</f>
        <v>0</v>
      </c>
      <c r="G190" s="67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6">
        <f>MARÇO!G36</f>
        <v>0</v>
      </c>
      <c r="G191" s="67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6">
        <f>MARÇO!G37</f>
        <v>0</v>
      </c>
      <c r="G192" s="67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6">
        <f>MARÇO!G38</f>
        <v>0</v>
      </c>
      <c r="G193" s="67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6">
        <f>MARÇO!G39</f>
        <v>0</v>
      </c>
      <c r="G194" s="67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6">
        <f>MARÇO!G40</f>
        <v>0</v>
      </c>
      <c r="G195" s="67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6">
        <f>MARÇO!G41</f>
        <v>0</v>
      </c>
      <c r="G196" s="67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6">
        <f>MARÇO!G42</f>
        <v>0</v>
      </c>
      <c r="G197" s="67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6">
        <f>MARÇO!G43</f>
        <v>0</v>
      </c>
      <c r="G198" s="67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6">
        <f>MARÇO!G44</f>
        <v>0</v>
      </c>
      <c r="G199" s="67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6">
        <f>MARÇO!G45</f>
        <v>0</v>
      </c>
      <c r="G200" s="67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6">
        <f>MARÇO!G46</f>
        <v>0</v>
      </c>
      <c r="G201" s="67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6">
        <f>MARÇO!G47</f>
        <v>0</v>
      </c>
      <c r="G202" s="67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6">
        <f>MARÇO!G48</f>
        <v>0</v>
      </c>
      <c r="G203" s="67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6">
        <f>MARÇO!G49</f>
        <v>0</v>
      </c>
      <c r="G204" s="67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6">
        <f>MARÇO!G50</f>
        <v>0</v>
      </c>
      <c r="G205" s="67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6">
        <f>MARÇO!G51</f>
        <v>0</v>
      </c>
      <c r="G206" s="67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6">
        <f>MARÇO!G52</f>
        <v>0</v>
      </c>
      <c r="G207" s="67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6">
        <f>MARÇO!G53</f>
        <v>0</v>
      </c>
      <c r="G208" s="67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6">
        <f>MARÇO!G54</f>
        <v>0</v>
      </c>
      <c r="G209" s="67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6">
        <f>MARÇO!G55</f>
        <v>0</v>
      </c>
      <c r="G210" s="67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6">
        <f>MARÇO!G56</f>
        <v>0</v>
      </c>
      <c r="G211" s="67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6">
        <f>MARÇO!G57</f>
        <v>0</v>
      </c>
      <c r="G212" s="67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6">
        <f>MARÇO!G58</f>
        <v>0</v>
      </c>
      <c r="G213" s="67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6">
        <f>MARÇO!G59</f>
        <v>0</v>
      </c>
      <c r="G214" s="67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6">
        <f>MARÇO!G60</f>
        <v>0</v>
      </c>
      <c r="G215" s="67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6">
        <f>MARÇO!G61</f>
        <v>0</v>
      </c>
      <c r="G216" s="67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6">
        <f>MARÇO!G62</f>
        <v>0</v>
      </c>
      <c r="G217" s="67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6">
        <f>MARÇO!G63</f>
        <v>0</v>
      </c>
      <c r="G218" s="67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6">
        <f>MARÇO!G64</f>
        <v>0</v>
      </c>
      <c r="G219" s="67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6">
        <f>MARÇO!G65</f>
        <v>0</v>
      </c>
      <c r="G220" s="67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6">
        <f>MARÇO!G66</f>
        <v>0</v>
      </c>
      <c r="G221" s="67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6">
        <f>MARÇO!G67</f>
        <v>0</v>
      </c>
      <c r="G222" s="67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6">
        <f>MARÇO!G68</f>
        <v>0</v>
      </c>
      <c r="G223" s="67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6">
        <f>MARÇO!G69</f>
        <v>0</v>
      </c>
      <c r="G224" s="67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6">
        <f>MARÇO!G70</f>
        <v>0</v>
      </c>
      <c r="G225" s="67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6">
        <f>MARÇO!G71</f>
        <v>0</v>
      </c>
      <c r="G226" s="67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6">
        <f>MARÇO!G72</f>
        <v>0</v>
      </c>
      <c r="G227" s="67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6">
        <f>MARÇO!G73</f>
        <v>0</v>
      </c>
      <c r="G228" s="67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6">
        <f>MARÇO!G74</f>
        <v>0</v>
      </c>
      <c r="G229" s="67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6">
        <f>MARÇO!G75</f>
        <v>0</v>
      </c>
      <c r="G230" s="67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6">
        <f>MARÇO!G76</f>
        <v>0</v>
      </c>
      <c r="G231" s="67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6">
        <f>MARÇO!G77</f>
        <v>0</v>
      </c>
      <c r="G232" s="67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6">
        <f>MARÇO!G78</f>
        <v>0</v>
      </c>
      <c r="G233" s="67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6">
        <f>MARÇO!G79</f>
        <v>0</v>
      </c>
      <c r="G234" s="67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6" t="str">
        <f>MARÇO!G80</f>
        <v>BENFICA</v>
      </c>
      <c r="G235" s="67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6">
        <f>MARÇO!G81</f>
        <v>0</v>
      </c>
      <c r="G236" s="67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6">
        <f>MARÇO!G82</f>
        <v>0</v>
      </c>
      <c r="G237" s="67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6">
        <f>MARÇO!G83</f>
        <v>0</v>
      </c>
      <c r="G238" s="67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6">
        <f>MARÇO!G84</f>
        <v>0</v>
      </c>
      <c r="G239" s="67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6">
        <f>ABRIL!G7</f>
        <v>0</v>
      </c>
      <c r="G240" s="67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6">
        <f>ABRIL!G8</f>
        <v>0</v>
      </c>
      <c r="G241" s="67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6">
        <f>ABRIL!G9</f>
        <v>0</v>
      </c>
      <c r="G242" s="67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6">
        <f>ABRIL!G10</f>
        <v>0</v>
      </c>
      <c r="G243" s="67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6">
        <f>ABRIL!G11</f>
        <v>0</v>
      </c>
      <c r="G244" s="67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6" t="str">
        <f>ABRIL!G12</f>
        <v>BENFICA</v>
      </c>
      <c r="G245" s="67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6">
        <f>ABRIL!G13</f>
        <v>0</v>
      </c>
      <c r="G246" s="67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6">
        <f>ABRIL!G14</f>
        <v>0</v>
      </c>
      <c r="G247" s="67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6">
        <f>ABRIL!G15</f>
        <v>0</v>
      </c>
      <c r="G248" s="67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6">
        <f>ABRIL!G16</f>
        <v>0</v>
      </c>
      <c r="G249" s="67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6">
        <f>ABRIL!G17</f>
        <v>0</v>
      </c>
      <c r="G250" s="67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6" t="str">
        <f>ABRIL!G18</f>
        <v>CALEMBA 2</v>
      </c>
      <c r="G251" s="67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6">
        <f>ABRIL!G19</f>
        <v>0</v>
      </c>
      <c r="G252" s="67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6">
        <f>ABRIL!G20</f>
        <v>0</v>
      </c>
      <c r="G253" s="67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6">
        <f>ABRIL!G21</f>
        <v>0</v>
      </c>
      <c r="G254" s="67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6">
        <f>ABRIL!G22</f>
        <v>0</v>
      </c>
      <c r="G255" s="67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6">
        <f>ABRIL!G23</f>
        <v>0</v>
      </c>
      <c r="G256" s="67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6">
        <f>ABRIL!G24</f>
        <v>0</v>
      </c>
      <c r="G257" s="67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6">
        <f>ABRIL!G25</f>
        <v>0</v>
      </c>
      <c r="G258" s="67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6">
        <f>ABRIL!G26</f>
        <v>0</v>
      </c>
      <c r="G259" s="67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6">
        <f>ABRIL!G27</f>
        <v>0</v>
      </c>
      <c r="G260" s="67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6">
        <f>ABRIL!G28</f>
        <v>0</v>
      </c>
      <c r="G261" s="67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6">
        <f>ABRIL!G29</f>
        <v>0</v>
      </c>
      <c r="G262" s="67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6">
        <f>ABRIL!G30</f>
        <v>0</v>
      </c>
      <c r="G263" s="67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6">
        <f>ABRIL!G31</f>
        <v>0</v>
      </c>
      <c r="G264" s="67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6">
        <f>ABRIL!G32</f>
        <v>0</v>
      </c>
      <c r="G265" s="67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6">
        <f>ABRIL!G33</f>
        <v>0</v>
      </c>
      <c r="G266" s="67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6">
        <f>ABRIL!G34</f>
        <v>0</v>
      </c>
      <c r="G267" s="67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6">
        <f>ABRIL!G35</f>
        <v>0</v>
      </c>
      <c r="G268" s="67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6">
        <f>ABRIL!G36</f>
        <v>0</v>
      </c>
      <c r="G269" s="67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6">
        <f>ABRIL!G37</f>
        <v>0</v>
      </c>
      <c r="G270" s="67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6">
        <f>ABRIL!G38</f>
        <v>0</v>
      </c>
      <c r="G271" s="67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6">
        <f>ABRIL!G39</f>
        <v>0</v>
      </c>
      <c r="G272" s="67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6">
        <f>ABRIL!G40</f>
        <v>0</v>
      </c>
      <c r="G273" s="67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6">
        <f>ABRIL!G41</f>
        <v>0</v>
      </c>
      <c r="G274" s="67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6">
        <f>ABRIL!G42</f>
        <v>0</v>
      </c>
      <c r="G275" s="67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6">
        <f>ABRIL!G43</f>
        <v>0</v>
      </c>
      <c r="G276" s="67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6">
        <f>ABRIL!G44</f>
        <v>0</v>
      </c>
      <c r="G277" s="67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6">
        <f>ABRIL!G45</f>
        <v>0</v>
      </c>
      <c r="G278" s="67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6">
        <f>ABRIL!G46</f>
        <v>0</v>
      </c>
      <c r="G279" s="67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6">
        <f>ABRIL!G47</f>
        <v>0</v>
      </c>
      <c r="G280" s="67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6">
        <f>ABRIL!G48</f>
        <v>0</v>
      </c>
      <c r="G281" s="67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6">
        <f>ABRIL!G49</f>
        <v>0</v>
      </c>
      <c r="G282" s="67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6">
        <f>ABRIL!G50</f>
        <v>0</v>
      </c>
      <c r="G283" s="67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6">
        <f>ABRIL!G51</f>
        <v>0</v>
      </c>
      <c r="G284" s="67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6">
        <f>ABRIL!G52</f>
        <v>0</v>
      </c>
      <c r="G285" s="67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6">
        <f>ABRIL!G53</f>
        <v>0</v>
      </c>
      <c r="G286" s="67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6">
        <f>ABRIL!G54</f>
        <v>0</v>
      </c>
      <c r="G287" s="67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6">
        <f>ABRIL!G55</f>
        <v>0</v>
      </c>
      <c r="G288" s="67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6">
        <f>ABRIL!G56</f>
        <v>0</v>
      </c>
      <c r="G289" s="67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6">
        <f>ABRIL!G57</f>
        <v>0</v>
      </c>
      <c r="G290" s="67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6">
        <f>ABRIL!G58</f>
        <v>0</v>
      </c>
      <c r="G291" s="67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6">
        <f>ABRIL!G59</f>
        <v>0</v>
      </c>
      <c r="G292" s="67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6">
        <f>ABRIL!G60</f>
        <v>0</v>
      </c>
      <c r="G293" s="67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6">
        <f>ABRIL!G61</f>
        <v>0</v>
      </c>
      <c r="G294" s="67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6">
        <f>ABRIL!G62</f>
        <v>0</v>
      </c>
      <c r="G295" s="67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6">
        <f>ABRIL!G63</f>
        <v>0</v>
      </c>
      <c r="G296" s="67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6">
        <f>ABRIL!G64</f>
        <v>0</v>
      </c>
      <c r="G297" s="67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6">
        <f>ABRIL!G65</f>
        <v>0</v>
      </c>
      <c r="G298" s="67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6">
        <f>ABRIL!G66</f>
        <v>0</v>
      </c>
      <c r="G299" s="67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6">
        <f>ABRIL!G67</f>
        <v>0</v>
      </c>
      <c r="G300" s="67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6">
        <f>ABRIL!G68</f>
        <v>0</v>
      </c>
      <c r="G301" s="67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6">
        <f>ABRIL!G69</f>
        <v>0</v>
      </c>
      <c r="G302" s="67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6">
        <f>ABRIL!G70</f>
        <v>0</v>
      </c>
      <c r="G303" s="67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6">
        <f>ABRIL!G71</f>
        <v>0</v>
      </c>
      <c r="G304" s="67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6">
        <f>ABRIL!G72</f>
        <v>0</v>
      </c>
      <c r="G305" s="67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6">
        <f>ABRIL!G73</f>
        <v>0</v>
      </c>
      <c r="G306" s="67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6">
        <f>ABRIL!G74</f>
        <v>0</v>
      </c>
      <c r="G307" s="67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6">
        <f>ABRIL!G75</f>
        <v>0</v>
      </c>
      <c r="G308" s="67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6">
        <f>ABRIL!G76</f>
        <v>0</v>
      </c>
      <c r="G309" s="67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6">
        <f>ABRIL!G77</f>
        <v>0</v>
      </c>
      <c r="G310" s="67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6">
        <f>ABRIL!G78</f>
        <v>0</v>
      </c>
      <c r="G311" s="67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6">
        <f>ABRIL!G79</f>
        <v>0</v>
      </c>
      <c r="G312" s="67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6" t="str">
        <f>ABRIL!G80</f>
        <v>BENFICA</v>
      </c>
      <c r="G313" s="67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6">
        <f>ABRIL!G81</f>
        <v>0</v>
      </c>
      <c r="G314" s="67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6">
        <f>ABRIL!G82</f>
        <v>0</v>
      </c>
      <c r="G315" s="67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6">
        <f>ABRIL!G83</f>
        <v>0</v>
      </c>
      <c r="G316" s="67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6">
        <f>ABRIL!G84</f>
        <v>0</v>
      </c>
      <c r="G317" s="67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6">
        <f>MAIO!G7</f>
        <v>0</v>
      </c>
      <c r="G318" s="67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6">
        <f>MAIO!G8</f>
        <v>0</v>
      </c>
      <c r="G319" s="67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6">
        <f>MAIO!G9</f>
        <v>0</v>
      </c>
      <c r="G320" s="67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6" t="str">
        <f>MAIO!G10</f>
        <v>BENFICA</v>
      </c>
      <c r="G321" s="67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6">
        <f>MAIO!G11</f>
        <v>0</v>
      </c>
      <c r="G322" s="67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6" t="str">
        <f>MAIO!G12</f>
        <v>BENFICA</v>
      </c>
      <c r="G323" s="67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6">
        <f>MAIO!G13</f>
        <v>0</v>
      </c>
      <c r="G324" s="67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6">
        <f>MAIO!G14</f>
        <v>0</v>
      </c>
      <c r="G325" s="67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6">
        <f>MAIO!G15</f>
        <v>0</v>
      </c>
      <c r="G326" s="67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6">
        <f>MAIO!G16</f>
        <v>0</v>
      </c>
      <c r="G327" s="67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6">
        <f>MAIO!G17</f>
        <v>0</v>
      </c>
      <c r="G328" s="67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6" t="str">
        <f>MAIO!G18</f>
        <v>CALEMBA 2</v>
      </c>
      <c r="G329" s="67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6">
        <f>MAIO!G19</f>
        <v>0</v>
      </c>
      <c r="G330" s="67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6">
        <f>MAIO!G20</f>
        <v>0</v>
      </c>
      <c r="G331" s="67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6">
        <f>MAIO!G21</f>
        <v>0</v>
      </c>
      <c r="G332" s="67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6">
        <f>MAIO!G22</f>
        <v>0</v>
      </c>
      <c r="G333" s="67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6">
        <f>MAIO!G23</f>
        <v>0</v>
      </c>
      <c r="G334" s="67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6">
        <f>MAIO!G24</f>
        <v>0</v>
      </c>
      <c r="G335" s="67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6">
        <f>MAIO!G25</f>
        <v>0</v>
      </c>
      <c r="G336" s="67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6">
        <f>MAIO!G26</f>
        <v>0</v>
      </c>
      <c r="G337" s="67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6">
        <f>MAIO!G27</f>
        <v>0</v>
      </c>
      <c r="G338" s="67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6">
        <f>MAIO!G28</f>
        <v>0</v>
      </c>
      <c r="G339" s="67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6">
        <f>MAIO!G29</f>
        <v>0</v>
      </c>
      <c r="G340" s="67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6">
        <f>MAIO!G30</f>
        <v>0</v>
      </c>
      <c r="G341" s="67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6">
        <f>MAIO!G31</f>
        <v>0</v>
      </c>
      <c r="G342" s="67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6">
        <f>MAIO!G32</f>
        <v>0</v>
      </c>
      <c r="G343" s="67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6">
        <f>MAIO!G33</f>
        <v>0</v>
      </c>
      <c r="G344" s="67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6">
        <f>MAIO!G34</f>
        <v>0</v>
      </c>
      <c r="G345" s="67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6">
        <f>MAIO!G35</f>
        <v>0</v>
      </c>
      <c r="G346" s="67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6">
        <f>MAIO!G36</f>
        <v>0</v>
      </c>
      <c r="G347" s="67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6">
        <f>MAIO!G37</f>
        <v>0</v>
      </c>
      <c r="G348" s="67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6">
        <f>MAIO!G38</f>
        <v>0</v>
      </c>
      <c r="G349" s="67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6">
        <f>MAIO!G39</f>
        <v>0</v>
      </c>
      <c r="G350" s="67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6">
        <f>MAIO!G40</f>
        <v>0</v>
      </c>
      <c r="G351" s="67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6">
        <f>MAIO!G41</f>
        <v>0</v>
      </c>
      <c r="G352" s="67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6">
        <f>MAIO!G42</f>
        <v>0</v>
      </c>
      <c r="G353" s="67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6">
        <f>MAIO!G43</f>
        <v>0</v>
      </c>
      <c r="G354" s="67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6">
        <f>MAIO!G44</f>
        <v>0</v>
      </c>
      <c r="G355" s="67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6">
        <f>MAIO!G45</f>
        <v>0</v>
      </c>
      <c r="G356" s="67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6">
        <f>MAIO!G46</f>
        <v>0</v>
      </c>
      <c r="G357" s="67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6">
        <f>MAIO!G47</f>
        <v>0</v>
      </c>
      <c r="G358" s="67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6">
        <f>MAIO!G48</f>
        <v>0</v>
      </c>
      <c r="G359" s="67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6">
        <f>MAIO!G49</f>
        <v>0</v>
      </c>
      <c r="G360" s="67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6">
        <f>MAIO!G50</f>
        <v>0</v>
      </c>
      <c r="G361" s="67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6">
        <f>MAIO!G51</f>
        <v>0</v>
      </c>
      <c r="G362" s="67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6">
        <f>MAIO!G52</f>
        <v>0</v>
      </c>
      <c r="G363" s="67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6">
        <f>MAIO!G53</f>
        <v>0</v>
      </c>
      <c r="G364" s="67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6">
        <f>MAIO!G54</f>
        <v>0</v>
      </c>
      <c r="G365" s="67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6">
        <f>MAIO!G55</f>
        <v>0</v>
      </c>
      <c r="G366" s="67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6">
        <f>MAIO!G56</f>
        <v>0</v>
      </c>
      <c r="G367" s="67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6">
        <f>MAIO!G57</f>
        <v>0</v>
      </c>
      <c r="G368" s="67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6">
        <f>MAIO!G58</f>
        <v>0</v>
      </c>
      <c r="G369" s="67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6">
        <f>MAIO!G59</f>
        <v>0</v>
      </c>
      <c r="G370" s="67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6">
        <f>MAIO!G60</f>
        <v>0</v>
      </c>
      <c r="G371" s="67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6">
        <f>MAIO!G61</f>
        <v>0</v>
      </c>
      <c r="G372" s="67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6">
        <f>MAIO!G62</f>
        <v>0</v>
      </c>
      <c r="G373" s="67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6">
        <f>MAIO!G63</f>
        <v>0</v>
      </c>
      <c r="G374" s="67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6">
        <f>MAIO!G64</f>
        <v>0</v>
      </c>
      <c r="G375" s="67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6">
        <f>MAIO!G65</f>
        <v>0</v>
      </c>
      <c r="G376" s="67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6">
        <f>MAIO!G66</f>
        <v>0</v>
      </c>
      <c r="G377" s="67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6">
        <f>MAIO!G67</f>
        <v>0</v>
      </c>
      <c r="G378" s="67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6">
        <f>MAIO!G68</f>
        <v>0</v>
      </c>
      <c r="G379" s="67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6">
        <f>MAIO!G69</f>
        <v>0</v>
      </c>
      <c r="G380" s="67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6">
        <f>MAIO!G70</f>
        <v>0</v>
      </c>
      <c r="G381" s="67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6">
        <f>MAIO!G71</f>
        <v>0</v>
      </c>
      <c r="G382" s="67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6">
        <f>MAIO!G72</f>
        <v>0</v>
      </c>
      <c r="G383" s="67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6">
        <f>MAIO!G73</f>
        <v>0</v>
      </c>
      <c r="G384" s="67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6">
        <f>MAIO!G74</f>
        <v>0</v>
      </c>
      <c r="G385" s="67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6">
        <f>MAIO!G75</f>
        <v>0</v>
      </c>
      <c r="G386" s="67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6">
        <f>MAIO!G76</f>
        <v>0</v>
      </c>
      <c r="G387" s="67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6">
        <f>MAIO!G77</f>
        <v>0</v>
      </c>
      <c r="G388" s="67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6">
        <f>MAIO!G78</f>
        <v>0</v>
      </c>
      <c r="G389" s="67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6">
        <f>MAIO!G79</f>
        <v>0</v>
      </c>
      <c r="G390" s="67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6" t="str">
        <f>MAIO!G80</f>
        <v>BENFICA</v>
      </c>
      <c r="G391" s="67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6">
        <f>MAIO!G81</f>
        <v>0</v>
      </c>
      <c r="G392" s="67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6">
        <f>MAIO!G82</f>
        <v>0</v>
      </c>
      <c r="G393" s="67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6">
        <f>MAIO!G83</f>
        <v>0</v>
      </c>
      <c r="G394" s="67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6">
        <f>MAIO!G84</f>
        <v>0</v>
      </c>
      <c r="G395" s="67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6">
        <f>JUNHO!G7</f>
        <v>0</v>
      </c>
      <c r="G396" s="67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6">
        <f>JUNHO!G8</f>
        <v>0</v>
      </c>
      <c r="G397" s="67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6">
        <f>JUNHO!G9</f>
        <v>0</v>
      </c>
      <c r="G398" s="67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6">
        <f>JUNHO!G10</f>
        <v>0</v>
      </c>
      <c r="G399" s="67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6">
        <f>JUNHO!G11</f>
        <v>0</v>
      </c>
      <c r="G400" s="67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6" t="str">
        <f>JUNHO!G12</f>
        <v>BENFICA</v>
      </c>
      <c r="G401" s="67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6">
        <f>JUNHO!G13</f>
        <v>0</v>
      </c>
      <c r="G402" s="67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6">
        <f>JUNHO!G14</f>
        <v>0</v>
      </c>
      <c r="G403" s="67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6">
        <f>JUNHO!G15</f>
        <v>0</v>
      </c>
      <c r="G404" s="67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6">
        <f>JUNHO!G16</f>
        <v>0</v>
      </c>
      <c r="G405" s="67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6">
        <f>JUNHO!G17</f>
        <v>0</v>
      </c>
      <c r="G406" s="67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6" t="str">
        <f>JUNHO!G18</f>
        <v>CALEMBA 2</v>
      </c>
      <c r="G407" s="67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6">
        <f>JUNHO!G19</f>
        <v>0</v>
      </c>
      <c r="G408" s="67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6">
        <f>JUNHO!G20</f>
        <v>0</v>
      </c>
      <c r="G409" s="67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6">
        <f>JUNHO!G21</f>
        <v>0</v>
      </c>
      <c r="G410" s="67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6">
        <f>JUNHO!G22</f>
        <v>0</v>
      </c>
      <c r="G411" s="67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6">
        <f>JUNHO!G23</f>
        <v>0</v>
      </c>
      <c r="G412" s="67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6">
        <f>JUNHO!G24</f>
        <v>0</v>
      </c>
      <c r="G413" s="67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6">
        <f>JUNHO!G25</f>
        <v>0</v>
      </c>
      <c r="G414" s="67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6">
        <f>JUNHO!G26</f>
        <v>0</v>
      </c>
      <c r="G415" s="67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6">
        <f>JUNHO!G27</f>
        <v>0</v>
      </c>
      <c r="G416" s="67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6">
        <f>JUNHO!G28</f>
        <v>0</v>
      </c>
      <c r="G417" s="67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6">
        <f>JUNHO!G29</f>
        <v>0</v>
      </c>
      <c r="G418" s="67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6">
        <f>JUNHO!G30</f>
        <v>0</v>
      </c>
      <c r="G419" s="67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6">
        <f>JUNHO!G31</f>
        <v>0</v>
      </c>
      <c r="G420" s="67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6">
        <f>JUNHO!G32</f>
        <v>0</v>
      </c>
      <c r="G421" s="67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6">
        <f>JUNHO!G33</f>
        <v>0</v>
      </c>
      <c r="G422" s="67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6">
        <f>JUNHO!G34</f>
        <v>0</v>
      </c>
      <c r="G423" s="67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6">
        <f>JUNHO!G35</f>
        <v>0</v>
      </c>
      <c r="G424" s="67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6">
        <f>JUNHO!G36</f>
        <v>0</v>
      </c>
      <c r="G425" s="67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6">
        <f>JUNHO!G37</f>
        <v>0</v>
      </c>
      <c r="G426" s="67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6">
        <f>JUNHO!G38</f>
        <v>0</v>
      </c>
      <c r="G427" s="67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6">
        <f>JUNHO!G39</f>
        <v>0</v>
      </c>
      <c r="G428" s="67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6">
        <f>JUNHO!G40</f>
        <v>0</v>
      </c>
      <c r="G429" s="67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6">
        <f>JUNHO!G41</f>
        <v>0</v>
      </c>
      <c r="G430" s="67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6">
        <f>JUNHO!G42</f>
        <v>0</v>
      </c>
      <c r="G431" s="67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6">
        <f>JUNHO!G43</f>
        <v>0</v>
      </c>
      <c r="G432" s="67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6">
        <f>JUNHO!G44</f>
        <v>0</v>
      </c>
      <c r="G433" s="67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6">
        <f>JUNHO!G45</f>
        <v>0</v>
      </c>
      <c r="G434" s="67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6">
        <f>JUNHO!G46</f>
        <v>0</v>
      </c>
      <c r="G435" s="67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6">
        <f>JUNHO!G47</f>
        <v>0</v>
      </c>
      <c r="G436" s="67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6">
        <f>JUNHO!G48</f>
        <v>0</v>
      </c>
      <c r="G437" s="67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6">
        <f>JUNHO!G49</f>
        <v>0</v>
      </c>
      <c r="G438" s="67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6">
        <f>JUNHO!G50</f>
        <v>0</v>
      </c>
      <c r="G439" s="67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6">
        <f>JUNHO!G51</f>
        <v>0</v>
      </c>
      <c r="G440" s="67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6">
        <f>JUNHO!G52</f>
        <v>0</v>
      </c>
      <c r="G441" s="67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6">
        <f>JUNHO!G53</f>
        <v>0</v>
      </c>
      <c r="G442" s="67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6">
        <f>JUNHO!G54</f>
        <v>0</v>
      </c>
      <c r="G443" s="67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6">
        <f>JUNHO!G55</f>
        <v>0</v>
      </c>
      <c r="G444" s="67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6">
        <f>JUNHO!G56</f>
        <v>0</v>
      </c>
      <c r="G445" s="67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6">
        <f>JUNHO!G57</f>
        <v>0</v>
      </c>
      <c r="G446" s="67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6">
        <f>JUNHO!G58</f>
        <v>0</v>
      </c>
      <c r="G447" s="67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6">
        <f>JUNHO!G59</f>
        <v>0</v>
      </c>
      <c r="G448" s="67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6">
        <f>JUNHO!G60</f>
        <v>0</v>
      </c>
      <c r="G449" s="67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6">
        <f>JUNHO!G61</f>
        <v>0</v>
      </c>
      <c r="G450" s="67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6">
        <f>JUNHO!G62</f>
        <v>0</v>
      </c>
      <c r="G451" s="67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6">
        <f>JUNHO!G63</f>
        <v>0</v>
      </c>
      <c r="G452" s="67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6">
        <f>JUNHO!G64</f>
        <v>0</v>
      </c>
      <c r="G453" s="67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6">
        <f>JUNHO!G65</f>
        <v>0</v>
      </c>
      <c r="G454" s="67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6">
        <f>JUNHO!G66</f>
        <v>0</v>
      </c>
      <c r="G455" s="67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6">
        <f>JUNHO!G67</f>
        <v>0</v>
      </c>
      <c r="G456" s="67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6">
        <f>JUNHO!G68</f>
        <v>0</v>
      </c>
      <c r="G457" s="67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6">
        <f>JUNHO!G69</f>
        <v>0</v>
      </c>
      <c r="G458" s="67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6">
        <f>JUNHO!G70</f>
        <v>0</v>
      </c>
      <c r="G459" s="67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6">
        <f>JUNHO!G71</f>
        <v>0</v>
      </c>
      <c r="G460" s="67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6">
        <f>JUNHO!G72</f>
        <v>0</v>
      </c>
      <c r="G461" s="67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6">
        <f>JUNHO!G73</f>
        <v>0</v>
      </c>
      <c r="G462" s="67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6">
        <f>JUNHO!G74</f>
        <v>0</v>
      </c>
      <c r="G463" s="67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6">
        <f>JUNHO!G75</f>
        <v>0</v>
      </c>
      <c r="G464" s="67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6">
        <f>JUNHO!G76</f>
        <v>0</v>
      </c>
      <c r="G465" s="67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6">
        <f>JUNHO!G77</f>
        <v>0</v>
      </c>
      <c r="G466" s="67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6">
        <f>JUNHO!G78</f>
        <v>0</v>
      </c>
      <c r="G467" s="67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6">
        <f>JUNHO!G79</f>
        <v>0</v>
      </c>
      <c r="G468" s="67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6" t="str">
        <f>JUNHO!G80</f>
        <v>BENFICA</v>
      </c>
      <c r="G469" s="67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6">
        <f>JUNHO!G81</f>
        <v>0</v>
      </c>
      <c r="G470" s="67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6">
        <f>JUNHO!G82</f>
        <v>0</v>
      </c>
      <c r="G471" s="67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6">
        <f>JUNHO!G83</f>
        <v>0</v>
      </c>
      <c r="G472" s="67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6">
        <f>JUNHO!G84</f>
        <v>0</v>
      </c>
      <c r="G473" s="67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6">
        <f>JULHO!G7</f>
        <v>0</v>
      </c>
      <c r="G474" s="67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6">
        <f>JULHO!G8</f>
        <v>0</v>
      </c>
      <c r="G475" s="67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6">
        <f>JULHO!G9</f>
        <v>0</v>
      </c>
      <c r="G476" s="67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6">
        <f>JULHO!G10</f>
        <v>0</v>
      </c>
      <c r="G477" s="67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6">
        <f>JULHO!G11</f>
        <v>0</v>
      </c>
      <c r="G478" s="67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6" t="str">
        <f>JULHO!G12</f>
        <v>BENFICA</v>
      </c>
      <c r="G479" s="67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6">
        <f>JULHO!G13</f>
        <v>0</v>
      </c>
      <c r="G480" s="67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6">
        <f>JULHO!G14</f>
        <v>0</v>
      </c>
      <c r="G481" s="67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6">
        <f>JULHO!G15</f>
        <v>0</v>
      </c>
      <c r="G482" s="67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6">
        <f>JULHO!G16</f>
        <v>0</v>
      </c>
      <c r="G483" s="67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6">
        <f>JULHO!G17</f>
        <v>0</v>
      </c>
      <c r="G484" s="67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6" t="str">
        <f>JULHO!G18</f>
        <v>CALEMBA 2</v>
      </c>
      <c r="G485" s="67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6">
        <f>JULHO!G19</f>
        <v>0</v>
      </c>
      <c r="G486" s="67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6">
        <f>JULHO!G20</f>
        <v>0</v>
      </c>
      <c r="G487" s="67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6">
        <f>JULHO!G21</f>
        <v>0</v>
      </c>
      <c r="G488" s="67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6">
        <f>JULHO!G22</f>
        <v>0</v>
      </c>
      <c r="G489" s="67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6">
        <f>JULHO!G23</f>
        <v>0</v>
      </c>
      <c r="G490" s="67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6">
        <f>JULHO!G24</f>
        <v>0</v>
      </c>
      <c r="G491" s="67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6">
        <f>JULHO!G25</f>
        <v>0</v>
      </c>
      <c r="G492" s="67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6">
        <f>JULHO!G26</f>
        <v>0</v>
      </c>
      <c r="G493" s="67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6">
        <f>JULHO!G27</f>
        <v>0</v>
      </c>
      <c r="G494" s="67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6">
        <f>JULHO!G28</f>
        <v>0</v>
      </c>
      <c r="G495" s="67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6">
        <f>JULHO!G29</f>
        <v>0</v>
      </c>
      <c r="G496" s="67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6">
        <f>JULHO!G30</f>
        <v>0</v>
      </c>
      <c r="G497" s="67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6">
        <f>JULHO!G31</f>
        <v>0</v>
      </c>
      <c r="G498" s="67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6">
        <f>JULHO!G32</f>
        <v>0</v>
      </c>
      <c r="G499" s="67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6">
        <f>JULHO!G33</f>
        <v>0</v>
      </c>
      <c r="G500" s="67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6">
        <f>JULHO!G34</f>
        <v>0</v>
      </c>
      <c r="G501" s="67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6">
        <f>JULHO!G35</f>
        <v>0</v>
      </c>
      <c r="G502" s="67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6">
        <f>JULHO!G36</f>
        <v>0</v>
      </c>
      <c r="G503" s="67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6">
        <f>JULHO!G37</f>
        <v>0</v>
      </c>
      <c r="G504" s="67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6">
        <f>JULHO!G38</f>
        <v>0</v>
      </c>
      <c r="G505" s="67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6">
        <f>JULHO!G39</f>
        <v>0</v>
      </c>
      <c r="G506" s="67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6">
        <f>JULHO!G40</f>
        <v>0</v>
      </c>
      <c r="G507" s="67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6">
        <f>JULHO!G41</f>
        <v>0</v>
      </c>
      <c r="G508" s="67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6">
        <f>JULHO!G42</f>
        <v>0</v>
      </c>
      <c r="G509" s="67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6">
        <f>JULHO!G43</f>
        <v>0</v>
      </c>
      <c r="G510" s="67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6">
        <f>JULHO!G44</f>
        <v>0</v>
      </c>
      <c r="G511" s="67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6">
        <f>JULHO!G45</f>
        <v>0</v>
      </c>
      <c r="G512" s="67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6">
        <f>JULHO!G46</f>
        <v>0</v>
      </c>
      <c r="G513" s="67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6">
        <f>JULHO!G47</f>
        <v>0</v>
      </c>
      <c r="G514" s="67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6">
        <f>JULHO!G48</f>
        <v>0</v>
      </c>
      <c r="G515" s="67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6">
        <f>JULHO!G49</f>
        <v>0</v>
      </c>
      <c r="G516" s="67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6">
        <f>JULHO!G50</f>
        <v>0</v>
      </c>
      <c r="G517" s="67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6">
        <f>JULHO!G51</f>
        <v>0</v>
      </c>
      <c r="G518" s="67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6">
        <f>JULHO!G52</f>
        <v>0</v>
      </c>
      <c r="G519" s="67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6">
        <f>JULHO!G53</f>
        <v>0</v>
      </c>
      <c r="G520" s="67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6">
        <f>JULHO!G54</f>
        <v>0</v>
      </c>
      <c r="G521" s="67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6">
        <f>JULHO!G55</f>
        <v>0</v>
      </c>
      <c r="G522" s="67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6">
        <f>JULHO!G56</f>
        <v>0</v>
      </c>
      <c r="G523" s="67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6">
        <f>JULHO!G57</f>
        <v>0</v>
      </c>
      <c r="G524" s="67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6">
        <f>JULHO!G58</f>
        <v>0</v>
      </c>
      <c r="G525" s="67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6">
        <f>JULHO!G59</f>
        <v>0</v>
      </c>
      <c r="G526" s="67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6">
        <f>JULHO!G60</f>
        <v>0</v>
      </c>
      <c r="G527" s="67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6">
        <f>JULHO!G61</f>
        <v>0</v>
      </c>
      <c r="G528" s="67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6">
        <f>JULHO!G62</f>
        <v>0</v>
      </c>
      <c r="G529" s="67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6">
        <f>JULHO!G63</f>
        <v>0</v>
      </c>
      <c r="G530" s="67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6">
        <f>JULHO!G64</f>
        <v>0</v>
      </c>
      <c r="G531" s="67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6">
        <f>JULHO!G65</f>
        <v>0</v>
      </c>
      <c r="G532" s="67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6">
        <f>JULHO!G66</f>
        <v>0</v>
      </c>
      <c r="G533" s="67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6">
        <f>JULHO!G67</f>
        <v>0</v>
      </c>
      <c r="G534" s="67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6">
        <f>JULHO!G68</f>
        <v>0</v>
      </c>
      <c r="G535" s="67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6">
        <f>JULHO!G69</f>
        <v>0</v>
      </c>
      <c r="G536" s="67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6">
        <f>JULHO!G70</f>
        <v>0</v>
      </c>
      <c r="G537" s="67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6">
        <f>JULHO!G71</f>
        <v>0</v>
      </c>
      <c r="G538" s="67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6">
        <f>JULHO!G72</f>
        <v>0</v>
      </c>
      <c r="G539" s="67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6">
        <f>JULHO!G73</f>
        <v>0</v>
      </c>
      <c r="G540" s="67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6">
        <f>JULHO!G74</f>
        <v>0</v>
      </c>
      <c r="G541" s="67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6">
        <f>JULHO!G75</f>
        <v>0</v>
      </c>
      <c r="G542" s="67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6">
        <f>JULHO!G76</f>
        <v>0</v>
      </c>
      <c r="G543" s="67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6">
        <f>JULHO!G77</f>
        <v>0</v>
      </c>
      <c r="G544" s="67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6">
        <f>JULHO!G78</f>
        <v>0</v>
      </c>
      <c r="G545" s="67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6">
        <f>JULHO!G79</f>
        <v>0</v>
      </c>
      <c r="G546" s="67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6" t="str">
        <f>JULHO!G80</f>
        <v>BENFICA</v>
      </c>
      <c r="G547" s="67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6">
        <f>JULHO!G81</f>
        <v>0</v>
      </c>
      <c r="G548" s="67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6">
        <f>JULHO!G82</f>
        <v>0</v>
      </c>
      <c r="G549" s="67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6">
        <f>JULHO!G83</f>
        <v>0</v>
      </c>
      <c r="G550" s="67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6">
        <f>JULHO!G84</f>
        <v>0</v>
      </c>
      <c r="G551" s="67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6">
        <f>AGOSTO!G7</f>
        <v>0</v>
      </c>
      <c r="G552" s="67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6">
        <f>AGOSTO!G8</f>
        <v>0</v>
      </c>
      <c r="G553" s="67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6">
        <f>AGOSTO!G9</f>
        <v>0</v>
      </c>
      <c r="G554" s="67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6">
        <f>AGOSTO!G10</f>
        <v>0</v>
      </c>
      <c r="G555" s="67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6">
        <f>AGOSTO!G11</f>
        <v>0</v>
      </c>
      <c r="G556" s="67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6" t="str">
        <f>AGOSTO!G12</f>
        <v>BENFICA</v>
      </c>
      <c r="G557" s="67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6">
        <f>AGOSTO!G13</f>
        <v>0</v>
      </c>
      <c r="G558" s="67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6">
        <f>AGOSTO!G14</f>
        <v>0</v>
      </c>
      <c r="G559" s="67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6">
        <f>AGOSTO!G15</f>
        <v>0</v>
      </c>
      <c r="G560" s="67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6">
        <f>AGOSTO!G16</f>
        <v>0</v>
      </c>
      <c r="G561" s="67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6">
        <f>AGOSTO!G17</f>
        <v>0</v>
      </c>
      <c r="G562" s="67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6" t="str">
        <f>AGOSTO!G18</f>
        <v>CALEMBA 2</v>
      </c>
      <c r="G563" s="67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6">
        <f>AGOSTO!G19</f>
        <v>0</v>
      </c>
      <c r="G564" s="67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6">
        <f>AGOSTO!G20</f>
        <v>0</v>
      </c>
      <c r="G565" s="67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6">
        <f>AGOSTO!G21</f>
        <v>0</v>
      </c>
      <c r="G566" s="67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6">
        <f>AGOSTO!G22</f>
        <v>0</v>
      </c>
      <c r="G567" s="67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6">
        <f>AGOSTO!G23</f>
        <v>0</v>
      </c>
      <c r="G568" s="67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6">
        <f>AGOSTO!G24</f>
        <v>0</v>
      </c>
      <c r="G569" s="67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6">
        <f>AGOSTO!G25</f>
        <v>0</v>
      </c>
      <c r="G570" s="67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6">
        <f>AGOSTO!G26</f>
        <v>0</v>
      </c>
      <c r="G571" s="67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6">
        <f>AGOSTO!G27</f>
        <v>0</v>
      </c>
      <c r="G572" s="67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6">
        <f>AGOSTO!G28</f>
        <v>0</v>
      </c>
      <c r="G573" s="67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6">
        <f>AGOSTO!G29</f>
        <v>0</v>
      </c>
      <c r="G574" s="67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6">
        <f>AGOSTO!G30</f>
        <v>0</v>
      </c>
      <c r="G575" s="67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6">
        <f>AGOSTO!G31</f>
        <v>0</v>
      </c>
      <c r="G576" s="67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6">
        <f>AGOSTO!G32</f>
        <v>0</v>
      </c>
      <c r="G577" s="67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6">
        <f>AGOSTO!G33</f>
        <v>0</v>
      </c>
      <c r="G578" s="67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6">
        <f>AGOSTO!G34</f>
        <v>0</v>
      </c>
      <c r="G579" s="67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6">
        <f>AGOSTO!G35</f>
        <v>0</v>
      </c>
      <c r="G580" s="67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6">
        <f>AGOSTO!G36</f>
        <v>0</v>
      </c>
      <c r="G581" s="67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6">
        <f>AGOSTO!G37</f>
        <v>0</v>
      </c>
      <c r="G582" s="67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6">
        <f>AGOSTO!G38</f>
        <v>0</v>
      </c>
      <c r="G583" s="67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6">
        <f>AGOSTO!G39</f>
        <v>0</v>
      </c>
      <c r="G584" s="67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6">
        <f>AGOSTO!G40</f>
        <v>0</v>
      </c>
      <c r="G585" s="67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6">
        <f>AGOSTO!G41</f>
        <v>0</v>
      </c>
      <c r="G586" s="67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6">
        <f>AGOSTO!G42</f>
        <v>0</v>
      </c>
      <c r="G587" s="67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6">
        <f>AGOSTO!G43</f>
        <v>0</v>
      </c>
      <c r="G588" s="67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6">
        <f>AGOSTO!G44</f>
        <v>0</v>
      </c>
      <c r="G589" s="67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6">
        <f>AGOSTO!G45</f>
        <v>0</v>
      </c>
      <c r="G590" s="67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6">
        <f>AGOSTO!G46</f>
        <v>0</v>
      </c>
      <c r="G591" s="67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6">
        <f>AGOSTO!G47</f>
        <v>0</v>
      </c>
      <c r="G592" s="67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6">
        <f>AGOSTO!G48</f>
        <v>0</v>
      </c>
      <c r="G593" s="67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6">
        <f>AGOSTO!G49</f>
        <v>0</v>
      </c>
      <c r="G594" s="67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6">
        <f>AGOSTO!G50</f>
        <v>0</v>
      </c>
      <c r="G595" s="67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6">
        <f>AGOSTO!G51</f>
        <v>0</v>
      </c>
      <c r="G596" s="67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6">
        <f>AGOSTO!G52</f>
        <v>0</v>
      </c>
      <c r="G597" s="67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6">
        <f>AGOSTO!G53</f>
        <v>0</v>
      </c>
      <c r="G598" s="67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6">
        <f>AGOSTO!G54</f>
        <v>0</v>
      </c>
      <c r="G599" s="67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6">
        <f>AGOSTO!G55</f>
        <v>0</v>
      </c>
      <c r="G600" s="67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6">
        <f>AGOSTO!G56</f>
        <v>0</v>
      </c>
      <c r="G601" s="67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6">
        <f>AGOSTO!G57</f>
        <v>0</v>
      </c>
      <c r="G602" s="67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6">
        <f>AGOSTO!G58</f>
        <v>0</v>
      </c>
      <c r="G603" s="67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6">
        <f>AGOSTO!G59</f>
        <v>0</v>
      </c>
      <c r="G604" s="67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6">
        <f>AGOSTO!G60</f>
        <v>0</v>
      </c>
      <c r="G605" s="67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6">
        <f>AGOSTO!G61</f>
        <v>0</v>
      </c>
      <c r="G606" s="67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6">
        <f>AGOSTO!G62</f>
        <v>0</v>
      </c>
      <c r="G607" s="67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6">
        <f>AGOSTO!G63</f>
        <v>0</v>
      </c>
      <c r="G608" s="67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6">
        <f>AGOSTO!G64</f>
        <v>0</v>
      </c>
      <c r="G609" s="67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6">
        <f>AGOSTO!G65</f>
        <v>0</v>
      </c>
      <c r="G610" s="67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6">
        <f>AGOSTO!G66</f>
        <v>0</v>
      </c>
      <c r="G611" s="67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6">
        <f>AGOSTO!G67</f>
        <v>0</v>
      </c>
      <c r="G612" s="67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6">
        <f>AGOSTO!G68</f>
        <v>0</v>
      </c>
      <c r="G613" s="67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6">
        <f>AGOSTO!G69</f>
        <v>0</v>
      </c>
      <c r="G614" s="67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6">
        <f>AGOSTO!G70</f>
        <v>0</v>
      </c>
      <c r="G615" s="67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6">
        <f>AGOSTO!G71</f>
        <v>0</v>
      </c>
      <c r="G616" s="67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6">
        <f>AGOSTO!G72</f>
        <v>0</v>
      </c>
      <c r="G617" s="67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6">
        <f>AGOSTO!G73</f>
        <v>0</v>
      </c>
      <c r="G618" s="67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6">
        <f>AGOSTO!G74</f>
        <v>0</v>
      </c>
      <c r="G619" s="67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6">
        <f>AGOSTO!G75</f>
        <v>0</v>
      </c>
      <c r="G620" s="67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6">
        <f>AGOSTO!G76</f>
        <v>0</v>
      </c>
      <c r="G621" s="67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6">
        <f>AGOSTO!G77</f>
        <v>0</v>
      </c>
      <c r="G622" s="67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6">
        <f>AGOSTO!G78</f>
        <v>0</v>
      </c>
      <c r="G623" s="67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6">
        <f>AGOSTO!G79</f>
        <v>0</v>
      </c>
      <c r="G624" s="67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6" t="str">
        <f>AGOSTO!G80</f>
        <v>BENFICA</v>
      </c>
      <c r="G625" s="67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6">
        <f>AGOSTO!G81</f>
        <v>0</v>
      </c>
      <c r="G626" s="67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6">
        <f>AGOSTO!G82</f>
        <v>0</v>
      </c>
      <c r="G627" s="67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6">
        <f>AGOSTO!G83</f>
        <v>0</v>
      </c>
      <c r="G628" s="67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6">
        <f>AGOSTO!G84</f>
        <v>0</v>
      </c>
      <c r="G629" s="67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6" t="str">
        <f>SETEMBRO!G7</f>
        <v>ZANGO 3</v>
      </c>
      <c r="G630" s="67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6" t="str">
        <f>SETEMBRO!G8</f>
        <v>ZANGO 4</v>
      </c>
      <c r="G631" s="67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6" t="str">
        <f>SETEMBRO!G9</f>
        <v>ZANGO 5</v>
      </c>
      <c r="G632" s="67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6" t="str">
        <f>SETEMBRO!G10</f>
        <v>ZANGO 6</v>
      </c>
      <c r="G633" s="67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6" t="str">
        <f>SETEMBRO!G11</f>
        <v>ZANGO 7</v>
      </c>
      <c r="G634" s="67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6" t="str">
        <f>SETEMBRO!G12</f>
        <v>BENFICA</v>
      </c>
      <c r="G635" s="67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6">
        <f>SETEMBRO!G13</f>
        <v>0</v>
      </c>
      <c r="G636" s="67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6">
        <f>SETEMBRO!G14</f>
        <v>0</v>
      </c>
      <c r="G637" s="67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6">
        <f>SETEMBRO!G15</f>
        <v>0</v>
      </c>
      <c r="G638" s="67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6">
        <f>SETEMBRO!G16</f>
        <v>0</v>
      </c>
      <c r="G639" s="67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6">
        <f>SETEMBRO!G17</f>
        <v>0</v>
      </c>
      <c r="G640" s="67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6" t="str">
        <f>SETEMBRO!G18</f>
        <v>CALEMBA 2</v>
      </c>
      <c r="G641" s="67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6">
        <f>SETEMBRO!G19</f>
        <v>0</v>
      </c>
      <c r="G642" s="67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6">
        <f>SETEMBRO!G20</f>
        <v>0</v>
      </c>
      <c r="G643" s="67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6">
        <f>SETEMBRO!G21</f>
        <v>0</v>
      </c>
      <c r="G644" s="67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6">
        <f>SETEMBRO!G22</f>
        <v>0</v>
      </c>
      <c r="G645" s="67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6">
        <f>SETEMBRO!G23</f>
        <v>0</v>
      </c>
      <c r="G646" s="67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6">
        <f>SETEMBRO!G24</f>
        <v>0</v>
      </c>
      <c r="G647" s="67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6">
        <f>SETEMBRO!G25</f>
        <v>0</v>
      </c>
      <c r="G648" s="67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6">
        <f>SETEMBRO!G26</f>
        <v>0</v>
      </c>
      <c r="G649" s="67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6">
        <f>SETEMBRO!G27</f>
        <v>0</v>
      </c>
      <c r="G650" s="67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6">
        <f>SETEMBRO!G28</f>
        <v>0</v>
      </c>
      <c r="G651" s="67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6">
        <f>SETEMBRO!G29</f>
        <v>0</v>
      </c>
      <c r="G652" s="67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6">
        <f>SETEMBRO!G30</f>
        <v>0</v>
      </c>
      <c r="G653" s="67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6">
        <f>SETEMBRO!G31</f>
        <v>0</v>
      </c>
      <c r="G654" s="67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6">
        <f>SETEMBRO!G32</f>
        <v>0</v>
      </c>
      <c r="G655" s="67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6">
        <f>SETEMBRO!G33</f>
        <v>0</v>
      </c>
      <c r="G656" s="67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6">
        <f>SETEMBRO!G34</f>
        <v>0</v>
      </c>
      <c r="G657" s="67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6">
        <f>SETEMBRO!G35</f>
        <v>0</v>
      </c>
      <c r="G658" s="67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6">
        <f>SETEMBRO!G36</f>
        <v>0</v>
      </c>
      <c r="G659" s="67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6">
        <f>SETEMBRO!G37</f>
        <v>0</v>
      </c>
      <c r="G660" s="67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6">
        <f>SETEMBRO!G38</f>
        <v>0</v>
      </c>
      <c r="G661" s="67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6">
        <f>SETEMBRO!G39</f>
        <v>0</v>
      </c>
      <c r="G662" s="67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6">
        <f>SETEMBRO!G40</f>
        <v>0</v>
      </c>
      <c r="G663" s="67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6">
        <f>SETEMBRO!G41</f>
        <v>0</v>
      </c>
      <c r="G664" s="67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6">
        <f>SETEMBRO!G42</f>
        <v>0</v>
      </c>
      <c r="G665" s="67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6">
        <f>SETEMBRO!G43</f>
        <v>0</v>
      </c>
      <c r="G666" s="67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6">
        <f>SETEMBRO!G44</f>
        <v>0</v>
      </c>
      <c r="G667" s="67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6">
        <f>SETEMBRO!G45</f>
        <v>0</v>
      </c>
      <c r="G668" s="67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6">
        <f>SETEMBRO!G46</f>
        <v>0</v>
      </c>
      <c r="G669" s="67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6">
        <f>SETEMBRO!G47</f>
        <v>0</v>
      </c>
      <c r="G670" s="67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6">
        <f>SETEMBRO!G48</f>
        <v>0</v>
      </c>
      <c r="G671" s="67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6">
        <f>SETEMBRO!G49</f>
        <v>0</v>
      </c>
      <c r="G672" s="67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6">
        <f>SETEMBRO!G50</f>
        <v>0</v>
      </c>
      <c r="G673" s="67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6">
        <f>SETEMBRO!G51</f>
        <v>0</v>
      </c>
      <c r="G674" s="67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6">
        <f>SETEMBRO!G52</f>
        <v>0</v>
      </c>
      <c r="G675" s="67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6">
        <f>SETEMBRO!G53</f>
        <v>0</v>
      </c>
      <c r="G676" s="67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6">
        <f>SETEMBRO!G54</f>
        <v>0</v>
      </c>
      <c r="G677" s="67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6">
        <f>SETEMBRO!G55</f>
        <v>0</v>
      </c>
      <c r="G678" s="67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6">
        <f>SETEMBRO!G56</f>
        <v>0</v>
      </c>
      <c r="G679" s="67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6">
        <f>SETEMBRO!G57</f>
        <v>0</v>
      </c>
      <c r="G680" s="67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6">
        <f>SETEMBRO!G58</f>
        <v>0</v>
      </c>
      <c r="G681" s="67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6">
        <f>SETEMBRO!G59</f>
        <v>0</v>
      </c>
      <c r="G682" s="67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6">
        <f>SETEMBRO!G60</f>
        <v>0</v>
      </c>
      <c r="G683" s="67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6">
        <f>SETEMBRO!G61</f>
        <v>0</v>
      </c>
      <c r="G684" s="67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6">
        <f>SETEMBRO!G62</f>
        <v>0</v>
      </c>
      <c r="G685" s="67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6">
        <f>SETEMBRO!G63</f>
        <v>0</v>
      </c>
      <c r="G686" s="67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6">
        <f>SETEMBRO!G64</f>
        <v>0</v>
      </c>
      <c r="G687" s="67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6">
        <f>SETEMBRO!G65</f>
        <v>0</v>
      </c>
      <c r="G688" s="67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6">
        <f>SETEMBRO!G66</f>
        <v>0</v>
      </c>
      <c r="G689" s="67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6">
        <f>SETEMBRO!G67</f>
        <v>0</v>
      </c>
      <c r="G690" s="67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6">
        <f>SETEMBRO!G68</f>
        <v>0</v>
      </c>
      <c r="G691" s="67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6">
        <f>SETEMBRO!G69</f>
        <v>0</v>
      </c>
      <c r="G692" s="67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6">
        <f>SETEMBRO!G70</f>
        <v>0</v>
      </c>
      <c r="G693" s="67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6">
        <f>SETEMBRO!G71</f>
        <v>0</v>
      </c>
      <c r="G694" s="67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6">
        <f>SETEMBRO!G72</f>
        <v>0</v>
      </c>
      <c r="G695" s="67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6">
        <f>SETEMBRO!G73</f>
        <v>0</v>
      </c>
      <c r="G696" s="67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6">
        <f>SETEMBRO!G74</f>
        <v>0</v>
      </c>
      <c r="G697" s="67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6">
        <f>SETEMBRO!G75</f>
        <v>0</v>
      </c>
      <c r="G698" s="67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6">
        <f>SETEMBRO!G76</f>
        <v>0</v>
      </c>
      <c r="G699" s="67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6">
        <f>SETEMBRO!G77</f>
        <v>0</v>
      </c>
      <c r="G700" s="67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6">
        <f>SETEMBRO!G78</f>
        <v>0</v>
      </c>
      <c r="G701" s="67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6">
        <f>SETEMBRO!G79</f>
        <v>0</v>
      </c>
      <c r="G702" s="67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6" t="str">
        <f>SETEMBRO!G80</f>
        <v>BENFICA</v>
      </c>
      <c r="G703" s="67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6">
        <f>SETEMBRO!G81</f>
        <v>0</v>
      </c>
      <c r="G704" s="67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6">
        <f>SETEMBRO!G82</f>
        <v>0</v>
      </c>
      <c r="G705" s="67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6">
        <f>SETEMBRO!G83</f>
        <v>0</v>
      </c>
      <c r="G706" s="67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6">
        <f>SETEMBRO!G84</f>
        <v>0</v>
      </c>
      <c r="G707" s="67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6" t="str">
        <f>OUTUBRO!G7</f>
        <v>ESTALAGEM</v>
      </c>
      <c r="G708" s="67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6" t="str">
        <f>OUTUBRO!G8</f>
        <v>ESTALAGEM</v>
      </c>
      <c r="G709" s="67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6" t="str">
        <f>OUTUBRO!G9</f>
        <v>ESTALAGEM</v>
      </c>
      <c r="G710" s="67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6" t="str">
        <f>OUTUBRO!G10</f>
        <v>ESTALAGEM</v>
      </c>
      <c r="G711" s="67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6" t="str">
        <f>OUTUBRO!G11</f>
        <v>ESTALAGEM</v>
      </c>
      <c r="G712" s="67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6" t="str">
        <f>OUTUBRO!G12</f>
        <v>BENFICA</v>
      </c>
      <c r="G713" s="67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6">
        <f>OUTUBRO!G13</f>
        <v>0</v>
      </c>
      <c r="G714" s="67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6">
        <f>OUTUBRO!G14</f>
        <v>0</v>
      </c>
      <c r="G715" s="67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6">
        <f>OUTUBRO!G15</f>
        <v>0</v>
      </c>
      <c r="G716" s="67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6">
        <f>OUTUBRO!G16</f>
        <v>0</v>
      </c>
      <c r="G717" s="67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6">
        <f>OUTUBRO!G17</f>
        <v>0</v>
      </c>
      <c r="G718" s="67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6" t="str">
        <f>OUTUBRO!G18</f>
        <v>CALEMBA 2</v>
      </c>
      <c r="G719" s="67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6">
        <f>OUTUBRO!G19</f>
        <v>0</v>
      </c>
      <c r="G720" s="67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6">
        <f>OUTUBRO!G20</f>
        <v>0</v>
      </c>
      <c r="G721" s="67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6">
        <f>OUTUBRO!G21</f>
        <v>0</v>
      </c>
      <c r="G722" s="67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6">
        <f>OUTUBRO!G22</f>
        <v>0</v>
      </c>
      <c r="G723" s="67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6">
        <f>OUTUBRO!G23</f>
        <v>0</v>
      </c>
      <c r="G724" s="67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6">
        <f>OUTUBRO!G24</f>
        <v>0</v>
      </c>
      <c r="G725" s="67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6">
        <f>OUTUBRO!G25</f>
        <v>0</v>
      </c>
      <c r="G726" s="67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6">
        <f>OUTUBRO!G26</f>
        <v>0</v>
      </c>
      <c r="G727" s="67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6">
        <f>OUTUBRO!G27</f>
        <v>0</v>
      </c>
      <c r="G728" s="67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6">
        <f>OUTUBRO!G28</f>
        <v>0</v>
      </c>
      <c r="G729" s="67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6">
        <f>OUTUBRO!G29</f>
        <v>0</v>
      </c>
      <c r="G730" s="67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6">
        <f>OUTUBRO!G30</f>
        <v>0</v>
      </c>
      <c r="G731" s="67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6">
        <f>OUTUBRO!G31</f>
        <v>0</v>
      </c>
      <c r="G732" s="67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6">
        <f>OUTUBRO!G32</f>
        <v>0</v>
      </c>
      <c r="G733" s="67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6">
        <f>OUTUBRO!G33</f>
        <v>0</v>
      </c>
      <c r="G734" s="67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6">
        <f>OUTUBRO!G34</f>
        <v>0</v>
      </c>
      <c r="G735" s="67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6">
        <f>OUTUBRO!G35</f>
        <v>0</v>
      </c>
      <c r="G736" s="67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6">
        <f>OUTUBRO!G36</f>
        <v>0</v>
      </c>
      <c r="G737" s="67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6">
        <f>OUTUBRO!G37</f>
        <v>0</v>
      </c>
      <c r="G738" s="67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6">
        <f>OUTUBRO!G38</f>
        <v>0</v>
      </c>
      <c r="G739" s="67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6">
        <f>OUTUBRO!G39</f>
        <v>0</v>
      </c>
      <c r="G740" s="67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6">
        <f>OUTUBRO!G40</f>
        <v>0</v>
      </c>
      <c r="G741" s="67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6">
        <f>OUTUBRO!G41</f>
        <v>0</v>
      </c>
      <c r="G742" s="67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6">
        <f>OUTUBRO!G42</f>
        <v>0</v>
      </c>
      <c r="G743" s="67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6">
        <f>OUTUBRO!G43</f>
        <v>0</v>
      </c>
      <c r="G744" s="67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6">
        <f>OUTUBRO!G44</f>
        <v>0</v>
      </c>
      <c r="G745" s="67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6">
        <f>OUTUBRO!G45</f>
        <v>0</v>
      </c>
      <c r="G746" s="67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6">
        <f>OUTUBRO!G46</f>
        <v>0</v>
      </c>
      <c r="G747" s="67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6">
        <f>OUTUBRO!G47</f>
        <v>0</v>
      </c>
      <c r="G748" s="67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6">
        <f>OUTUBRO!G48</f>
        <v>0</v>
      </c>
      <c r="G749" s="67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6">
        <f>OUTUBRO!G49</f>
        <v>0</v>
      </c>
      <c r="G750" s="67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6">
        <f>OUTUBRO!G50</f>
        <v>0</v>
      </c>
      <c r="G751" s="67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6">
        <f>OUTUBRO!G51</f>
        <v>0</v>
      </c>
      <c r="G752" s="67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6">
        <f>OUTUBRO!G52</f>
        <v>0</v>
      </c>
      <c r="G753" s="67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6">
        <f>OUTUBRO!G53</f>
        <v>0</v>
      </c>
      <c r="G754" s="67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6">
        <f>OUTUBRO!G54</f>
        <v>0</v>
      </c>
      <c r="G755" s="67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6">
        <f>OUTUBRO!G55</f>
        <v>0</v>
      </c>
      <c r="G756" s="67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6">
        <f>OUTUBRO!G56</f>
        <v>0</v>
      </c>
      <c r="G757" s="67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6">
        <f>OUTUBRO!G57</f>
        <v>0</v>
      </c>
      <c r="G758" s="67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6">
        <f>OUTUBRO!G58</f>
        <v>0</v>
      </c>
      <c r="G759" s="67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6">
        <f>OUTUBRO!G59</f>
        <v>0</v>
      </c>
      <c r="G760" s="67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6">
        <f>OUTUBRO!G60</f>
        <v>0</v>
      </c>
      <c r="G761" s="67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6">
        <f>OUTUBRO!G61</f>
        <v>0</v>
      </c>
      <c r="G762" s="67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6">
        <f>OUTUBRO!G62</f>
        <v>0</v>
      </c>
      <c r="G763" s="67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6">
        <f>OUTUBRO!G63</f>
        <v>0</v>
      </c>
      <c r="G764" s="67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6">
        <f>OUTUBRO!G64</f>
        <v>0</v>
      </c>
      <c r="G765" s="67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6">
        <f>OUTUBRO!G65</f>
        <v>0</v>
      </c>
      <c r="G766" s="67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6">
        <f>OUTUBRO!G66</f>
        <v>0</v>
      </c>
      <c r="G767" s="67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6">
        <f>OUTUBRO!G67</f>
        <v>0</v>
      </c>
      <c r="G768" s="67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6">
        <f>OUTUBRO!G68</f>
        <v>0</v>
      </c>
      <c r="G769" s="67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6">
        <f>OUTUBRO!G69</f>
        <v>0</v>
      </c>
      <c r="G770" s="67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6">
        <f>OUTUBRO!G70</f>
        <v>0</v>
      </c>
      <c r="G771" s="67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6">
        <f>OUTUBRO!G71</f>
        <v>0</v>
      </c>
      <c r="G772" s="67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6">
        <f>OUTUBRO!G72</f>
        <v>0</v>
      </c>
      <c r="G773" s="67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6">
        <f>OUTUBRO!G73</f>
        <v>0</v>
      </c>
      <c r="G774" s="67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6">
        <f>OUTUBRO!G74</f>
        <v>0</v>
      </c>
      <c r="G775" s="67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6">
        <f>OUTUBRO!G75</f>
        <v>0</v>
      </c>
      <c r="G776" s="67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6">
        <f>OUTUBRO!G76</f>
        <v>0</v>
      </c>
      <c r="G777" s="67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6">
        <f>OUTUBRO!G77</f>
        <v>0</v>
      </c>
      <c r="G778" s="67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6">
        <f>OUTUBRO!G78</f>
        <v>0</v>
      </c>
      <c r="G779" s="67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6">
        <f>OUTUBRO!G79</f>
        <v>0</v>
      </c>
      <c r="G780" s="67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6" t="str">
        <f>OUTUBRO!G80</f>
        <v>BENFICA</v>
      </c>
      <c r="G781" s="67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6">
        <f>OUTUBRO!G81</f>
        <v>0</v>
      </c>
      <c r="G782" s="67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6">
        <f>OUTUBRO!G82</f>
        <v>0</v>
      </c>
      <c r="G783" s="67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6">
        <f>OUTUBRO!G83</f>
        <v>0</v>
      </c>
      <c r="G784" s="67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6">
        <f>OUTUBRO!G84</f>
        <v>0</v>
      </c>
      <c r="G785" s="67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6" t="str">
        <f>NOVEMBRO!G7</f>
        <v>CATETE</v>
      </c>
      <c r="G786" s="67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6" t="str">
        <f>NOVEMBRO!G8</f>
        <v>CATETE</v>
      </c>
      <c r="G787" s="67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6" t="str">
        <f>NOVEMBRO!G9</f>
        <v>CATETE</v>
      </c>
      <c r="G788" s="67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6" t="str">
        <f>NOVEMBRO!G10</f>
        <v>CATETE</v>
      </c>
      <c r="G789" s="67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6" t="str">
        <f>NOVEMBRO!G11</f>
        <v>CATETE</v>
      </c>
      <c r="G790" s="67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6" t="str">
        <f>NOVEMBRO!G12</f>
        <v>BENFICA</v>
      </c>
      <c r="G791" s="67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6">
        <f>NOVEMBRO!G13</f>
        <v>0</v>
      </c>
      <c r="G792" s="67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6">
        <f>NOVEMBRO!G14</f>
        <v>0</v>
      </c>
      <c r="G793" s="67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6">
        <f>NOVEMBRO!G15</f>
        <v>0</v>
      </c>
      <c r="G794" s="67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6">
        <f>NOVEMBRO!G16</f>
        <v>0</v>
      </c>
      <c r="G795" s="67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6">
        <f>NOVEMBRO!G17</f>
        <v>0</v>
      </c>
      <c r="G796" s="67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6" t="str">
        <f>NOVEMBRO!G18</f>
        <v>CALEMBA 2</v>
      </c>
      <c r="G797" s="67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6">
        <f>NOVEMBRO!G19</f>
        <v>0</v>
      </c>
      <c r="G798" s="67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6">
        <f>NOVEMBRO!G20</f>
        <v>0</v>
      </c>
      <c r="G799" s="67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6">
        <f>NOVEMBRO!G21</f>
        <v>0</v>
      </c>
      <c r="G800" s="67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6">
        <f>NOVEMBRO!G22</f>
        <v>0</v>
      </c>
      <c r="G801" s="67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6">
        <f>NOVEMBRO!G23</f>
        <v>0</v>
      </c>
      <c r="G802" s="67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6">
        <f>NOVEMBRO!G24</f>
        <v>0</v>
      </c>
      <c r="G803" s="67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6">
        <f>NOVEMBRO!G25</f>
        <v>0</v>
      </c>
      <c r="G804" s="67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6">
        <f>NOVEMBRO!G26</f>
        <v>0</v>
      </c>
      <c r="G805" s="67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6">
        <f>NOVEMBRO!G27</f>
        <v>0</v>
      </c>
      <c r="G806" s="67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6">
        <f>NOVEMBRO!G28</f>
        <v>0</v>
      </c>
      <c r="G807" s="67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6">
        <f>NOVEMBRO!G29</f>
        <v>0</v>
      </c>
      <c r="G808" s="67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6">
        <f>NOVEMBRO!G30</f>
        <v>0</v>
      </c>
      <c r="G809" s="67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6">
        <f>NOVEMBRO!G31</f>
        <v>0</v>
      </c>
      <c r="G810" s="67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6">
        <f>NOVEMBRO!G32</f>
        <v>0</v>
      </c>
      <c r="G811" s="67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6">
        <f>NOVEMBRO!G33</f>
        <v>0</v>
      </c>
      <c r="G812" s="67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6">
        <f>NOVEMBRO!G34</f>
        <v>0</v>
      </c>
      <c r="G813" s="67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6">
        <f>NOVEMBRO!G35</f>
        <v>0</v>
      </c>
      <c r="G814" s="67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6">
        <f>NOVEMBRO!G36</f>
        <v>0</v>
      </c>
      <c r="G815" s="67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6">
        <f>NOVEMBRO!G37</f>
        <v>0</v>
      </c>
      <c r="G816" s="67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6">
        <f>NOVEMBRO!G38</f>
        <v>0</v>
      </c>
      <c r="G817" s="67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6">
        <f>NOVEMBRO!G39</f>
        <v>0</v>
      </c>
      <c r="G818" s="67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6">
        <f>NOVEMBRO!G40</f>
        <v>0</v>
      </c>
      <c r="G819" s="67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6">
        <f>NOVEMBRO!G41</f>
        <v>0</v>
      </c>
      <c r="G820" s="67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6">
        <f>NOVEMBRO!G42</f>
        <v>0</v>
      </c>
      <c r="G821" s="67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6">
        <f>NOVEMBRO!G43</f>
        <v>0</v>
      </c>
      <c r="G822" s="67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6">
        <f>NOVEMBRO!G44</f>
        <v>0</v>
      </c>
      <c r="G823" s="67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6">
        <f>NOVEMBRO!G45</f>
        <v>0</v>
      </c>
      <c r="G824" s="67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6">
        <f>NOVEMBRO!G46</f>
        <v>0</v>
      </c>
      <c r="G825" s="67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6">
        <f>NOVEMBRO!G47</f>
        <v>0</v>
      </c>
      <c r="G826" s="67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6">
        <f>NOVEMBRO!G48</f>
        <v>0</v>
      </c>
      <c r="G827" s="67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6">
        <f>NOVEMBRO!G49</f>
        <v>0</v>
      </c>
      <c r="G828" s="67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6">
        <f>NOVEMBRO!G50</f>
        <v>0</v>
      </c>
      <c r="G829" s="67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6">
        <f>NOVEMBRO!G51</f>
        <v>0</v>
      </c>
      <c r="G830" s="67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6">
        <f>NOVEMBRO!G52</f>
        <v>0</v>
      </c>
      <c r="G831" s="67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6">
        <f>NOVEMBRO!G53</f>
        <v>0</v>
      </c>
      <c r="G832" s="67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6">
        <f>NOVEMBRO!G54</f>
        <v>0</v>
      </c>
      <c r="G833" s="67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6">
        <f>NOVEMBRO!G55</f>
        <v>0</v>
      </c>
      <c r="G834" s="67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6">
        <f>NOVEMBRO!G56</f>
        <v>0</v>
      </c>
      <c r="G835" s="67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6">
        <f>NOVEMBRO!G57</f>
        <v>0</v>
      </c>
      <c r="G836" s="67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6">
        <f>NOVEMBRO!G58</f>
        <v>0</v>
      </c>
      <c r="G837" s="67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6">
        <f>NOVEMBRO!G59</f>
        <v>0</v>
      </c>
      <c r="G838" s="67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6">
        <f>NOVEMBRO!G60</f>
        <v>0</v>
      </c>
      <c r="G839" s="67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6">
        <f>NOVEMBRO!G61</f>
        <v>0</v>
      </c>
      <c r="G840" s="67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6">
        <f>NOVEMBRO!G62</f>
        <v>0</v>
      </c>
      <c r="G841" s="67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6">
        <f>NOVEMBRO!G63</f>
        <v>0</v>
      </c>
      <c r="G842" s="67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6">
        <f>NOVEMBRO!G64</f>
        <v>0</v>
      </c>
      <c r="G843" s="67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6">
        <f>NOVEMBRO!G65</f>
        <v>0</v>
      </c>
      <c r="G844" s="67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6">
        <f>NOVEMBRO!G66</f>
        <v>0</v>
      </c>
      <c r="G845" s="67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6">
        <f>NOVEMBRO!G67</f>
        <v>0</v>
      </c>
      <c r="G846" s="67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6">
        <f>NOVEMBRO!G68</f>
        <v>0</v>
      </c>
      <c r="G847" s="67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6">
        <f>NOVEMBRO!G69</f>
        <v>0</v>
      </c>
      <c r="G848" s="67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6">
        <f>NOVEMBRO!G70</f>
        <v>0</v>
      </c>
      <c r="G849" s="67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6">
        <f>NOVEMBRO!G71</f>
        <v>0</v>
      </c>
      <c r="G850" s="67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6">
        <f>NOVEMBRO!G72</f>
        <v>0</v>
      </c>
      <c r="G851" s="67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6">
        <f>NOVEMBRO!G73</f>
        <v>0</v>
      </c>
      <c r="G852" s="67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6">
        <f>NOVEMBRO!G74</f>
        <v>0</v>
      </c>
      <c r="G853" s="67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6">
        <f>NOVEMBRO!G75</f>
        <v>0</v>
      </c>
      <c r="G854" s="67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6">
        <f>NOVEMBRO!G76</f>
        <v>0</v>
      </c>
      <c r="G855" s="67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6">
        <f>NOVEMBRO!G77</f>
        <v>0</v>
      </c>
      <c r="G856" s="67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6">
        <f>NOVEMBRO!G78</f>
        <v>0</v>
      </c>
      <c r="G857" s="67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6">
        <f>NOVEMBRO!G79</f>
        <v>0</v>
      </c>
      <c r="G858" s="67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6" t="str">
        <f>NOVEMBRO!G80</f>
        <v>BENFICA</v>
      </c>
      <c r="G859" s="67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6">
        <f>NOVEMBRO!G81</f>
        <v>0</v>
      </c>
      <c r="G860" s="67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6">
        <f>NOVEMBRO!G82</f>
        <v>0</v>
      </c>
      <c r="G861" s="67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6">
        <f>NOVEMBRO!G83</f>
        <v>0</v>
      </c>
      <c r="G862" s="67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6">
        <f>NOVEMBRO!G84</f>
        <v>0</v>
      </c>
      <c r="G863" s="67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6" t="str">
        <f>DEZEMBRO!G7</f>
        <v>VILA DE VIANA</v>
      </c>
      <c r="G864" s="67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6" t="str">
        <f>DEZEMBRO!G8</f>
        <v>VILA DE VIANA</v>
      </c>
      <c r="G865" s="67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6" t="str">
        <f>DEZEMBRO!G9</f>
        <v>VILA DE VIANA</v>
      </c>
      <c r="G866" s="67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6" t="str">
        <f>DEZEMBRO!G10</f>
        <v>VILA DE VIANA</v>
      </c>
      <c r="G867" s="67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6" t="str">
        <f>DEZEMBRO!G11</f>
        <v>VILA DE VIANA</v>
      </c>
      <c r="G868" s="67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6" t="str">
        <f>DEZEMBRO!G12</f>
        <v>BENFICA</v>
      </c>
      <c r="G869" s="67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6" t="str">
        <f>DEZEMBRO!G13</f>
        <v>ZANGO 3</v>
      </c>
      <c r="G870" s="67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6">
        <f>DEZEMBRO!G14</f>
        <v>0</v>
      </c>
      <c r="G871" s="67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6">
        <f>DEZEMBRO!G15</f>
        <v>0</v>
      </c>
      <c r="G872" s="67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6">
        <f>DEZEMBRO!G16</f>
        <v>0</v>
      </c>
      <c r="G873" s="67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6">
        <f>DEZEMBRO!G17</f>
        <v>0</v>
      </c>
      <c r="G874" s="67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6" t="str">
        <f>DEZEMBRO!G18</f>
        <v>CALEMBA 2</v>
      </c>
      <c r="G875" s="67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6">
        <f>DEZEMBRO!G19</f>
        <v>0</v>
      </c>
      <c r="G876" s="67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6">
        <f>DEZEMBRO!G20</f>
        <v>0</v>
      </c>
      <c r="G877" s="67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6">
        <f>DEZEMBRO!G21</f>
        <v>0</v>
      </c>
      <c r="G878" s="67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6">
        <f>DEZEMBRO!G22</f>
        <v>0</v>
      </c>
      <c r="G879" s="67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6">
        <f>DEZEMBRO!G23</f>
        <v>0</v>
      </c>
      <c r="G880" s="67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6">
        <f>DEZEMBRO!G24</f>
        <v>0</v>
      </c>
      <c r="G881" s="67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6">
        <f>DEZEMBRO!G25</f>
        <v>0</v>
      </c>
      <c r="G882" s="67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6" t="str">
        <f>DEZEMBRO!G26</f>
        <v>GOLF 2</v>
      </c>
      <c r="G883" s="67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6" t="str">
        <f>DEZEMBRO!G27</f>
        <v>GOLF 3</v>
      </c>
      <c r="G884" s="67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6" t="str">
        <f>DEZEMBRO!G28</f>
        <v>GOLF 4</v>
      </c>
      <c r="G885" s="67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6" t="str">
        <f>DEZEMBRO!G29</f>
        <v>GOLF 5</v>
      </c>
      <c r="G886" s="67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6" t="str">
        <f>DEZEMBRO!G30</f>
        <v>GOLF 6</v>
      </c>
      <c r="G887" s="67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6" t="str">
        <f>DEZEMBRO!G31</f>
        <v>GOLF 7</v>
      </c>
      <c r="G888" s="67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6" t="str">
        <f>DEZEMBRO!G32</f>
        <v>GOLF 8</v>
      </c>
      <c r="G889" s="67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6" t="str">
        <f>DEZEMBRO!G33</f>
        <v>GOLF 9</v>
      </c>
      <c r="G890" s="67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6" t="str">
        <f>DEZEMBRO!G34</f>
        <v>GOLF 10</v>
      </c>
      <c r="G891" s="67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6" t="str">
        <f>DEZEMBRO!G35</f>
        <v>GOLF 11</v>
      </c>
      <c r="G892" s="67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6" t="str">
        <f>DEZEMBRO!G36</f>
        <v>GOLF 12</v>
      </c>
      <c r="G893" s="67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6" t="str">
        <f>DEZEMBRO!G37</f>
        <v>GOLF 13</v>
      </c>
      <c r="G894" s="67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6" t="str">
        <f>DEZEMBRO!G38</f>
        <v>GOLF 14</v>
      </c>
      <c r="G895" s="67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6" t="str">
        <f>DEZEMBRO!G39</f>
        <v>GOLF 15</v>
      </c>
      <c r="G896" s="67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6" t="str">
        <f>DEZEMBRO!G40</f>
        <v>GOLF 16</v>
      </c>
      <c r="G897" s="67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6" t="str">
        <f>DEZEMBRO!G41</f>
        <v>GOLF 17</v>
      </c>
      <c r="G898" s="67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6" t="str">
        <f>DEZEMBRO!G42</f>
        <v>GOLF 18</v>
      </c>
      <c r="G899" s="67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6" t="str">
        <f>DEZEMBRO!G43</f>
        <v>GOLF 19</v>
      </c>
      <c r="G900" s="67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6" t="str">
        <f>DEZEMBRO!G44</f>
        <v>GOLF 20</v>
      </c>
      <c r="G901" s="67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6" t="str">
        <f>DEZEMBRO!G45</f>
        <v>GOLF 21</v>
      </c>
      <c r="G902" s="67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6" t="str">
        <f>DEZEMBRO!G46</f>
        <v>GOLF 22</v>
      </c>
      <c r="G903" s="67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6" t="str">
        <f>DEZEMBRO!G47</f>
        <v>GOLF 23</v>
      </c>
      <c r="G904" s="67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6" t="str">
        <f>DEZEMBRO!G48</f>
        <v>GOLF 24</v>
      </c>
      <c r="G905" s="67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6" t="str">
        <f>DEZEMBRO!G49</f>
        <v>GOLF 25</v>
      </c>
      <c r="G906" s="67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6" t="str">
        <f>DEZEMBRO!G50</f>
        <v>GOLF 26</v>
      </c>
      <c r="G907" s="67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6" t="str">
        <f>DEZEMBRO!G51</f>
        <v>GOLF 27</v>
      </c>
      <c r="G908" s="67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6" t="str">
        <f>DEZEMBRO!G52</f>
        <v>GOLF 28</v>
      </c>
      <c r="G909" s="67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6" t="str">
        <f>DEZEMBRO!G53</f>
        <v>GOLF 29</v>
      </c>
      <c r="G910" s="67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6" t="str">
        <f>DEZEMBRO!G54</f>
        <v>GOLF 30</v>
      </c>
      <c r="G911" s="67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6" t="str">
        <f>DEZEMBRO!G55</f>
        <v>GOLF 31</v>
      </c>
      <c r="G912" s="67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6" t="str">
        <f>DEZEMBRO!G56</f>
        <v>GOLF 32</v>
      </c>
      <c r="G913" s="67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6" t="str">
        <f>DEZEMBRO!G57</f>
        <v>GOLF 33</v>
      </c>
      <c r="G914" s="67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6" t="str">
        <f>DEZEMBRO!G58</f>
        <v>GOLF 34</v>
      </c>
      <c r="G915" s="67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6" t="str">
        <f>DEZEMBRO!G59</f>
        <v>GOLF 35</v>
      </c>
      <c r="G916" s="67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6" t="str">
        <f>DEZEMBRO!G60</f>
        <v>GOLF 36</v>
      </c>
      <c r="G917" s="67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6" t="str">
        <f>DEZEMBRO!G61</f>
        <v>GOLF 37</v>
      </c>
      <c r="G918" s="67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6" t="str">
        <f>DEZEMBRO!G62</f>
        <v>GOLF 38</v>
      </c>
      <c r="G919" s="67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6" t="str">
        <f>DEZEMBRO!G63</f>
        <v>GOLF 39</v>
      </c>
      <c r="G920" s="67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6" t="str">
        <f>DEZEMBRO!G64</f>
        <v>GOLF 40</v>
      </c>
      <c r="G921" s="67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6" t="str">
        <f>DEZEMBRO!G65</f>
        <v>GOLF 41</v>
      </c>
      <c r="G922" s="67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6" t="str">
        <f>DEZEMBRO!G66</f>
        <v>GOLF 42</v>
      </c>
      <c r="G923" s="67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6" t="str">
        <f>DEZEMBRO!G67</f>
        <v>GOLF 43</v>
      </c>
      <c r="G924" s="67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6" t="str">
        <f>DEZEMBRO!G68</f>
        <v>GOLF 44</v>
      </c>
      <c r="G925" s="67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6" t="str">
        <f>DEZEMBRO!G69</f>
        <v>GOLF 45</v>
      </c>
      <c r="G926" s="67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6" t="str">
        <f>DEZEMBRO!G70</f>
        <v>GOLF 46</v>
      </c>
      <c r="G927" s="67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6" t="str">
        <f>DEZEMBRO!G71</f>
        <v>GOLF 47</v>
      </c>
      <c r="G928" s="67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6" t="str">
        <f>DEZEMBRO!G72</f>
        <v>GOLF 48</v>
      </c>
      <c r="G929" s="67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6" t="str">
        <f>DEZEMBRO!G73</f>
        <v>GOLF 49</v>
      </c>
      <c r="G930" s="67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6" t="str">
        <f>DEZEMBRO!G74</f>
        <v>GOLF 50</v>
      </c>
      <c r="G931" s="67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6" t="str">
        <f>DEZEMBRO!G75</f>
        <v>GOLF 51</v>
      </c>
      <c r="G932" s="67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6" t="str">
        <f>DEZEMBRO!G76</f>
        <v>GOLF 52</v>
      </c>
      <c r="G933" s="67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6" t="str">
        <f>DEZEMBRO!G77</f>
        <v>GOLF 53</v>
      </c>
      <c r="G934" s="67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6" t="str">
        <f>DEZEMBRO!G78</f>
        <v>GOLF 54</v>
      </c>
      <c r="G935" s="67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6" t="str">
        <f>DEZEMBRO!G79</f>
        <v>GOLF 55</v>
      </c>
      <c r="G936" s="67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6" t="str">
        <f>DEZEMBRO!G80</f>
        <v>BENFICA</v>
      </c>
      <c r="G937" s="67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6">
        <f>DEZEMBRO!G81</f>
        <v>0</v>
      </c>
      <c r="G938" s="67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6">
        <f>DEZEMBRO!G82</f>
        <v>0</v>
      </c>
      <c r="G939" s="67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6">
        <f>DEZEMBRO!G83</f>
        <v>0</v>
      </c>
      <c r="G940" s="67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6">
        <f>DEZEMBRO!G84</f>
        <v>0</v>
      </c>
      <c r="G941" s="67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5"/>
      <c r="G942" s="34"/>
      <c r="H942" s="37"/>
      <c r="I942" s="34"/>
    </row>
    <row r="943" spans="2:16" x14ac:dyDescent="0.25">
      <c r="C943" s="35"/>
      <c r="D943" s="35"/>
      <c r="E943" s="35"/>
      <c r="F943" s="65"/>
      <c r="G943" s="34"/>
      <c r="H943" s="37"/>
      <c r="I943" s="34"/>
    </row>
    <row r="944" spans="2:16" x14ac:dyDescent="0.25">
      <c r="C944" s="35"/>
      <c r="D944" s="35"/>
      <c r="E944" s="35"/>
      <c r="F944" s="65"/>
      <c r="G944" s="34"/>
      <c r="H944" s="37"/>
      <c r="I944" s="34"/>
    </row>
    <row r="945" spans="3:9" x14ac:dyDescent="0.25">
      <c r="C945" s="35"/>
      <c r="D945" s="35"/>
      <c r="E945" s="35"/>
      <c r="F945" s="65"/>
      <c r="G945" s="34"/>
      <c r="H945" s="37"/>
      <c r="I945" s="34"/>
    </row>
    <row r="946" spans="3:9" x14ac:dyDescent="0.25">
      <c r="C946" s="35"/>
      <c r="D946" s="35"/>
      <c r="E946" s="35"/>
      <c r="F946" s="65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8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DASHBOARD (2)</vt:lpstr>
      <vt:lpstr>AUXILIAR 2</vt:lpstr>
      <vt:lpstr>RASCUNHO (2)</vt:lpstr>
      <vt:lpstr>FLUXO DE CAIXA (2)</vt:lpstr>
      <vt:lpstr>RASCUNHO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cp:lastPrinted>2026-03-20T20:12:51Z</cp:lastPrinted>
  <dcterms:created xsi:type="dcterms:W3CDTF">2026-03-05T04:00:41Z</dcterms:created>
  <dcterms:modified xsi:type="dcterms:W3CDTF">2026-03-20T20:13:42Z</dcterms:modified>
</cp:coreProperties>
</file>