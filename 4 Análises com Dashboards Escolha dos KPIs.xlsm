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drawings/drawing16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7.xml" ContentType="application/vnd.openxmlformats-officedocument.drawing+xml"/>
  <Override PartName="/xl/comments14.xml" ContentType="application/vnd.openxmlformats-officedocument.spreadsheetml.comments+xml"/>
  <Override PartName="/xl/drawings/drawing18.xml" ContentType="application/vnd.openxmlformats-officedocument.drawing+xml"/>
  <Override PartName="/xl/comments15.xml" ContentType="application/vnd.openxmlformats-officedocument.spreadsheetml.comments+xml"/>
  <Override PartName="/xl/drawings/drawing19.xml" ContentType="application/vnd.openxmlformats-officedocument.drawing+xml"/>
  <Override PartName="/xl/comments16.xml" ContentType="application/vnd.openxmlformats-officedocument.spreadsheetml.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17.xml" ContentType="application/vnd.openxmlformats-officedocument.spreadsheetml.comments+xml"/>
  <Override PartName="/xl/drawings/drawing2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5.xml" ContentType="application/vnd.openxmlformats-officedocument.drawing+xml"/>
  <Override PartName="/xl/comments18.xml" ContentType="application/vnd.openxmlformats-officedocument.spreadsheetml.comments+xml"/>
  <Override PartName="/xl/drawings/drawing26.xml" ContentType="application/vnd.openxmlformats-officedocument.drawing+xml"/>
  <Override PartName="/xl/comments19.xml" ContentType="application/vnd.openxmlformats-officedocument.spreadsheetml.comments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Kali\Documents\Fluxo de Caixa\DASHBOARDS\"/>
    </mc:Choice>
  </mc:AlternateContent>
  <bookViews>
    <workbookView xWindow="0" yWindow="0" windowWidth="20490" windowHeight="8340" tabRatio="818" firstSheet="13" activeTab="18"/>
  </bookViews>
  <sheets>
    <sheet name="FLUXO DE CAIXA" sheetId="19" r:id="rId1"/>
    <sheet name="GRAFICO ANUAL" sheetId="20" r:id="rId2"/>
    <sheet name="GRAFICO ANUAL (2)" sheetId="28" r:id="rId3"/>
    <sheet name="JANEIRO" sheetId="1" r:id="rId4"/>
    <sheet name="FEVEREIRO" sheetId="3" r:id="rId5"/>
    <sheet name="MARÇO" sheetId="4" r:id="rId6"/>
    <sheet name="ABRIL" sheetId="6" r:id="rId7"/>
    <sheet name="MAIO" sheetId="9" r:id="rId8"/>
    <sheet name="JUNHO" sheetId="10" r:id="rId9"/>
    <sheet name="JULHO" sheetId="11" r:id="rId10"/>
    <sheet name="AGOSTO" sheetId="12" r:id="rId11"/>
    <sheet name="SETEMBRO" sheetId="13" r:id="rId12"/>
    <sheet name="OUTUBRO" sheetId="14" r:id="rId13"/>
    <sheet name="NOVEMBRO" sheetId="15" r:id="rId14"/>
    <sheet name="DEZEMBRO" sheetId="16" r:id="rId15"/>
    <sheet name="DASHBOARD" sheetId="45" r:id="rId16"/>
    <sheet name="AUXILIAR 2" sheetId="42" r:id="rId17"/>
    <sheet name="FLUXO DE CAIXA (2)" sheetId="29" r:id="rId18"/>
    <sheet name="INDICADORES" sheetId="44" r:id="rId19"/>
    <sheet name="COMPARAÇAO CENTROS DE CUSTO" sheetId="40" r:id="rId20"/>
    <sheet name="FLUXO DE CAIXA CENTROS" sheetId="38" r:id="rId21"/>
    <sheet name="plano de contas" sheetId="21" r:id="rId22"/>
    <sheet name="CENTRO DE CUSTO" sheetId="37" r:id="rId23"/>
    <sheet name="DRE" sheetId="22" r:id="rId24"/>
    <sheet name="GRAFICO DESPESAS" sheetId="24" r:id="rId25"/>
    <sheet name="GRAFICOS" sheetId="25" r:id="rId26"/>
    <sheet name="FC-DIARIO" sheetId="30" r:id="rId27"/>
    <sheet name="DRE1" sheetId="23" r:id="rId28"/>
    <sheet name="AUXILIAR" sheetId="26" r:id="rId29"/>
    <sheet name="RASCUNHO" sheetId="43" r:id="rId30"/>
  </sheets>
  <externalReferences>
    <externalReference r:id="rId31"/>
  </externalReferences>
  <definedNames>
    <definedName name="_xlnm._FilterDatabase" localSheetId="6" hidden="1">ABRIL!$C$6:$F$25</definedName>
    <definedName name="_xlnm._FilterDatabase" localSheetId="10" hidden="1">AGOSTO!$C$6:$H$37</definedName>
    <definedName name="_xlnm._FilterDatabase" localSheetId="19" hidden="1">'COMPARAÇAO CENTROS DE CUSTO'!#REF!</definedName>
    <definedName name="_xlnm._FilterDatabase" localSheetId="14" hidden="1">DEZEMBRO!$H$8:$H$37</definedName>
    <definedName name="_xlnm._FilterDatabase" localSheetId="23" hidden="1">DRE!#REF!</definedName>
    <definedName name="_xlnm._FilterDatabase" localSheetId="27" hidden="1">'DRE1'!#REF!</definedName>
    <definedName name="_xlnm._FilterDatabase" localSheetId="26" hidden="1">'FC-DIARIO'!#REF!</definedName>
    <definedName name="_xlnm._FilterDatabase" localSheetId="4" hidden="1">FEVEREIRO!$C$6:$F$25</definedName>
    <definedName name="_xlnm._FilterDatabase" localSheetId="0" hidden="1">'FLUXO DE CAIXA'!#REF!</definedName>
    <definedName name="_xlnm._FilterDatabase" localSheetId="17" hidden="1">'FLUXO DE CAIXA (2)'!#REF!</definedName>
    <definedName name="_xlnm._FilterDatabase" localSheetId="20" hidden="1">'FLUXO DE CAIXA CENTROS'!#REF!</definedName>
    <definedName name="_xlnm._FilterDatabase" localSheetId="3" hidden="1">JANEIRO!$C$6:$J$84</definedName>
    <definedName name="_xlnm._FilterDatabase" localSheetId="9" hidden="1">JULHO!$C$6:$F$25</definedName>
    <definedName name="_xlnm._FilterDatabase" localSheetId="8" hidden="1">JUNHO!$C$6:$F$25</definedName>
    <definedName name="_xlnm._FilterDatabase" localSheetId="7" hidden="1">MAIO!$C$6:$F$25</definedName>
    <definedName name="_xlnm._FilterDatabase" localSheetId="5" hidden="1">MARÇO!$C$6:$F$25</definedName>
    <definedName name="_xlnm._FilterDatabase" localSheetId="13" hidden="1">NOVEMBRO!$C$6:$F$25</definedName>
    <definedName name="_xlnm._FilterDatabase" localSheetId="12" hidden="1">OUTUBRO!$C$6:$F$25</definedName>
    <definedName name="_xlnm._FilterDatabase" localSheetId="11" hidden="1">SETEMBRO!$C$6:$F$25</definedName>
    <definedName name="DESP_MKT">'plano de contas'!$H$8:$H$18</definedName>
    <definedName name="DESP_OP">'plano de contas'!$L$8:$L$18</definedName>
    <definedName name="DESP_PROD">'plano de contas'!$F$8:$F$18</definedName>
    <definedName name="DESP_RH">'plano de contas'!$J$8:$J$18</definedName>
    <definedName name="REC_PROD">'plano de contas'!$B$8:$B$18</definedName>
    <definedName name="REC_SER">'plano de contas'!$D$8:$D$18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42" l="1"/>
  <c r="J9" i="42"/>
  <c r="J10" i="42"/>
  <c r="J11" i="42"/>
  <c r="J12" i="42"/>
  <c r="J13" i="42"/>
  <c r="J7" i="42"/>
  <c r="I4" i="45"/>
  <c r="G4" i="45"/>
  <c r="E4" i="45"/>
  <c r="C13" i="45"/>
  <c r="C10" i="45"/>
  <c r="C12" i="45"/>
  <c r="C7" i="45"/>
  <c r="C4" i="45"/>
  <c r="C9" i="45"/>
  <c r="C6" i="45"/>
  <c r="I3" i="45"/>
  <c r="G3" i="45"/>
  <c r="E3" i="45"/>
  <c r="C3" i="45"/>
  <c r="I8" i="42"/>
  <c r="I9" i="42"/>
  <c r="I10" i="42"/>
  <c r="I11" i="42"/>
  <c r="I12" i="42"/>
  <c r="I13" i="42"/>
  <c r="I7" i="42"/>
  <c r="F14" i="42"/>
  <c r="F13" i="42"/>
  <c r="E14" i="42"/>
  <c r="F9" i="42"/>
  <c r="F10" i="42"/>
  <c r="F11" i="42"/>
  <c r="E8" i="42"/>
  <c r="E11" i="42"/>
  <c r="E12" i="42"/>
  <c r="E13" i="42"/>
  <c r="E6" i="42"/>
  <c r="E7" i="42"/>
  <c r="E5" i="42"/>
  <c r="B13" i="40"/>
  <c r="B14" i="40"/>
  <c r="B15" i="40"/>
  <c r="B16" i="40"/>
  <c r="B17" i="40"/>
  <c r="B18" i="40"/>
  <c r="B9" i="40"/>
  <c r="B10" i="40"/>
  <c r="B11" i="40"/>
  <c r="B12" i="40"/>
  <c r="B8" i="40"/>
  <c r="P10" i="38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F99" i="26"/>
  <c r="F100" i="26"/>
  <c r="F101" i="26"/>
  <c r="F102" i="26"/>
  <c r="F103" i="26"/>
  <c r="F104" i="26"/>
  <c r="F105" i="26"/>
  <c r="F106" i="26"/>
  <c r="F107" i="26"/>
  <c r="F108" i="26"/>
  <c r="F109" i="26"/>
  <c r="F110" i="26"/>
  <c r="F111" i="26"/>
  <c r="F112" i="26"/>
  <c r="F113" i="26"/>
  <c r="F114" i="26"/>
  <c r="F115" i="26"/>
  <c r="F116" i="26"/>
  <c r="F117" i="26"/>
  <c r="F118" i="26"/>
  <c r="F119" i="26"/>
  <c r="F120" i="26"/>
  <c r="F121" i="26"/>
  <c r="F122" i="26"/>
  <c r="F123" i="26"/>
  <c r="F124" i="26"/>
  <c r="F125" i="26"/>
  <c r="F126" i="26"/>
  <c r="F127" i="26"/>
  <c r="F128" i="26"/>
  <c r="F129" i="26"/>
  <c r="F130" i="26"/>
  <c r="F131" i="26"/>
  <c r="F132" i="26"/>
  <c r="F133" i="26"/>
  <c r="F134" i="26"/>
  <c r="F135" i="26"/>
  <c r="F136" i="26"/>
  <c r="F137" i="26"/>
  <c r="F138" i="26"/>
  <c r="F139" i="26"/>
  <c r="F140" i="26"/>
  <c r="F141" i="26"/>
  <c r="F142" i="26"/>
  <c r="F143" i="26"/>
  <c r="F144" i="26"/>
  <c r="F145" i="26"/>
  <c r="F146" i="26"/>
  <c r="F147" i="26"/>
  <c r="F148" i="26"/>
  <c r="F149" i="26"/>
  <c r="F150" i="26"/>
  <c r="F151" i="26"/>
  <c r="F152" i="26"/>
  <c r="F153" i="26"/>
  <c r="F154" i="26"/>
  <c r="F155" i="26"/>
  <c r="F156" i="26"/>
  <c r="F157" i="26"/>
  <c r="F158" i="26"/>
  <c r="F159" i="26"/>
  <c r="F160" i="26"/>
  <c r="F161" i="26"/>
  <c r="F162" i="26"/>
  <c r="F163" i="26"/>
  <c r="F164" i="26"/>
  <c r="F165" i="26"/>
  <c r="F166" i="26"/>
  <c r="F167" i="26"/>
  <c r="F168" i="26"/>
  <c r="F169" i="26"/>
  <c r="F170" i="26"/>
  <c r="F171" i="26"/>
  <c r="F172" i="26"/>
  <c r="F173" i="26"/>
  <c r="F174" i="26"/>
  <c r="F175" i="26"/>
  <c r="F176" i="26"/>
  <c r="F177" i="26"/>
  <c r="F178" i="26"/>
  <c r="F179" i="26"/>
  <c r="F180" i="26"/>
  <c r="F181" i="26"/>
  <c r="F182" i="26"/>
  <c r="F183" i="26"/>
  <c r="F184" i="26"/>
  <c r="F185" i="26"/>
  <c r="F186" i="26"/>
  <c r="F187" i="26"/>
  <c r="F188" i="26"/>
  <c r="F189" i="26"/>
  <c r="F190" i="26"/>
  <c r="F191" i="26"/>
  <c r="F192" i="26"/>
  <c r="F193" i="26"/>
  <c r="F194" i="26"/>
  <c r="F195" i="26"/>
  <c r="F196" i="26"/>
  <c r="F197" i="26"/>
  <c r="F198" i="26"/>
  <c r="F199" i="26"/>
  <c r="F200" i="26"/>
  <c r="F201" i="26"/>
  <c r="F202" i="26"/>
  <c r="F203" i="26"/>
  <c r="F204" i="26"/>
  <c r="F205" i="26"/>
  <c r="F206" i="26"/>
  <c r="F207" i="26"/>
  <c r="F208" i="26"/>
  <c r="F209" i="26"/>
  <c r="F210" i="26"/>
  <c r="F211" i="26"/>
  <c r="F212" i="26"/>
  <c r="F213" i="26"/>
  <c r="F214" i="26"/>
  <c r="F215" i="26"/>
  <c r="F216" i="26"/>
  <c r="F217" i="26"/>
  <c r="F218" i="26"/>
  <c r="F219" i="26"/>
  <c r="F220" i="26"/>
  <c r="F221" i="26"/>
  <c r="F222" i="26"/>
  <c r="F223" i="26"/>
  <c r="F224" i="26"/>
  <c r="F225" i="26"/>
  <c r="F226" i="26"/>
  <c r="F227" i="26"/>
  <c r="F228" i="26"/>
  <c r="F229" i="26"/>
  <c r="F230" i="26"/>
  <c r="F231" i="26"/>
  <c r="F232" i="26"/>
  <c r="F233" i="26"/>
  <c r="F234" i="26"/>
  <c r="F235" i="26"/>
  <c r="F236" i="26"/>
  <c r="F237" i="26"/>
  <c r="F238" i="26"/>
  <c r="F239" i="26"/>
  <c r="F240" i="26"/>
  <c r="F241" i="26"/>
  <c r="F242" i="26"/>
  <c r="F243" i="26"/>
  <c r="F244" i="26"/>
  <c r="F245" i="26"/>
  <c r="F246" i="26"/>
  <c r="F247" i="26"/>
  <c r="F248" i="26"/>
  <c r="F249" i="26"/>
  <c r="F250" i="26"/>
  <c r="F251" i="26"/>
  <c r="F252" i="26"/>
  <c r="F253" i="26"/>
  <c r="F254" i="26"/>
  <c r="F255" i="26"/>
  <c r="F256" i="26"/>
  <c r="F257" i="26"/>
  <c r="F258" i="26"/>
  <c r="F259" i="26"/>
  <c r="F260" i="26"/>
  <c r="F261" i="26"/>
  <c r="F262" i="26"/>
  <c r="F263" i="26"/>
  <c r="F264" i="26"/>
  <c r="F265" i="26"/>
  <c r="F266" i="26"/>
  <c r="F267" i="26"/>
  <c r="F268" i="26"/>
  <c r="F269" i="26"/>
  <c r="F270" i="26"/>
  <c r="F271" i="26"/>
  <c r="F272" i="26"/>
  <c r="F273" i="26"/>
  <c r="F274" i="26"/>
  <c r="F275" i="26"/>
  <c r="F276" i="26"/>
  <c r="F277" i="26"/>
  <c r="F278" i="26"/>
  <c r="F279" i="26"/>
  <c r="F280" i="26"/>
  <c r="F281" i="26"/>
  <c r="F282" i="26"/>
  <c r="F283" i="26"/>
  <c r="F284" i="26"/>
  <c r="F285" i="26"/>
  <c r="F286" i="26"/>
  <c r="F287" i="26"/>
  <c r="F288" i="26"/>
  <c r="F289" i="26"/>
  <c r="F290" i="26"/>
  <c r="F291" i="26"/>
  <c r="F292" i="26"/>
  <c r="F293" i="26"/>
  <c r="F294" i="26"/>
  <c r="F295" i="26"/>
  <c r="F296" i="26"/>
  <c r="F297" i="26"/>
  <c r="F298" i="26"/>
  <c r="F299" i="26"/>
  <c r="F300" i="26"/>
  <c r="F301" i="26"/>
  <c r="F302" i="26"/>
  <c r="F303" i="26"/>
  <c r="F304" i="26"/>
  <c r="F305" i="26"/>
  <c r="F306" i="26"/>
  <c r="F307" i="26"/>
  <c r="F308" i="26"/>
  <c r="F309" i="26"/>
  <c r="F310" i="26"/>
  <c r="F311" i="26"/>
  <c r="F312" i="26"/>
  <c r="F313" i="26"/>
  <c r="F314" i="26"/>
  <c r="F315" i="26"/>
  <c r="F316" i="26"/>
  <c r="F317" i="26"/>
  <c r="F318" i="26"/>
  <c r="F319" i="26"/>
  <c r="F320" i="26"/>
  <c r="F321" i="26"/>
  <c r="F322" i="26"/>
  <c r="F323" i="26"/>
  <c r="F324" i="26"/>
  <c r="F325" i="26"/>
  <c r="F326" i="26"/>
  <c r="F327" i="26"/>
  <c r="F328" i="26"/>
  <c r="F329" i="26"/>
  <c r="F330" i="26"/>
  <c r="F331" i="26"/>
  <c r="F332" i="26"/>
  <c r="F333" i="26"/>
  <c r="F334" i="26"/>
  <c r="F335" i="26"/>
  <c r="F336" i="26"/>
  <c r="F337" i="26"/>
  <c r="F338" i="26"/>
  <c r="F339" i="26"/>
  <c r="F340" i="26"/>
  <c r="F341" i="26"/>
  <c r="F342" i="26"/>
  <c r="F343" i="26"/>
  <c r="F344" i="26"/>
  <c r="F345" i="26"/>
  <c r="F346" i="26"/>
  <c r="F347" i="26"/>
  <c r="F348" i="26"/>
  <c r="F349" i="26"/>
  <c r="F350" i="26"/>
  <c r="F351" i="26"/>
  <c r="F352" i="26"/>
  <c r="F353" i="26"/>
  <c r="F354" i="26"/>
  <c r="F355" i="26"/>
  <c r="F356" i="26"/>
  <c r="F357" i="26"/>
  <c r="F358" i="26"/>
  <c r="F359" i="26"/>
  <c r="F360" i="26"/>
  <c r="F361" i="26"/>
  <c r="F362" i="26"/>
  <c r="F363" i="26"/>
  <c r="F364" i="26"/>
  <c r="F365" i="26"/>
  <c r="F366" i="26"/>
  <c r="F367" i="26"/>
  <c r="F368" i="26"/>
  <c r="F369" i="26"/>
  <c r="F370" i="26"/>
  <c r="F371" i="26"/>
  <c r="F372" i="26"/>
  <c r="F373" i="26"/>
  <c r="F374" i="26"/>
  <c r="F375" i="26"/>
  <c r="F376" i="26"/>
  <c r="F377" i="26"/>
  <c r="F378" i="26"/>
  <c r="F379" i="26"/>
  <c r="F380" i="26"/>
  <c r="F381" i="26"/>
  <c r="F382" i="26"/>
  <c r="F383" i="26"/>
  <c r="F384" i="26"/>
  <c r="F385" i="26"/>
  <c r="F386" i="26"/>
  <c r="F387" i="26"/>
  <c r="F388" i="26"/>
  <c r="F389" i="26"/>
  <c r="F390" i="26"/>
  <c r="F391" i="26"/>
  <c r="F392" i="26"/>
  <c r="F393" i="26"/>
  <c r="F394" i="26"/>
  <c r="F395" i="26"/>
  <c r="F396" i="26"/>
  <c r="F397" i="26"/>
  <c r="F398" i="26"/>
  <c r="F399" i="26"/>
  <c r="F400" i="26"/>
  <c r="F401" i="26"/>
  <c r="F402" i="26"/>
  <c r="F403" i="26"/>
  <c r="F404" i="26"/>
  <c r="F405" i="26"/>
  <c r="F406" i="26"/>
  <c r="F407" i="26"/>
  <c r="F408" i="26"/>
  <c r="F409" i="26"/>
  <c r="F410" i="26"/>
  <c r="F411" i="26"/>
  <c r="F412" i="26"/>
  <c r="F413" i="26"/>
  <c r="F414" i="26"/>
  <c r="F415" i="26"/>
  <c r="F416" i="26"/>
  <c r="F417" i="26"/>
  <c r="F418" i="26"/>
  <c r="F419" i="26"/>
  <c r="F420" i="26"/>
  <c r="F421" i="26"/>
  <c r="F422" i="26"/>
  <c r="F423" i="26"/>
  <c r="F424" i="26"/>
  <c r="F425" i="26"/>
  <c r="F426" i="26"/>
  <c r="F427" i="26"/>
  <c r="F428" i="26"/>
  <c r="F429" i="26"/>
  <c r="F430" i="26"/>
  <c r="F431" i="26"/>
  <c r="F432" i="26"/>
  <c r="F433" i="26"/>
  <c r="F434" i="26"/>
  <c r="F435" i="26"/>
  <c r="F436" i="26"/>
  <c r="F437" i="26"/>
  <c r="F438" i="26"/>
  <c r="F439" i="26"/>
  <c r="F440" i="26"/>
  <c r="F441" i="26"/>
  <c r="F442" i="26"/>
  <c r="F443" i="26"/>
  <c r="F444" i="26"/>
  <c r="F445" i="26"/>
  <c r="F446" i="26"/>
  <c r="F447" i="26"/>
  <c r="F448" i="26"/>
  <c r="F449" i="26"/>
  <c r="F450" i="26"/>
  <c r="F451" i="26"/>
  <c r="F452" i="26"/>
  <c r="F453" i="26"/>
  <c r="F454" i="26"/>
  <c r="F455" i="26"/>
  <c r="F456" i="26"/>
  <c r="F457" i="26"/>
  <c r="F458" i="26"/>
  <c r="F459" i="26"/>
  <c r="F460" i="26"/>
  <c r="F461" i="26"/>
  <c r="F462" i="26"/>
  <c r="F463" i="26"/>
  <c r="F464" i="26"/>
  <c r="F465" i="26"/>
  <c r="F466" i="26"/>
  <c r="F467" i="26"/>
  <c r="F468" i="26"/>
  <c r="F469" i="26"/>
  <c r="F470" i="26"/>
  <c r="F471" i="26"/>
  <c r="F472" i="26"/>
  <c r="F473" i="26"/>
  <c r="F474" i="26"/>
  <c r="F475" i="26"/>
  <c r="F476" i="26"/>
  <c r="F477" i="26"/>
  <c r="F478" i="26"/>
  <c r="F479" i="26"/>
  <c r="F480" i="26"/>
  <c r="F481" i="26"/>
  <c r="F482" i="26"/>
  <c r="F483" i="26"/>
  <c r="F484" i="26"/>
  <c r="F485" i="26"/>
  <c r="F486" i="26"/>
  <c r="F487" i="26"/>
  <c r="F488" i="26"/>
  <c r="F489" i="26"/>
  <c r="F490" i="26"/>
  <c r="F491" i="26"/>
  <c r="F492" i="26"/>
  <c r="F493" i="26"/>
  <c r="F494" i="26"/>
  <c r="F495" i="26"/>
  <c r="F496" i="26"/>
  <c r="F497" i="26"/>
  <c r="F498" i="26"/>
  <c r="F499" i="26"/>
  <c r="F500" i="26"/>
  <c r="F501" i="26"/>
  <c r="F502" i="26"/>
  <c r="F503" i="26"/>
  <c r="F504" i="26"/>
  <c r="F505" i="26"/>
  <c r="F506" i="26"/>
  <c r="F507" i="26"/>
  <c r="F508" i="26"/>
  <c r="F509" i="26"/>
  <c r="F510" i="26"/>
  <c r="F511" i="26"/>
  <c r="F512" i="26"/>
  <c r="F513" i="26"/>
  <c r="F514" i="26"/>
  <c r="F515" i="26"/>
  <c r="F516" i="26"/>
  <c r="F517" i="26"/>
  <c r="F518" i="26"/>
  <c r="F519" i="26"/>
  <c r="F520" i="26"/>
  <c r="F521" i="26"/>
  <c r="F522" i="26"/>
  <c r="F523" i="26"/>
  <c r="F524" i="26"/>
  <c r="F525" i="26"/>
  <c r="F526" i="26"/>
  <c r="F527" i="26"/>
  <c r="F528" i="26"/>
  <c r="F529" i="26"/>
  <c r="F530" i="26"/>
  <c r="F531" i="26"/>
  <c r="F532" i="26"/>
  <c r="F533" i="26"/>
  <c r="F534" i="26"/>
  <c r="F535" i="26"/>
  <c r="F536" i="26"/>
  <c r="F537" i="26"/>
  <c r="F538" i="26"/>
  <c r="F539" i="26"/>
  <c r="F540" i="26"/>
  <c r="F541" i="26"/>
  <c r="F542" i="26"/>
  <c r="F543" i="26"/>
  <c r="F544" i="26"/>
  <c r="F545" i="26"/>
  <c r="F546" i="26"/>
  <c r="F547" i="26"/>
  <c r="F548" i="26"/>
  <c r="F549" i="26"/>
  <c r="F550" i="26"/>
  <c r="F551" i="26"/>
  <c r="F552" i="26"/>
  <c r="F553" i="26"/>
  <c r="F554" i="26"/>
  <c r="F555" i="26"/>
  <c r="F556" i="26"/>
  <c r="F557" i="26"/>
  <c r="F558" i="26"/>
  <c r="F559" i="26"/>
  <c r="F560" i="26"/>
  <c r="F561" i="26"/>
  <c r="F562" i="26"/>
  <c r="F563" i="26"/>
  <c r="F564" i="26"/>
  <c r="F565" i="26"/>
  <c r="F566" i="26"/>
  <c r="F567" i="26"/>
  <c r="F568" i="26"/>
  <c r="F569" i="26"/>
  <c r="F570" i="26"/>
  <c r="F571" i="26"/>
  <c r="F572" i="26"/>
  <c r="F573" i="26"/>
  <c r="F574" i="26"/>
  <c r="F575" i="26"/>
  <c r="F576" i="26"/>
  <c r="F577" i="26"/>
  <c r="F578" i="26"/>
  <c r="F579" i="26"/>
  <c r="F580" i="26"/>
  <c r="F581" i="26"/>
  <c r="F582" i="26"/>
  <c r="F583" i="26"/>
  <c r="F584" i="26"/>
  <c r="F585" i="26"/>
  <c r="F586" i="26"/>
  <c r="F587" i="26"/>
  <c r="F588" i="26"/>
  <c r="F589" i="26"/>
  <c r="F590" i="26"/>
  <c r="F591" i="26"/>
  <c r="F592" i="26"/>
  <c r="F593" i="26"/>
  <c r="F594" i="26"/>
  <c r="F595" i="26"/>
  <c r="F596" i="26"/>
  <c r="F597" i="26"/>
  <c r="F598" i="26"/>
  <c r="F599" i="26"/>
  <c r="F600" i="26"/>
  <c r="F601" i="26"/>
  <c r="F602" i="26"/>
  <c r="F603" i="26"/>
  <c r="F604" i="26"/>
  <c r="F605" i="26"/>
  <c r="F606" i="26"/>
  <c r="F607" i="26"/>
  <c r="F608" i="26"/>
  <c r="F609" i="26"/>
  <c r="F610" i="26"/>
  <c r="F611" i="26"/>
  <c r="F612" i="26"/>
  <c r="F613" i="26"/>
  <c r="F614" i="26"/>
  <c r="F615" i="26"/>
  <c r="F616" i="26"/>
  <c r="F617" i="26"/>
  <c r="F618" i="26"/>
  <c r="F619" i="26"/>
  <c r="F620" i="26"/>
  <c r="F621" i="26"/>
  <c r="F622" i="26"/>
  <c r="F623" i="26"/>
  <c r="F624" i="26"/>
  <c r="F625" i="26"/>
  <c r="F626" i="26"/>
  <c r="F627" i="26"/>
  <c r="F628" i="26"/>
  <c r="F629" i="26"/>
  <c r="F630" i="26"/>
  <c r="F631" i="26"/>
  <c r="F632" i="26"/>
  <c r="F633" i="26"/>
  <c r="F634" i="26"/>
  <c r="F635" i="26"/>
  <c r="F636" i="26"/>
  <c r="F637" i="26"/>
  <c r="F638" i="26"/>
  <c r="F639" i="26"/>
  <c r="F640" i="26"/>
  <c r="F641" i="26"/>
  <c r="F642" i="26"/>
  <c r="F643" i="26"/>
  <c r="F644" i="26"/>
  <c r="F645" i="26"/>
  <c r="F646" i="26"/>
  <c r="F647" i="26"/>
  <c r="F648" i="26"/>
  <c r="F649" i="26"/>
  <c r="F650" i="26"/>
  <c r="F651" i="26"/>
  <c r="F652" i="26"/>
  <c r="F653" i="26"/>
  <c r="F654" i="26"/>
  <c r="F655" i="26"/>
  <c r="F656" i="26"/>
  <c r="F657" i="26"/>
  <c r="F658" i="26"/>
  <c r="F659" i="26"/>
  <c r="F660" i="26"/>
  <c r="F661" i="26"/>
  <c r="F662" i="26"/>
  <c r="F663" i="26"/>
  <c r="F664" i="26"/>
  <c r="F665" i="26"/>
  <c r="F666" i="26"/>
  <c r="F667" i="26"/>
  <c r="F668" i="26"/>
  <c r="F669" i="26"/>
  <c r="F670" i="26"/>
  <c r="F671" i="26"/>
  <c r="F672" i="26"/>
  <c r="F673" i="26"/>
  <c r="F674" i="26"/>
  <c r="F675" i="26"/>
  <c r="F676" i="26"/>
  <c r="F677" i="26"/>
  <c r="F678" i="26"/>
  <c r="F679" i="26"/>
  <c r="F680" i="26"/>
  <c r="F681" i="26"/>
  <c r="F682" i="26"/>
  <c r="F683" i="26"/>
  <c r="F684" i="26"/>
  <c r="F685" i="26"/>
  <c r="F686" i="26"/>
  <c r="F687" i="26"/>
  <c r="F688" i="26"/>
  <c r="F689" i="26"/>
  <c r="F690" i="26"/>
  <c r="F691" i="26"/>
  <c r="F692" i="26"/>
  <c r="F693" i="26"/>
  <c r="F694" i="26"/>
  <c r="F695" i="26"/>
  <c r="F696" i="26"/>
  <c r="F697" i="26"/>
  <c r="F698" i="26"/>
  <c r="F699" i="26"/>
  <c r="F700" i="26"/>
  <c r="F701" i="26"/>
  <c r="F702" i="26"/>
  <c r="F703" i="26"/>
  <c r="F704" i="26"/>
  <c r="F705" i="26"/>
  <c r="F706" i="26"/>
  <c r="F707" i="26"/>
  <c r="F708" i="26"/>
  <c r="F709" i="26"/>
  <c r="F710" i="26"/>
  <c r="F711" i="26"/>
  <c r="F712" i="26"/>
  <c r="F713" i="26"/>
  <c r="F714" i="26"/>
  <c r="F715" i="26"/>
  <c r="F716" i="26"/>
  <c r="F717" i="26"/>
  <c r="F718" i="26"/>
  <c r="F719" i="26"/>
  <c r="F720" i="26"/>
  <c r="F721" i="26"/>
  <c r="F722" i="26"/>
  <c r="F723" i="26"/>
  <c r="F724" i="26"/>
  <c r="F725" i="26"/>
  <c r="F726" i="26"/>
  <c r="F727" i="26"/>
  <c r="F728" i="26"/>
  <c r="F729" i="26"/>
  <c r="F730" i="26"/>
  <c r="F731" i="26"/>
  <c r="F732" i="26"/>
  <c r="F733" i="26"/>
  <c r="F734" i="26"/>
  <c r="F735" i="26"/>
  <c r="F736" i="26"/>
  <c r="F737" i="26"/>
  <c r="F738" i="26"/>
  <c r="F739" i="26"/>
  <c r="F740" i="26"/>
  <c r="F741" i="26"/>
  <c r="F742" i="26"/>
  <c r="F743" i="26"/>
  <c r="F744" i="26"/>
  <c r="F745" i="26"/>
  <c r="F746" i="26"/>
  <c r="F747" i="26"/>
  <c r="F748" i="26"/>
  <c r="F749" i="26"/>
  <c r="F750" i="26"/>
  <c r="F751" i="26"/>
  <c r="F752" i="26"/>
  <c r="F753" i="26"/>
  <c r="F754" i="26"/>
  <c r="F755" i="26"/>
  <c r="F756" i="26"/>
  <c r="F757" i="26"/>
  <c r="F758" i="26"/>
  <c r="F759" i="26"/>
  <c r="F760" i="26"/>
  <c r="F761" i="26"/>
  <c r="F762" i="26"/>
  <c r="F763" i="26"/>
  <c r="F764" i="26"/>
  <c r="F765" i="26"/>
  <c r="F766" i="26"/>
  <c r="F767" i="26"/>
  <c r="F768" i="26"/>
  <c r="F769" i="26"/>
  <c r="F770" i="26"/>
  <c r="F771" i="26"/>
  <c r="F772" i="26"/>
  <c r="F773" i="26"/>
  <c r="F774" i="26"/>
  <c r="F775" i="26"/>
  <c r="F776" i="26"/>
  <c r="F777" i="26"/>
  <c r="F778" i="26"/>
  <c r="F779" i="26"/>
  <c r="F780" i="26"/>
  <c r="F781" i="26"/>
  <c r="F782" i="26"/>
  <c r="F783" i="26"/>
  <c r="F784" i="26"/>
  <c r="F785" i="26"/>
  <c r="F786" i="26"/>
  <c r="F787" i="26"/>
  <c r="F788" i="26"/>
  <c r="F789" i="26"/>
  <c r="F790" i="26"/>
  <c r="F791" i="26"/>
  <c r="F792" i="26"/>
  <c r="F793" i="26"/>
  <c r="F794" i="26"/>
  <c r="F795" i="26"/>
  <c r="F796" i="26"/>
  <c r="F797" i="26"/>
  <c r="F798" i="26"/>
  <c r="F799" i="26"/>
  <c r="F800" i="26"/>
  <c r="F801" i="26"/>
  <c r="F802" i="26"/>
  <c r="F803" i="26"/>
  <c r="F804" i="26"/>
  <c r="F805" i="26"/>
  <c r="F806" i="26"/>
  <c r="F807" i="26"/>
  <c r="F808" i="26"/>
  <c r="F809" i="26"/>
  <c r="F810" i="26"/>
  <c r="F811" i="26"/>
  <c r="F812" i="26"/>
  <c r="F813" i="26"/>
  <c r="F814" i="26"/>
  <c r="F815" i="26"/>
  <c r="F816" i="26"/>
  <c r="F817" i="26"/>
  <c r="F818" i="26"/>
  <c r="F819" i="26"/>
  <c r="F820" i="26"/>
  <c r="F821" i="26"/>
  <c r="F822" i="26"/>
  <c r="F823" i="26"/>
  <c r="F824" i="26"/>
  <c r="F825" i="26"/>
  <c r="F826" i="26"/>
  <c r="F827" i="26"/>
  <c r="F828" i="26"/>
  <c r="F829" i="26"/>
  <c r="F830" i="26"/>
  <c r="F831" i="26"/>
  <c r="F832" i="26"/>
  <c r="F833" i="26"/>
  <c r="F834" i="26"/>
  <c r="F835" i="26"/>
  <c r="F836" i="26"/>
  <c r="F837" i="26"/>
  <c r="F838" i="26"/>
  <c r="F839" i="26"/>
  <c r="F840" i="26"/>
  <c r="F841" i="26"/>
  <c r="F842" i="26"/>
  <c r="F843" i="26"/>
  <c r="F844" i="26"/>
  <c r="F845" i="26"/>
  <c r="F846" i="26"/>
  <c r="F847" i="26"/>
  <c r="F848" i="26"/>
  <c r="F849" i="26"/>
  <c r="F850" i="26"/>
  <c r="F851" i="26"/>
  <c r="F852" i="26"/>
  <c r="F853" i="26"/>
  <c r="F854" i="26"/>
  <c r="F855" i="26"/>
  <c r="F856" i="26"/>
  <c r="F857" i="26"/>
  <c r="F858" i="26"/>
  <c r="F859" i="26"/>
  <c r="F860" i="26"/>
  <c r="F861" i="26"/>
  <c r="F862" i="26"/>
  <c r="F863" i="26"/>
  <c r="F864" i="26"/>
  <c r="F865" i="26"/>
  <c r="F866" i="26"/>
  <c r="F867" i="26"/>
  <c r="F868" i="26"/>
  <c r="F869" i="26"/>
  <c r="F870" i="26"/>
  <c r="F871" i="26"/>
  <c r="F872" i="26"/>
  <c r="F873" i="26"/>
  <c r="F874" i="26"/>
  <c r="F875" i="26"/>
  <c r="F876" i="26"/>
  <c r="F877" i="26"/>
  <c r="F878" i="26"/>
  <c r="F879" i="26"/>
  <c r="F880" i="26"/>
  <c r="F881" i="26"/>
  <c r="F882" i="26"/>
  <c r="F883" i="26"/>
  <c r="F884" i="26"/>
  <c r="F885" i="26"/>
  <c r="F886" i="26"/>
  <c r="F887" i="26"/>
  <c r="F888" i="26"/>
  <c r="F889" i="26"/>
  <c r="F890" i="26"/>
  <c r="F891" i="26"/>
  <c r="F892" i="26"/>
  <c r="F893" i="26"/>
  <c r="F894" i="26"/>
  <c r="F895" i="26"/>
  <c r="F896" i="26"/>
  <c r="F897" i="26"/>
  <c r="F898" i="26"/>
  <c r="F899" i="26"/>
  <c r="F900" i="26"/>
  <c r="F901" i="26"/>
  <c r="F902" i="26"/>
  <c r="F903" i="26"/>
  <c r="F904" i="26"/>
  <c r="F905" i="26"/>
  <c r="F906" i="26"/>
  <c r="F907" i="26"/>
  <c r="F908" i="26"/>
  <c r="F909" i="26"/>
  <c r="F910" i="26"/>
  <c r="F911" i="26"/>
  <c r="F912" i="26"/>
  <c r="F913" i="26"/>
  <c r="F914" i="26"/>
  <c r="F915" i="26"/>
  <c r="F916" i="26"/>
  <c r="F917" i="26"/>
  <c r="F918" i="26"/>
  <c r="F919" i="26"/>
  <c r="F920" i="26"/>
  <c r="F921" i="26"/>
  <c r="F922" i="26"/>
  <c r="F923" i="26"/>
  <c r="F924" i="26"/>
  <c r="F925" i="26"/>
  <c r="F926" i="26"/>
  <c r="F927" i="26"/>
  <c r="F928" i="26"/>
  <c r="F929" i="26"/>
  <c r="F930" i="26"/>
  <c r="F931" i="26"/>
  <c r="F932" i="26"/>
  <c r="F933" i="26"/>
  <c r="F934" i="26"/>
  <c r="F935" i="26"/>
  <c r="F936" i="26"/>
  <c r="F937" i="26"/>
  <c r="F938" i="26"/>
  <c r="F939" i="26"/>
  <c r="F940" i="26"/>
  <c r="F941" i="26"/>
  <c r="D8" i="40"/>
  <c r="H8" i="40"/>
  <c r="L8" i="40"/>
  <c r="E9" i="40"/>
  <c r="I9" i="40"/>
  <c r="M9" i="40"/>
  <c r="F10" i="40"/>
  <c r="K10" i="40"/>
  <c r="D11" i="40"/>
  <c r="I11" i="40"/>
  <c r="M11" i="40"/>
  <c r="F12" i="40"/>
  <c r="J12" i="40"/>
  <c r="N12" i="40"/>
  <c r="G13" i="40"/>
  <c r="K13" i="40"/>
  <c r="D14" i="40"/>
  <c r="H14" i="40"/>
  <c r="L14" i="40"/>
  <c r="E15" i="40"/>
  <c r="I15" i="40"/>
  <c r="M15" i="40"/>
  <c r="F16" i="40"/>
  <c r="K16" i="40"/>
  <c r="D17" i="40"/>
  <c r="H17" i="40"/>
  <c r="L17" i="40"/>
  <c r="E18" i="40"/>
  <c r="I18" i="40"/>
  <c r="M18" i="40"/>
  <c r="C11" i="40"/>
  <c r="C15" i="40"/>
  <c r="C8" i="40"/>
  <c r="K9" i="40"/>
  <c r="I10" i="40"/>
  <c r="F11" i="40"/>
  <c r="D12" i="40"/>
  <c r="L12" i="40"/>
  <c r="I13" i="40"/>
  <c r="F14" i="40"/>
  <c r="N14" i="40"/>
  <c r="D16" i="40"/>
  <c r="M16" i="40"/>
  <c r="J17" i="40"/>
  <c r="G18" i="40"/>
  <c r="C17" i="40"/>
  <c r="G8" i="40"/>
  <c r="D9" i="40"/>
  <c r="L9" i="40"/>
  <c r="J10" i="40"/>
  <c r="H11" i="40"/>
  <c r="E12" i="40"/>
  <c r="M12" i="40"/>
  <c r="J13" i="40"/>
  <c r="G14" i="40"/>
  <c r="D15" i="40"/>
  <c r="L15" i="40"/>
  <c r="J16" i="40"/>
  <c r="G17" i="40"/>
  <c r="K17" i="40"/>
  <c r="L18" i="40"/>
  <c r="C14" i="40"/>
  <c r="H16" i="40"/>
  <c r="E8" i="40"/>
  <c r="I8" i="40"/>
  <c r="M8" i="40"/>
  <c r="F9" i="40"/>
  <c r="J9" i="40"/>
  <c r="N9" i="40"/>
  <c r="G10" i="40"/>
  <c r="L10" i="40"/>
  <c r="E11" i="40"/>
  <c r="J11" i="40"/>
  <c r="N11" i="40"/>
  <c r="G12" i="40"/>
  <c r="K12" i="40"/>
  <c r="D13" i="40"/>
  <c r="H13" i="40"/>
  <c r="L13" i="40"/>
  <c r="E14" i="40"/>
  <c r="I14" i="40"/>
  <c r="M14" i="40"/>
  <c r="F15" i="40"/>
  <c r="J15" i="40"/>
  <c r="N15" i="40"/>
  <c r="G16" i="40"/>
  <c r="L16" i="40"/>
  <c r="E17" i="40"/>
  <c r="I17" i="40"/>
  <c r="F18" i="40"/>
  <c r="J18" i="40"/>
  <c r="N18" i="40"/>
  <c r="C12" i="40"/>
  <c r="C16" i="40"/>
  <c r="H10" i="40"/>
  <c r="F8" i="40"/>
  <c r="J8" i="40"/>
  <c r="G9" i="40"/>
  <c r="D10" i="40"/>
  <c r="M10" i="40"/>
  <c r="K11" i="40"/>
  <c r="H12" i="40"/>
  <c r="E13" i="40"/>
  <c r="M13" i="40"/>
  <c r="J14" i="40"/>
  <c r="G15" i="40"/>
  <c r="K15" i="40"/>
  <c r="I16" i="40"/>
  <c r="F17" i="40"/>
  <c r="N17" i="40"/>
  <c r="K18" i="40"/>
  <c r="C13" i="40"/>
  <c r="K8" i="40"/>
  <c r="H9" i="40"/>
  <c r="E10" i="40"/>
  <c r="N10" i="40"/>
  <c r="L11" i="40"/>
  <c r="I12" i="40"/>
  <c r="F13" i="40"/>
  <c r="N13" i="40"/>
  <c r="K14" i="40"/>
  <c r="H15" i="40"/>
  <c r="E16" i="40"/>
  <c r="N16" i="40"/>
  <c r="D18" i="40"/>
  <c r="H18" i="40"/>
  <c r="C10" i="40"/>
  <c r="C18" i="40"/>
  <c r="G6" i="26"/>
  <c r="O12" i="40"/>
  <c r="O18" i="40"/>
  <c r="O15" i="40"/>
  <c r="O14" i="40"/>
  <c r="O10" i="40"/>
  <c r="O13" i="40"/>
  <c r="O16" i="40"/>
  <c r="I941" i="26"/>
  <c r="I940" i="26"/>
  <c r="I939" i="26"/>
  <c r="I938" i="26"/>
  <c r="I937" i="26"/>
  <c r="I936" i="26"/>
  <c r="I935" i="26"/>
  <c r="I934" i="26"/>
  <c r="I933" i="26"/>
  <c r="I932" i="26"/>
  <c r="I931" i="26"/>
  <c r="I930" i="26"/>
  <c r="I929" i="26"/>
  <c r="I928" i="26"/>
  <c r="I927" i="26"/>
  <c r="I926" i="26"/>
  <c r="I925" i="26"/>
  <c r="I924" i="26"/>
  <c r="I923" i="26"/>
  <c r="I922" i="26"/>
  <c r="I921" i="26"/>
  <c r="I920" i="26"/>
  <c r="I919" i="26"/>
  <c r="I918" i="26"/>
  <c r="I917" i="26"/>
  <c r="I916" i="26"/>
  <c r="I915" i="26"/>
  <c r="I914" i="26"/>
  <c r="I913" i="26"/>
  <c r="I912" i="26"/>
  <c r="I911" i="26"/>
  <c r="I910" i="26"/>
  <c r="I909" i="26"/>
  <c r="I908" i="26"/>
  <c r="I907" i="26"/>
  <c r="I906" i="26"/>
  <c r="I905" i="26"/>
  <c r="I904" i="26"/>
  <c r="I903" i="26"/>
  <c r="I902" i="26"/>
  <c r="I901" i="26"/>
  <c r="I900" i="26"/>
  <c r="I899" i="26"/>
  <c r="I898" i="26"/>
  <c r="I897" i="26"/>
  <c r="I896" i="26"/>
  <c r="I895" i="26"/>
  <c r="I894" i="26"/>
  <c r="I893" i="26"/>
  <c r="I892" i="26"/>
  <c r="I891" i="26"/>
  <c r="I890" i="26"/>
  <c r="I889" i="26"/>
  <c r="I888" i="26"/>
  <c r="I887" i="26"/>
  <c r="I886" i="26"/>
  <c r="I885" i="26"/>
  <c r="I884" i="26"/>
  <c r="I883" i="26"/>
  <c r="I882" i="26"/>
  <c r="I881" i="26"/>
  <c r="I880" i="26"/>
  <c r="I879" i="26"/>
  <c r="I878" i="26"/>
  <c r="I877" i="26"/>
  <c r="I876" i="26"/>
  <c r="I875" i="26"/>
  <c r="I874" i="26"/>
  <c r="I872" i="26"/>
  <c r="I871" i="26"/>
  <c r="I870" i="26"/>
  <c r="I869" i="26"/>
  <c r="I868" i="26"/>
  <c r="I867" i="26"/>
  <c r="I866" i="26"/>
  <c r="I865" i="26"/>
  <c r="I864" i="26"/>
  <c r="I860" i="26"/>
  <c r="I852" i="26"/>
  <c r="I844" i="26"/>
  <c r="I836" i="26"/>
  <c r="I828" i="26"/>
  <c r="I820" i="26"/>
  <c r="I812" i="26"/>
  <c r="I804" i="26"/>
  <c r="I796" i="26"/>
  <c r="I794" i="26"/>
  <c r="I793" i="26"/>
  <c r="I792" i="26"/>
  <c r="I791" i="26"/>
  <c r="I790" i="26"/>
  <c r="I789" i="26"/>
  <c r="I788" i="26"/>
  <c r="I787" i="26"/>
  <c r="I786" i="26"/>
  <c r="I785" i="26"/>
  <c r="I784" i="26"/>
  <c r="I783" i="26"/>
  <c r="I782" i="26"/>
  <c r="I781" i="26"/>
  <c r="I780" i="26"/>
  <c r="I779" i="26"/>
  <c r="I778" i="26"/>
  <c r="I777" i="26"/>
  <c r="I776" i="26"/>
  <c r="I775" i="26"/>
  <c r="I774" i="26"/>
  <c r="I773" i="26"/>
  <c r="I772" i="26"/>
  <c r="I771" i="26"/>
  <c r="I770" i="26"/>
  <c r="I769" i="26"/>
  <c r="I768" i="26"/>
  <c r="I767" i="26"/>
  <c r="I766" i="26"/>
  <c r="I765" i="26"/>
  <c r="I764" i="26"/>
  <c r="I763" i="26"/>
  <c r="I762" i="26"/>
  <c r="I761" i="26"/>
  <c r="I760" i="26"/>
  <c r="I759" i="26"/>
  <c r="I758" i="26"/>
  <c r="I757" i="26"/>
  <c r="I756" i="26"/>
  <c r="I755" i="26"/>
  <c r="I754" i="26"/>
  <c r="I753" i="26"/>
  <c r="I752" i="26"/>
  <c r="I751" i="26"/>
  <c r="I750" i="26"/>
  <c r="I749" i="26"/>
  <c r="I748" i="26"/>
  <c r="I747" i="26"/>
  <c r="I746" i="26"/>
  <c r="I745" i="26"/>
  <c r="I744" i="26"/>
  <c r="I743" i="26"/>
  <c r="I742" i="26"/>
  <c r="I741" i="26"/>
  <c r="I740" i="26"/>
  <c r="I739" i="26"/>
  <c r="I738" i="26"/>
  <c r="I737" i="26"/>
  <c r="I736" i="26"/>
  <c r="I735" i="26"/>
  <c r="I734" i="26"/>
  <c r="I733" i="26"/>
  <c r="I732" i="26"/>
  <c r="I731" i="26"/>
  <c r="I730" i="26"/>
  <c r="I729" i="26"/>
  <c r="I728" i="26"/>
  <c r="I727" i="26"/>
  <c r="I726" i="26"/>
  <c r="I725" i="26"/>
  <c r="I724" i="26"/>
  <c r="I723" i="26"/>
  <c r="I722" i="26"/>
  <c r="I721" i="26"/>
  <c r="I720" i="26"/>
  <c r="I719" i="26"/>
  <c r="I718" i="26"/>
  <c r="I717" i="26"/>
  <c r="I716" i="26"/>
  <c r="I715" i="26"/>
  <c r="I714" i="26"/>
  <c r="I713" i="26"/>
  <c r="I712" i="26"/>
  <c r="I710" i="26"/>
  <c r="I709" i="26"/>
  <c r="I708" i="26"/>
  <c r="I707" i="26"/>
  <c r="I706" i="26"/>
  <c r="I705" i="26"/>
  <c r="I704" i="26"/>
  <c r="I703" i="26"/>
  <c r="I702" i="26"/>
  <c r="I701" i="26"/>
  <c r="I700" i="26"/>
  <c r="I699" i="26"/>
  <c r="I698" i="26"/>
  <c r="I697" i="26"/>
  <c r="I696" i="26"/>
  <c r="I695" i="26"/>
  <c r="I694" i="26"/>
  <c r="I693" i="26"/>
  <c r="I692" i="26"/>
  <c r="I691" i="26"/>
  <c r="I690" i="26"/>
  <c r="I689" i="26"/>
  <c r="I688" i="26"/>
  <c r="I687" i="26"/>
  <c r="I686" i="26"/>
  <c r="I685" i="26"/>
  <c r="I684" i="26"/>
  <c r="I683" i="26"/>
  <c r="I682" i="26"/>
  <c r="I681" i="26"/>
  <c r="I680" i="26"/>
  <c r="I679" i="26"/>
  <c r="I678" i="26"/>
  <c r="I677" i="26"/>
  <c r="I676" i="26"/>
  <c r="I675" i="26"/>
  <c r="I674" i="26"/>
  <c r="I673" i="26"/>
  <c r="I672" i="26"/>
  <c r="I671" i="26"/>
  <c r="I670" i="26"/>
  <c r="I669" i="26"/>
  <c r="I668" i="26"/>
  <c r="I667" i="26"/>
  <c r="I666" i="26"/>
  <c r="I665" i="26"/>
  <c r="I664" i="26"/>
  <c r="I663" i="26"/>
  <c r="I662" i="26"/>
  <c r="I661" i="26"/>
  <c r="I660" i="26"/>
  <c r="I659" i="26"/>
  <c r="I658" i="26"/>
  <c r="I657" i="26"/>
  <c r="I656" i="26"/>
  <c r="I655" i="26"/>
  <c r="I654" i="26"/>
  <c r="I653" i="26"/>
  <c r="I652" i="26"/>
  <c r="I651" i="26"/>
  <c r="I650" i="26"/>
  <c r="I649" i="26"/>
  <c r="I648" i="26"/>
  <c r="I647" i="26"/>
  <c r="I646" i="26"/>
  <c r="I645" i="26"/>
  <c r="I644" i="26"/>
  <c r="I643" i="26"/>
  <c r="I642" i="26"/>
  <c r="I641" i="26"/>
  <c r="I640" i="26"/>
  <c r="I639" i="26"/>
  <c r="I638" i="26"/>
  <c r="I637" i="26"/>
  <c r="I636" i="26"/>
  <c r="I635" i="26"/>
  <c r="I634" i="26"/>
  <c r="I633" i="26"/>
  <c r="I631" i="26"/>
  <c r="I630" i="26"/>
  <c r="I629" i="26"/>
  <c r="I628" i="26"/>
  <c r="I627" i="26"/>
  <c r="I626" i="26"/>
  <c r="I625" i="26"/>
  <c r="I624" i="26"/>
  <c r="I623" i="26"/>
  <c r="I622" i="26"/>
  <c r="I621" i="26"/>
  <c r="I620" i="26"/>
  <c r="I619" i="26"/>
  <c r="I618" i="26"/>
  <c r="I617" i="26"/>
  <c r="I616" i="26"/>
  <c r="I615" i="26"/>
  <c r="I614" i="26"/>
  <c r="I613" i="26"/>
  <c r="I612" i="26"/>
  <c r="I611" i="26"/>
  <c r="I610" i="26"/>
  <c r="I609" i="26"/>
  <c r="I608" i="26"/>
  <c r="I607" i="26"/>
  <c r="I606" i="26"/>
  <c r="I605" i="26"/>
  <c r="I604" i="26"/>
  <c r="I603" i="26"/>
  <c r="I602" i="26"/>
  <c r="I601" i="26"/>
  <c r="I600" i="26"/>
  <c r="I599" i="26"/>
  <c r="I598" i="26"/>
  <c r="I597" i="26"/>
  <c r="I596" i="26"/>
  <c r="I595" i="26"/>
  <c r="I594" i="26"/>
  <c r="I593" i="26"/>
  <c r="I592" i="26"/>
  <c r="I591" i="26"/>
  <c r="I590" i="26"/>
  <c r="I589" i="26"/>
  <c r="I588" i="26"/>
  <c r="I587" i="26"/>
  <c r="I586" i="26"/>
  <c r="I585" i="26"/>
  <c r="I584" i="26"/>
  <c r="I583" i="26"/>
  <c r="I582" i="26"/>
  <c r="I581" i="26"/>
  <c r="I580" i="26"/>
  <c r="I579" i="26"/>
  <c r="I578" i="26"/>
  <c r="I577" i="26"/>
  <c r="I576" i="26"/>
  <c r="I575" i="26"/>
  <c r="I574" i="26"/>
  <c r="I573" i="26"/>
  <c r="I572" i="26"/>
  <c r="I571" i="26"/>
  <c r="I570" i="26"/>
  <c r="I569" i="26"/>
  <c r="I568" i="26"/>
  <c r="I567" i="26"/>
  <c r="I566" i="26"/>
  <c r="I565" i="26"/>
  <c r="I564" i="26"/>
  <c r="I563" i="26"/>
  <c r="I562" i="26"/>
  <c r="I561" i="26"/>
  <c r="I560" i="26"/>
  <c r="I559" i="26"/>
  <c r="I558" i="26"/>
  <c r="I557" i="26"/>
  <c r="I556" i="26"/>
  <c r="I555" i="26"/>
  <c r="I554" i="26"/>
  <c r="I553" i="26"/>
  <c r="I552" i="26"/>
  <c r="I551" i="26"/>
  <c r="I550" i="26"/>
  <c r="I549" i="26"/>
  <c r="I548" i="26"/>
  <c r="I547" i="26"/>
  <c r="I546" i="26"/>
  <c r="I545" i="26"/>
  <c r="I544" i="26"/>
  <c r="I543" i="26"/>
  <c r="I542" i="26"/>
  <c r="I541" i="26"/>
  <c r="I540" i="26"/>
  <c r="I539" i="26"/>
  <c r="I538" i="26"/>
  <c r="I537" i="26"/>
  <c r="I536" i="26"/>
  <c r="I535" i="26"/>
  <c r="I534" i="26"/>
  <c r="I533" i="26"/>
  <c r="I532" i="26"/>
  <c r="I531" i="26"/>
  <c r="I530" i="26"/>
  <c r="I529" i="26"/>
  <c r="I528" i="26"/>
  <c r="I527" i="26"/>
  <c r="I526" i="26"/>
  <c r="I525" i="26"/>
  <c r="I524" i="26"/>
  <c r="I523" i="26"/>
  <c r="I522" i="26"/>
  <c r="I521" i="26"/>
  <c r="I520" i="26"/>
  <c r="I519" i="26"/>
  <c r="I518" i="26"/>
  <c r="I517" i="26"/>
  <c r="I516" i="26"/>
  <c r="I515" i="26"/>
  <c r="I514" i="26"/>
  <c r="I513" i="26"/>
  <c r="I512" i="26"/>
  <c r="I511" i="26"/>
  <c r="I510" i="26"/>
  <c r="I509" i="26"/>
  <c r="I508" i="26"/>
  <c r="I507" i="26"/>
  <c r="I506" i="26"/>
  <c r="I505" i="26"/>
  <c r="I504" i="26"/>
  <c r="I503" i="26"/>
  <c r="I502" i="26"/>
  <c r="I501" i="26"/>
  <c r="I500" i="26"/>
  <c r="I499" i="26"/>
  <c r="I498" i="26"/>
  <c r="I497" i="26"/>
  <c r="I496" i="26"/>
  <c r="I495" i="26"/>
  <c r="I494" i="26"/>
  <c r="I493" i="26"/>
  <c r="I492" i="26"/>
  <c r="I491" i="26"/>
  <c r="I490" i="26"/>
  <c r="I489" i="26"/>
  <c r="I488" i="26"/>
  <c r="I487" i="26"/>
  <c r="I486" i="26"/>
  <c r="I485" i="26"/>
  <c r="I484" i="26"/>
  <c r="I483" i="26"/>
  <c r="I482" i="26"/>
  <c r="I481" i="26"/>
  <c r="I480" i="26"/>
  <c r="I479" i="26"/>
  <c r="I478" i="26"/>
  <c r="I477" i="26"/>
  <c r="I476" i="26"/>
  <c r="I475" i="26"/>
  <c r="I474" i="26"/>
  <c r="I473" i="26"/>
  <c r="I472" i="26"/>
  <c r="I471" i="26"/>
  <c r="I470" i="26"/>
  <c r="I469" i="26"/>
  <c r="I468" i="26"/>
  <c r="I467" i="26"/>
  <c r="I466" i="26"/>
  <c r="I465" i="26"/>
  <c r="I464" i="26"/>
  <c r="I463" i="26"/>
  <c r="I462" i="26"/>
  <c r="I461" i="26"/>
  <c r="I460" i="26"/>
  <c r="I459" i="26"/>
  <c r="I458" i="26"/>
  <c r="I457" i="26"/>
  <c r="I456" i="26"/>
  <c r="I455" i="26"/>
  <c r="I454" i="26"/>
  <c r="I453" i="26"/>
  <c r="I452" i="26"/>
  <c r="I451" i="26"/>
  <c r="I450" i="26"/>
  <c r="I449" i="26"/>
  <c r="I448" i="26"/>
  <c r="I447" i="26"/>
  <c r="I446" i="26"/>
  <c r="I445" i="26"/>
  <c r="I444" i="26"/>
  <c r="I443" i="26"/>
  <c r="I442" i="26"/>
  <c r="I441" i="26"/>
  <c r="I440" i="26"/>
  <c r="I439" i="26"/>
  <c r="I438" i="26"/>
  <c r="I437" i="26"/>
  <c r="I436" i="26"/>
  <c r="I435" i="26"/>
  <c r="I434" i="26"/>
  <c r="I433" i="26"/>
  <c r="I432" i="26"/>
  <c r="I431" i="26"/>
  <c r="I430" i="26"/>
  <c r="I429" i="26"/>
  <c r="I428" i="26"/>
  <c r="I427" i="26"/>
  <c r="I426" i="26"/>
  <c r="I425" i="26"/>
  <c r="I424" i="26"/>
  <c r="I423" i="26"/>
  <c r="I422" i="26"/>
  <c r="I421" i="26"/>
  <c r="I420" i="26"/>
  <c r="I419" i="26"/>
  <c r="I418" i="26"/>
  <c r="I417" i="26"/>
  <c r="I416" i="26"/>
  <c r="I415" i="26"/>
  <c r="I414" i="26"/>
  <c r="I413" i="26"/>
  <c r="I412" i="26"/>
  <c r="I411" i="26"/>
  <c r="I410" i="26"/>
  <c r="I409" i="26"/>
  <c r="I408" i="26"/>
  <c r="I407" i="26"/>
  <c r="I406" i="26"/>
  <c r="I405" i="26"/>
  <c r="I404" i="26"/>
  <c r="I403" i="26"/>
  <c r="I402" i="26"/>
  <c r="I401" i="26"/>
  <c r="I400" i="26"/>
  <c r="I399" i="26"/>
  <c r="I398" i="26"/>
  <c r="I397" i="26"/>
  <c r="I396" i="26"/>
  <c r="I394" i="26"/>
  <c r="I390" i="26"/>
  <c r="I386" i="26"/>
  <c r="I382" i="26"/>
  <c r="I378" i="26"/>
  <c r="I374" i="26"/>
  <c r="I370" i="26"/>
  <c r="I366" i="26"/>
  <c r="I362" i="26"/>
  <c r="I358" i="26"/>
  <c r="I354" i="26"/>
  <c r="I350" i="26"/>
  <c r="I346" i="26"/>
  <c r="I342" i="26"/>
  <c r="I338" i="26"/>
  <c r="I334" i="26"/>
  <c r="I330" i="26"/>
  <c r="I326" i="26"/>
  <c r="I323" i="26"/>
  <c r="I322" i="26"/>
  <c r="I319" i="26"/>
  <c r="I318" i="26"/>
  <c r="I317" i="26"/>
  <c r="I316" i="26"/>
  <c r="I315" i="26"/>
  <c r="I314" i="26"/>
  <c r="I313" i="26"/>
  <c r="I312" i="26"/>
  <c r="I311" i="26"/>
  <c r="I310" i="26"/>
  <c r="I309" i="26"/>
  <c r="I308" i="26"/>
  <c r="I307" i="26"/>
  <c r="I306" i="26"/>
  <c r="I305" i="26"/>
  <c r="I304" i="26"/>
  <c r="I303" i="26"/>
  <c r="I302" i="26"/>
  <c r="I301" i="26"/>
  <c r="I300" i="26"/>
  <c r="I299" i="26"/>
  <c r="I298" i="26"/>
  <c r="I297" i="26"/>
  <c r="I296" i="26"/>
  <c r="I295" i="26"/>
  <c r="I294" i="26"/>
  <c r="I293" i="26"/>
  <c r="I292" i="26"/>
  <c r="I291" i="26"/>
  <c r="I290" i="26"/>
  <c r="I289" i="26"/>
  <c r="I288" i="26"/>
  <c r="I287" i="26"/>
  <c r="I286" i="26"/>
  <c r="I285" i="26"/>
  <c r="I284" i="26"/>
  <c r="I283" i="26"/>
  <c r="I282" i="26"/>
  <c r="I281" i="26"/>
  <c r="I280" i="26"/>
  <c r="I279" i="26"/>
  <c r="I278" i="26"/>
  <c r="I277" i="26"/>
  <c r="I276" i="26"/>
  <c r="I275" i="26"/>
  <c r="I274" i="26"/>
  <c r="I273" i="26"/>
  <c r="I272" i="26"/>
  <c r="I271" i="26"/>
  <c r="I270" i="26"/>
  <c r="I269" i="26"/>
  <c r="I268" i="26"/>
  <c r="I267" i="26"/>
  <c r="I266" i="26"/>
  <c r="I265" i="26"/>
  <c r="I264" i="26"/>
  <c r="I263" i="26"/>
  <c r="I262" i="26"/>
  <c r="I261" i="26"/>
  <c r="I260" i="26"/>
  <c r="I259" i="26"/>
  <c r="I258" i="26"/>
  <c r="I257" i="26"/>
  <c r="I256" i="26"/>
  <c r="I255" i="26"/>
  <c r="I254" i="26"/>
  <c r="I253" i="26"/>
  <c r="I252" i="26"/>
  <c r="I251" i="26"/>
  <c r="I250" i="26"/>
  <c r="I249" i="26"/>
  <c r="I248" i="26"/>
  <c r="I247" i="26"/>
  <c r="I246" i="26"/>
  <c r="I245" i="26"/>
  <c r="I244" i="26"/>
  <c r="I243" i="26"/>
  <c r="I242" i="26"/>
  <c r="I241" i="26"/>
  <c r="I240" i="26"/>
  <c r="I239" i="26"/>
  <c r="I238" i="26"/>
  <c r="I237" i="26"/>
  <c r="I236" i="26"/>
  <c r="I235" i="26"/>
  <c r="I234" i="26"/>
  <c r="I233" i="26"/>
  <c r="I232" i="26"/>
  <c r="I231" i="26"/>
  <c r="I230" i="26"/>
  <c r="I229" i="26"/>
  <c r="I228" i="26"/>
  <c r="I227" i="26"/>
  <c r="I226" i="26"/>
  <c r="I225" i="26"/>
  <c r="I224" i="26"/>
  <c r="I223" i="26"/>
  <c r="I222" i="26"/>
  <c r="I221" i="26"/>
  <c r="I220" i="26"/>
  <c r="I219" i="26"/>
  <c r="I218" i="26"/>
  <c r="I217" i="26"/>
  <c r="I216" i="26"/>
  <c r="I215" i="26"/>
  <c r="I214" i="26"/>
  <c r="I213" i="26"/>
  <c r="I212" i="26"/>
  <c r="I211" i="26"/>
  <c r="I210" i="26"/>
  <c r="I209" i="26"/>
  <c r="I208" i="26"/>
  <c r="I207" i="26"/>
  <c r="I206" i="26"/>
  <c r="I205" i="26"/>
  <c r="I204" i="26"/>
  <c r="I203" i="26"/>
  <c r="I202" i="26"/>
  <c r="I201" i="26"/>
  <c r="I200" i="26"/>
  <c r="I199" i="26"/>
  <c r="I198" i="26"/>
  <c r="I197" i="26"/>
  <c r="I196" i="26"/>
  <c r="I195" i="26"/>
  <c r="I194" i="26"/>
  <c r="I193" i="26"/>
  <c r="I192" i="26"/>
  <c r="I191" i="26"/>
  <c r="I190" i="26"/>
  <c r="I189" i="26"/>
  <c r="I188" i="26"/>
  <c r="I187" i="26"/>
  <c r="I186" i="26"/>
  <c r="I185" i="26"/>
  <c r="I184" i="26"/>
  <c r="I183" i="26"/>
  <c r="I182" i="26"/>
  <c r="I181" i="26"/>
  <c r="I180" i="26"/>
  <c r="I179" i="26"/>
  <c r="I178" i="26"/>
  <c r="I177" i="26"/>
  <c r="I176" i="26"/>
  <c r="I175" i="26"/>
  <c r="I174" i="26"/>
  <c r="I173" i="26"/>
  <c r="I172" i="26"/>
  <c r="I171" i="26"/>
  <c r="I170" i="26"/>
  <c r="I169" i="26"/>
  <c r="I168" i="26"/>
  <c r="I167" i="26"/>
  <c r="I166" i="26"/>
  <c r="I165" i="26"/>
  <c r="I164" i="26"/>
  <c r="I163" i="26"/>
  <c r="I162" i="26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15" i="9"/>
  <c r="O16" i="9"/>
  <c r="I327" i="26"/>
  <c r="O17" i="9"/>
  <c r="I328" i="26"/>
  <c r="O18" i="9"/>
  <c r="I329" i="26"/>
  <c r="O19" i="9"/>
  <c r="O20" i="9"/>
  <c r="I331" i="26"/>
  <c r="O21" i="9"/>
  <c r="I332" i="26"/>
  <c r="O22" i="9"/>
  <c r="I333" i="26"/>
  <c r="O23" i="9"/>
  <c r="O24" i="9"/>
  <c r="I335" i="26"/>
  <c r="O25" i="9"/>
  <c r="I336" i="26"/>
  <c r="O26" i="9"/>
  <c r="I337" i="26"/>
  <c r="O27" i="9"/>
  <c r="O28" i="9"/>
  <c r="I339" i="26"/>
  <c r="O29" i="9"/>
  <c r="I340" i="26"/>
  <c r="O30" i="9"/>
  <c r="I341" i="26"/>
  <c r="O31" i="9"/>
  <c r="O32" i="9"/>
  <c r="I343" i="26"/>
  <c r="O33" i="9"/>
  <c r="I344" i="26"/>
  <c r="O34" i="9"/>
  <c r="I345" i="26"/>
  <c r="O35" i="9"/>
  <c r="O36" i="9"/>
  <c r="I347" i="26"/>
  <c r="O37" i="9"/>
  <c r="I348" i="26"/>
  <c r="O38" i="9"/>
  <c r="I349" i="26"/>
  <c r="O39" i="9"/>
  <c r="O40" i="9"/>
  <c r="I351" i="26"/>
  <c r="O41" i="9"/>
  <c r="I352" i="26"/>
  <c r="O42" i="9"/>
  <c r="I353" i="26"/>
  <c r="O43" i="9"/>
  <c r="O44" i="9"/>
  <c r="I355" i="26"/>
  <c r="O45" i="9"/>
  <c r="I356" i="26"/>
  <c r="O46" i="9"/>
  <c r="I357" i="26"/>
  <c r="O47" i="9"/>
  <c r="O48" i="9"/>
  <c r="I359" i="26"/>
  <c r="O49" i="9"/>
  <c r="I360" i="26"/>
  <c r="O50" i="9"/>
  <c r="I361" i="26"/>
  <c r="O51" i="9"/>
  <c r="O52" i="9"/>
  <c r="I363" i="26"/>
  <c r="O53" i="9"/>
  <c r="I364" i="26"/>
  <c r="O54" i="9"/>
  <c r="I365" i="26"/>
  <c r="O55" i="9"/>
  <c r="O56" i="9"/>
  <c r="I367" i="26"/>
  <c r="O57" i="9"/>
  <c r="I368" i="26"/>
  <c r="O58" i="9"/>
  <c r="I369" i="26"/>
  <c r="O59" i="9"/>
  <c r="O60" i="9"/>
  <c r="I371" i="26"/>
  <c r="O61" i="9"/>
  <c r="I372" i="26"/>
  <c r="O62" i="9"/>
  <c r="I373" i="26"/>
  <c r="O63" i="9"/>
  <c r="O64" i="9"/>
  <c r="I375" i="26"/>
  <c r="O65" i="9"/>
  <c r="I376" i="26"/>
  <c r="O66" i="9"/>
  <c r="I377" i="26"/>
  <c r="O67" i="9"/>
  <c r="O68" i="9"/>
  <c r="I379" i="26"/>
  <c r="O69" i="9"/>
  <c r="I380" i="26"/>
  <c r="O70" i="9"/>
  <c r="I381" i="26"/>
  <c r="O71" i="9"/>
  <c r="O72" i="9"/>
  <c r="I383" i="26"/>
  <c r="O73" i="9"/>
  <c r="I384" i="26"/>
  <c r="O74" i="9"/>
  <c r="I385" i="26"/>
  <c r="O75" i="9"/>
  <c r="O76" i="9"/>
  <c r="I387" i="26"/>
  <c r="O77" i="9"/>
  <c r="I388" i="26"/>
  <c r="O78" i="9"/>
  <c r="I389" i="26"/>
  <c r="O79" i="9"/>
  <c r="O80" i="9"/>
  <c r="I391" i="26"/>
  <c r="O81" i="9"/>
  <c r="I392" i="26"/>
  <c r="O82" i="9"/>
  <c r="I393" i="26"/>
  <c r="O83" i="9"/>
  <c r="O84" i="9"/>
  <c r="I395" i="26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15" i="15"/>
  <c r="O16" i="15"/>
  <c r="I795" i="26"/>
  <c r="O17" i="15"/>
  <c r="O18" i="15"/>
  <c r="I797" i="26"/>
  <c r="O19" i="15"/>
  <c r="I798" i="26"/>
  <c r="O20" i="15"/>
  <c r="I799" i="26"/>
  <c r="O21" i="15"/>
  <c r="I800" i="26"/>
  <c r="O22" i="15"/>
  <c r="I801" i="26"/>
  <c r="O23" i="15"/>
  <c r="I802" i="26"/>
  <c r="O24" i="15"/>
  <c r="I803" i="26"/>
  <c r="O25" i="15"/>
  <c r="O26" i="15"/>
  <c r="I805" i="26"/>
  <c r="O27" i="15"/>
  <c r="I806" i="26"/>
  <c r="O28" i="15"/>
  <c r="I807" i="26"/>
  <c r="O29" i="15"/>
  <c r="I808" i="26"/>
  <c r="O30" i="15"/>
  <c r="I809" i="26"/>
  <c r="O31" i="15"/>
  <c r="I810" i="26"/>
  <c r="O32" i="15"/>
  <c r="I811" i="26"/>
  <c r="O33" i="15"/>
  <c r="O34" i="15"/>
  <c r="I813" i="26"/>
  <c r="O35" i="15"/>
  <c r="I814" i="26"/>
  <c r="O36" i="15"/>
  <c r="I815" i="26"/>
  <c r="O37" i="15"/>
  <c r="I816" i="26"/>
  <c r="O38" i="15"/>
  <c r="I817" i="26"/>
  <c r="O39" i="15"/>
  <c r="I818" i="26"/>
  <c r="O40" i="15"/>
  <c r="I819" i="26"/>
  <c r="O41" i="15"/>
  <c r="O42" i="15"/>
  <c r="I821" i="26"/>
  <c r="O43" i="15"/>
  <c r="I822" i="26"/>
  <c r="O44" i="15"/>
  <c r="I823" i="26"/>
  <c r="O45" i="15"/>
  <c r="I824" i="26"/>
  <c r="O46" i="15"/>
  <c r="I825" i="26"/>
  <c r="O47" i="15"/>
  <c r="I826" i="26"/>
  <c r="O48" i="15"/>
  <c r="I827" i="26"/>
  <c r="O49" i="15"/>
  <c r="O50" i="15"/>
  <c r="I829" i="26"/>
  <c r="O51" i="15"/>
  <c r="I830" i="26"/>
  <c r="O52" i="15"/>
  <c r="I831" i="26"/>
  <c r="O53" i="15"/>
  <c r="I832" i="26"/>
  <c r="O54" i="15"/>
  <c r="I833" i="26"/>
  <c r="O55" i="15"/>
  <c r="I834" i="26"/>
  <c r="O56" i="15"/>
  <c r="I835" i="26"/>
  <c r="O57" i="15"/>
  <c r="O58" i="15"/>
  <c r="I837" i="26"/>
  <c r="O59" i="15"/>
  <c r="I838" i="26"/>
  <c r="O60" i="15"/>
  <c r="I839" i="26"/>
  <c r="O61" i="15"/>
  <c r="I840" i="26"/>
  <c r="O62" i="15"/>
  <c r="I841" i="26"/>
  <c r="O63" i="15"/>
  <c r="I842" i="26"/>
  <c r="O64" i="15"/>
  <c r="I843" i="26"/>
  <c r="O65" i="15"/>
  <c r="O66" i="15"/>
  <c r="I845" i="26"/>
  <c r="O67" i="15"/>
  <c r="I846" i="26"/>
  <c r="O68" i="15"/>
  <c r="I847" i="26"/>
  <c r="O69" i="15"/>
  <c r="I848" i="26"/>
  <c r="O70" i="15"/>
  <c r="I849" i="26"/>
  <c r="O71" i="15"/>
  <c r="I850" i="26"/>
  <c r="O72" i="15"/>
  <c r="I851" i="26"/>
  <c r="O73" i="15"/>
  <c r="O74" i="15"/>
  <c r="I853" i="26"/>
  <c r="O75" i="15"/>
  <c r="I854" i="26"/>
  <c r="O76" i="15"/>
  <c r="I855" i="26"/>
  <c r="O77" i="15"/>
  <c r="I856" i="26"/>
  <c r="O78" i="15"/>
  <c r="I857" i="26"/>
  <c r="O79" i="15"/>
  <c r="I858" i="26"/>
  <c r="O80" i="15"/>
  <c r="I859" i="26"/>
  <c r="O81" i="15"/>
  <c r="O82" i="15"/>
  <c r="I861" i="26"/>
  <c r="O83" i="15"/>
  <c r="I862" i="26"/>
  <c r="O84" i="15"/>
  <c r="I863" i="26"/>
  <c r="O15" i="16"/>
  <c r="O16" i="16"/>
  <c r="I873" i="2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" i="3"/>
  <c r="O9" i="3"/>
  <c r="O10" i="3"/>
  <c r="O11" i="3"/>
  <c r="O12" i="3"/>
  <c r="O13" i="3"/>
  <c r="O14" i="3"/>
  <c r="O8" i="4"/>
  <c r="O9" i="4"/>
  <c r="O10" i="4"/>
  <c r="O11" i="4"/>
  <c r="O12" i="4"/>
  <c r="O13" i="4"/>
  <c r="O14" i="4"/>
  <c r="O8" i="6"/>
  <c r="O9" i="6"/>
  <c r="O10" i="6"/>
  <c r="O11" i="6"/>
  <c r="O12" i="6"/>
  <c r="O13" i="6"/>
  <c r="O14" i="6"/>
  <c r="O8" i="9"/>
  <c r="O9" i="9"/>
  <c r="I320" i="26"/>
  <c r="O10" i="9"/>
  <c r="I321" i="26"/>
  <c r="O11" i="9"/>
  <c r="O12" i="9"/>
  <c r="O13" i="9"/>
  <c r="I324" i="26"/>
  <c r="O14" i="9"/>
  <c r="I325" i="26"/>
  <c r="O8" i="10"/>
  <c r="O9" i="10"/>
  <c r="O10" i="10"/>
  <c r="O11" i="10"/>
  <c r="O12" i="10"/>
  <c r="O13" i="10"/>
  <c r="O14" i="10"/>
  <c r="O8" i="11"/>
  <c r="O9" i="11"/>
  <c r="O10" i="11"/>
  <c r="O11" i="11"/>
  <c r="O12" i="11"/>
  <c r="O13" i="11"/>
  <c r="O14" i="11"/>
  <c r="O8" i="12"/>
  <c r="O9" i="12"/>
  <c r="O10" i="12"/>
  <c r="O11" i="12"/>
  <c r="O12" i="12"/>
  <c r="O13" i="12"/>
  <c r="O14" i="12"/>
  <c r="O8" i="13"/>
  <c r="O9" i="13"/>
  <c r="I632" i="26"/>
  <c r="O10" i="13"/>
  <c r="O11" i="13"/>
  <c r="O12" i="13"/>
  <c r="O13" i="13"/>
  <c r="O14" i="13"/>
  <c r="O8" i="14"/>
  <c r="O9" i="14"/>
  <c r="O10" i="14"/>
  <c r="I711" i="26"/>
  <c r="M17" i="40"/>
  <c r="O17" i="40"/>
  <c r="O11" i="14"/>
  <c r="O12" i="14"/>
  <c r="O13" i="14"/>
  <c r="O14" i="14"/>
  <c r="O8" i="15"/>
  <c r="O9" i="15"/>
  <c r="O10" i="15"/>
  <c r="O11" i="15"/>
  <c r="O12" i="15"/>
  <c r="O13" i="15"/>
  <c r="O14" i="15"/>
  <c r="O8" i="16"/>
  <c r="O9" i="16"/>
  <c r="O10" i="16"/>
  <c r="O11" i="16"/>
  <c r="O12" i="16"/>
  <c r="O13" i="16"/>
  <c r="O14" i="16"/>
  <c r="O8" i="1"/>
  <c r="O9" i="1"/>
  <c r="O10" i="1"/>
  <c r="O11" i="1"/>
  <c r="O12" i="1"/>
  <c r="O13" i="1"/>
  <c r="O14" i="1"/>
  <c r="O7" i="3"/>
  <c r="O7" i="4"/>
  <c r="O7" i="6"/>
  <c r="O7" i="9"/>
  <c r="O7" i="10"/>
  <c r="O7" i="11"/>
  <c r="O7" i="12"/>
  <c r="O7" i="13"/>
  <c r="O7" i="14"/>
  <c r="O7" i="15"/>
  <c r="O7" i="16"/>
  <c r="O7" i="1"/>
  <c r="P8" i="29"/>
  <c r="C935" i="26"/>
  <c r="D935" i="26"/>
  <c r="E935" i="26"/>
  <c r="G935" i="26"/>
  <c r="H935" i="26"/>
  <c r="C936" i="26"/>
  <c r="D936" i="26"/>
  <c r="E936" i="26"/>
  <c r="G936" i="26"/>
  <c r="H936" i="26"/>
  <c r="C937" i="26"/>
  <c r="D937" i="26"/>
  <c r="E937" i="26"/>
  <c r="G937" i="26"/>
  <c r="H937" i="26"/>
  <c r="C938" i="26"/>
  <c r="D938" i="26"/>
  <c r="E938" i="26"/>
  <c r="G938" i="26"/>
  <c r="H938" i="26"/>
  <c r="C939" i="26"/>
  <c r="D939" i="26"/>
  <c r="E939" i="26"/>
  <c r="G939" i="26"/>
  <c r="H939" i="26"/>
  <c r="C940" i="26"/>
  <c r="D940" i="26"/>
  <c r="E940" i="26"/>
  <c r="G940" i="26"/>
  <c r="H940" i="26"/>
  <c r="C941" i="26"/>
  <c r="D941" i="26"/>
  <c r="E941" i="26"/>
  <c r="G941" i="26"/>
  <c r="H941" i="26"/>
  <c r="C865" i="26"/>
  <c r="D865" i="26"/>
  <c r="E865" i="26"/>
  <c r="G865" i="26"/>
  <c r="H865" i="26"/>
  <c r="C866" i="26"/>
  <c r="D866" i="26"/>
  <c r="E866" i="26"/>
  <c r="G866" i="26"/>
  <c r="H866" i="26"/>
  <c r="C867" i="26"/>
  <c r="D867" i="26"/>
  <c r="E867" i="26"/>
  <c r="G867" i="26"/>
  <c r="H867" i="26"/>
  <c r="C868" i="26"/>
  <c r="D868" i="26"/>
  <c r="E868" i="26"/>
  <c r="G868" i="26"/>
  <c r="H868" i="26"/>
  <c r="C869" i="26"/>
  <c r="D869" i="26"/>
  <c r="E869" i="26"/>
  <c r="G869" i="26"/>
  <c r="H869" i="26"/>
  <c r="C870" i="26"/>
  <c r="D870" i="26"/>
  <c r="E870" i="26"/>
  <c r="G870" i="26"/>
  <c r="N8" i="40"/>
  <c r="O8" i="40"/>
  <c r="H870" i="26"/>
  <c r="C871" i="26"/>
  <c r="D871" i="26"/>
  <c r="E871" i="26"/>
  <c r="G871" i="26"/>
  <c r="H871" i="26"/>
  <c r="C872" i="26"/>
  <c r="D872" i="26"/>
  <c r="E872" i="26"/>
  <c r="G872" i="26"/>
  <c r="H872" i="26"/>
  <c r="C873" i="26"/>
  <c r="D873" i="26"/>
  <c r="E873" i="26"/>
  <c r="G873" i="26"/>
  <c r="H873" i="26"/>
  <c r="C874" i="26"/>
  <c r="D874" i="26"/>
  <c r="E874" i="26"/>
  <c r="G874" i="26"/>
  <c r="H874" i="26"/>
  <c r="C875" i="26"/>
  <c r="D875" i="26"/>
  <c r="E875" i="26"/>
  <c r="G875" i="26"/>
  <c r="H875" i="26"/>
  <c r="C876" i="26"/>
  <c r="D876" i="26"/>
  <c r="E876" i="26"/>
  <c r="G876" i="26"/>
  <c r="H876" i="26"/>
  <c r="C877" i="26"/>
  <c r="D877" i="26"/>
  <c r="E877" i="26"/>
  <c r="G877" i="26"/>
  <c r="H877" i="26"/>
  <c r="C878" i="26"/>
  <c r="D878" i="26"/>
  <c r="E878" i="26"/>
  <c r="G878" i="26"/>
  <c r="H878" i="26"/>
  <c r="C879" i="26"/>
  <c r="D879" i="26"/>
  <c r="E879" i="26"/>
  <c r="G879" i="26"/>
  <c r="H879" i="26"/>
  <c r="C880" i="26"/>
  <c r="D880" i="26"/>
  <c r="E880" i="26"/>
  <c r="G880" i="26"/>
  <c r="H880" i="26"/>
  <c r="C881" i="26"/>
  <c r="D881" i="26"/>
  <c r="E881" i="26"/>
  <c r="G881" i="26"/>
  <c r="H881" i="26"/>
  <c r="C882" i="26"/>
  <c r="D882" i="26"/>
  <c r="E882" i="26"/>
  <c r="G882" i="26"/>
  <c r="H882" i="26"/>
  <c r="C883" i="26"/>
  <c r="D883" i="26"/>
  <c r="E883" i="26"/>
  <c r="G883" i="26"/>
  <c r="H883" i="26"/>
  <c r="C884" i="26"/>
  <c r="D884" i="26"/>
  <c r="E884" i="26"/>
  <c r="G884" i="26"/>
  <c r="H884" i="26"/>
  <c r="C885" i="26"/>
  <c r="D885" i="26"/>
  <c r="E885" i="26"/>
  <c r="G885" i="26"/>
  <c r="H885" i="26"/>
  <c r="C886" i="26"/>
  <c r="D886" i="26"/>
  <c r="E886" i="26"/>
  <c r="G886" i="26"/>
  <c r="H886" i="26"/>
  <c r="C887" i="26"/>
  <c r="D887" i="26"/>
  <c r="E887" i="26"/>
  <c r="G887" i="26"/>
  <c r="H887" i="26"/>
  <c r="C888" i="26"/>
  <c r="D888" i="26"/>
  <c r="E888" i="26"/>
  <c r="G888" i="26"/>
  <c r="H888" i="26"/>
  <c r="C889" i="26"/>
  <c r="D889" i="26"/>
  <c r="E889" i="26"/>
  <c r="G889" i="26"/>
  <c r="H889" i="26"/>
  <c r="C890" i="26"/>
  <c r="D890" i="26"/>
  <c r="E890" i="26"/>
  <c r="G890" i="26"/>
  <c r="H890" i="26"/>
  <c r="C891" i="26"/>
  <c r="D891" i="26"/>
  <c r="E891" i="26"/>
  <c r="G891" i="26"/>
  <c r="H891" i="26"/>
  <c r="C892" i="26"/>
  <c r="D892" i="26"/>
  <c r="E892" i="26"/>
  <c r="G892" i="26"/>
  <c r="H892" i="26"/>
  <c r="C893" i="26"/>
  <c r="D893" i="26"/>
  <c r="E893" i="26"/>
  <c r="G893" i="26"/>
  <c r="H893" i="26"/>
  <c r="C894" i="26"/>
  <c r="D894" i="26"/>
  <c r="E894" i="26"/>
  <c r="G894" i="26"/>
  <c r="H894" i="26"/>
  <c r="C895" i="26"/>
  <c r="D895" i="26"/>
  <c r="E895" i="26"/>
  <c r="G895" i="26"/>
  <c r="H895" i="26"/>
  <c r="C896" i="26"/>
  <c r="D896" i="26"/>
  <c r="E896" i="26"/>
  <c r="G896" i="26"/>
  <c r="H896" i="26"/>
  <c r="C897" i="26"/>
  <c r="D897" i="26"/>
  <c r="E897" i="26"/>
  <c r="G897" i="26"/>
  <c r="H897" i="26"/>
  <c r="C898" i="26"/>
  <c r="D898" i="26"/>
  <c r="E898" i="26"/>
  <c r="G898" i="26"/>
  <c r="H898" i="26"/>
  <c r="C899" i="26"/>
  <c r="D899" i="26"/>
  <c r="E899" i="26"/>
  <c r="G899" i="26"/>
  <c r="H899" i="26"/>
  <c r="C900" i="26"/>
  <c r="D900" i="26"/>
  <c r="E900" i="26"/>
  <c r="G900" i="26"/>
  <c r="H900" i="26"/>
  <c r="C901" i="26"/>
  <c r="D901" i="26"/>
  <c r="E901" i="26"/>
  <c r="G901" i="26"/>
  <c r="H901" i="26"/>
  <c r="C902" i="26"/>
  <c r="D902" i="26"/>
  <c r="E902" i="26"/>
  <c r="G902" i="26"/>
  <c r="H902" i="26"/>
  <c r="C903" i="26"/>
  <c r="D903" i="26"/>
  <c r="E903" i="26"/>
  <c r="G903" i="26"/>
  <c r="H903" i="26"/>
  <c r="C904" i="26"/>
  <c r="D904" i="26"/>
  <c r="E904" i="26"/>
  <c r="G904" i="26"/>
  <c r="H904" i="26"/>
  <c r="C905" i="26"/>
  <c r="D905" i="26"/>
  <c r="E905" i="26"/>
  <c r="G905" i="26"/>
  <c r="H905" i="26"/>
  <c r="C906" i="26"/>
  <c r="D906" i="26"/>
  <c r="E906" i="26"/>
  <c r="G906" i="26"/>
  <c r="H906" i="26"/>
  <c r="C907" i="26"/>
  <c r="D907" i="26"/>
  <c r="E907" i="26"/>
  <c r="G907" i="26"/>
  <c r="H907" i="26"/>
  <c r="C908" i="26"/>
  <c r="D908" i="26"/>
  <c r="E908" i="26"/>
  <c r="G908" i="26"/>
  <c r="H908" i="26"/>
  <c r="C909" i="26"/>
  <c r="D909" i="26"/>
  <c r="E909" i="26"/>
  <c r="G909" i="26"/>
  <c r="H909" i="26"/>
  <c r="C910" i="26"/>
  <c r="D910" i="26"/>
  <c r="E910" i="26"/>
  <c r="G910" i="26"/>
  <c r="H910" i="26"/>
  <c r="C911" i="26"/>
  <c r="D911" i="26"/>
  <c r="E911" i="26"/>
  <c r="G911" i="26"/>
  <c r="H911" i="26"/>
  <c r="C912" i="26"/>
  <c r="D912" i="26"/>
  <c r="E912" i="26"/>
  <c r="G912" i="26"/>
  <c r="H912" i="26"/>
  <c r="C913" i="26"/>
  <c r="D913" i="26"/>
  <c r="E913" i="26"/>
  <c r="G913" i="26"/>
  <c r="H913" i="26"/>
  <c r="C914" i="26"/>
  <c r="D914" i="26"/>
  <c r="E914" i="26"/>
  <c r="G914" i="26"/>
  <c r="H914" i="26"/>
  <c r="C915" i="26"/>
  <c r="D915" i="26"/>
  <c r="E915" i="26"/>
  <c r="G915" i="26"/>
  <c r="H915" i="26"/>
  <c r="C916" i="26"/>
  <c r="D916" i="26"/>
  <c r="E916" i="26"/>
  <c r="G916" i="26"/>
  <c r="H916" i="26"/>
  <c r="C917" i="26"/>
  <c r="D917" i="26"/>
  <c r="E917" i="26"/>
  <c r="G917" i="26"/>
  <c r="H917" i="26"/>
  <c r="C918" i="26"/>
  <c r="D918" i="26"/>
  <c r="E918" i="26"/>
  <c r="G918" i="26"/>
  <c r="H918" i="26"/>
  <c r="C919" i="26"/>
  <c r="D919" i="26"/>
  <c r="E919" i="26"/>
  <c r="G919" i="26"/>
  <c r="H919" i="26"/>
  <c r="C920" i="26"/>
  <c r="D920" i="26"/>
  <c r="E920" i="26"/>
  <c r="G920" i="26"/>
  <c r="H920" i="26"/>
  <c r="C921" i="26"/>
  <c r="D921" i="26"/>
  <c r="E921" i="26"/>
  <c r="G921" i="26"/>
  <c r="H921" i="26"/>
  <c r="C922" i="26"/>
  <c r="D922" i="26"/>
  <c r="E922" i="26"/>
  <c r="G922" i="26"/>
  <c r="H922" i="26"/>
  <c r="C923" i="26"/>
  <c r="D923" i="26"/>
  <c r="E923" i="26"/>
  <c r="G923" i="26"/>
  <c r="H923" i="26"/>
  <c r="C924" i="26"/>
  <c r="D924" i="26"/>
  <c r="E924" i="26"/>
  <c r="G924" i="26"/>
  <c r="H924" i="26"/>
  <c r="C925" i="26"/>
  <c r="D925" i="26"/>
  <c r="E925" i="26"/>
  <c r="G925" i="26"/>
  <c r="H925" i="26"/>
  <c r="C926" i="26"/>
  <c r="D926" i="26"/>
  <c r="E926" i="26"/>
  <c r="G926" i="26"/>
  <c r="H926" i="26"/>
  <c r="C927" i="26"/>
  <c r="D927" i="26"/>
  <c r="E927" i="26"/>
  <c r="G927" i="26"/>
  <c r="H927" i="26"/>
  <c r="C928" i="26"/>
  <c r="D928" i="26"/>
  <c r="E928" i="26"/>
  <c r="G928" i="26"/>
  <c r="H928" i="26"/>
  <c r="C929" i="26"/>
  <c r="D929" i="26"/>
  <c r="E929" i="26"/>
  <c r="G929" i="26"/>
  <c r="H929" i="26"/>
  <c r="C930" i="26"/>
  <c r="D930" i="26"/>
  <c r="E930" i="26"/>
  <c r="G930" i="26"/>
  <c r="H930" i="26"/>
  <c r="C931" i="26"/>
  <c r="D931" i="26"/>
  <c r="E931" i="26"/>
  <c r="G931" i="26"/>
  <c r="H931" i="26"/>
  <c r="C932" i="26"/>
  <c r="D932" i="26"/>
  <c r="E932" i="26"/>
  <c r="G932" i="26"/>
  <c r="H932" i="26"/>
  <c r="C933" i="26"/>
  <c r="D933" i="26"/>
  <c r="E933" i="26"/>
  <c r="G933" i="26"/>
  <c r="H933" i="26"/>
  <c r="C934" i="26"/>
  <c r="D934" i="26"/>
  <c r="E934" i="26"/>
  <c r="G934" i="26"/>
  <c r="H934" i="26"/>
  <c r="H864" i="26"/>
  <c r="G864" i="26"/>
  <c r="E864" i="26"/>
  <c r="D864" i="26"/>
  <c r="C864" i="26"/>
  <c r="C863" i="26"/>
  <c r="D863" i="26"/>
  <c r="E863" i="26"/>
  <c r="G863" i="26"/>
  <c r="H863" i="26"/>
  <c r="C850" i="26"/>
  <c r="D850" i="26"/>
  <c r="E850" i="26"/>
  <c r="G850" i="26"/>
  <c r="H850" i="26"/>
  <c r="C851" i="26"/>
  <c r="D851" i="26"/>
  <c r="E851" i="26"/>
  <c r="G851" i="26"/>
  <c r="H851" i="26"/>
  <c r="C852" i="26"/>
  <c r="D852" i="26"/>
  <c r="E852" i="26"/>
  <c r="G852" i="26"/>
  <c r="H852" i="26"/>
  <c r="C853" i="26"/>
  <c r="D853" i="26"/>
  <c r="E853" i="26"/>
  <c r="G853" i="26"/>
  <c r="H853" i="26"/>
  <c r="C854" i="26"/>
  <c r="D854" i="26"/>
  <c r="E854" i="26"/>
  <c r="G854" i="26"/>
  <c r="H854" i="26"/>
  <c r="C855" i="26"/>
  <c r="D855" i="26"/>
  <c r="E855" i="26"/>
  <c r="G855" i="26"/>
  <c r="H855" i="26"/>
  <c r="C856" i="26"/>
  <c r="D856" i="26"/>
  <c r="E856" i="26"/>
  <c r="G856" i="26"/>
  <c r="H856" i="26"/>
  <c r="C857" i="26"/>
  <c r="D857" i="26"/>
  <c r="E857" i="26"/>
  <c r="G857" i="26"/>
  <c r="H857" i="26"/>
  <c r="C858" i="26"/>
  <c r="D858" i="26"/>
  <c r="E858" i="26"/>
  <c r="G858" i="26"/>
  <c r="H858" i="26"/>
  <c r="C859" i="26"/>
  <c r="D859" i="26"/>
  <c r="E859" i="26"/>
  <c r="G859" i="26"/>
  <c r="H859" i="26"/>
  <c r="C860" i="26"/>
  <c r="D860" i="26"/>
  <c r="E860" i="26"/>
  <c r="G860" i="26"/>
  <c r="H860" i="26"/>
  <c r="C861" i="26"/>
  <c r="D861" i="26"/>
  <c r="E861" i="26"/>
  <c r="G861" i="26"/>
  <c r="H861" i="26"/>
  <c r="C862" i="26"/>
  <c r="D862" i="26"/>
  <c r="E862" i="26"/>
  <c r="G862" i="26"/>
  <c r="H862" i="26"/>
  <c r="C839" i="26"/>
  <c r="D839" i="26"/>
  <c r="E839" i="26"/>
  <c r="G839" i="26"/>
  <c r="H839" i="26"/>
  <c r="C840" i="26"/>
  <c r="D840" i="26"/>
  <c r="E840" i="26"/>
  <c r="G840" i="26"/>
  <c r="H840" i="26"/>
  <c r="C841" i="26"/>
  <c r="D841" i="26"/>
  <c r="E841" i="26"/>
  <c r="G841" i="26"/>
  <c r="H841" i="26"/>
  <c r="C842" i="26"/>
  <c r="D842" i="26"/>
  <c r="E842" i="26"/>
  <c r="G842" i="26"/>
  <c r="H842" i="26"/>
  <c r="C843" i="26"/>
  <c r="D843" i="26"/>
  <c r="E843" i="26"/>
  <c r="G843" i="26"/>
  <c r="H843" i="26"/>
  <c r="C844" i="26"/>
  <c r="D844" i="26"/>
  <c r="E844" i="26"/>
  <c r="G844" i="26"/>
  <c r="H844" i="26"/>
  <c r="C845" i="26"/>
  <c r="D845" i="26"/>
  <c r="E845" i="26"/>
  <c r="G845" i="26"/>
  <c r="H845" i="26"/>
  <c r="C846" i="26"/>
  <c r="D846" i="26"/>
  <c r="E846" i="26"/>
  <c r="G846" i="26"/>
  <c r="H846" i="26"/>
  <c r="C847" i="26"/>
  <c r="D847" i="26"/>
  <c r="E847" i="26"/>
  <c r="G847" i="26"/>
  <c r="H847" i="26"/>
  <c r="C848" i="26"/>
  <c r="D848" i="26"/>
  <c r="E848" i="26"/>
  <c r="G848" i="26"/>
  <c r="H848" i="26"/>
  <c r="C849" i="26"/>
  <c r="D849" i="26"/>
  <c r="E849" i="26"/>
  <c r="G849" i="26"/>
  <c r="H849" i="26"/>
  <c r="C787" i="26"/>
  <c r="D787" i="26"/>
  <c r="E787" i="26"/>
  <c r="G787" i="26"/>
  <c r="H787" i="26"/>
  <c r="C788" i="26"/>
  <c r="D788" i="26"/>
  <c r="E788" i="26"/>
  <c r="G788" i="26"/>
  <c r="H788" i="26"/>
  <c r="C789" i="26"/>
  <c r="D789" i="26"/>
  <c r="E789" i="26"/>
  <c r="G789" i="26"/>
  <c r="H789" i="26"/>
  <c r="C790" i="26"/>
  <c r="D790" i="26"/>
  <c r="E790" i="26"/>
  <c r="G790" i="26"/>
  <c r="H790" i="26"/>
  <c r="C791" i="26"/>
  <c r="D791" i="26"/>
  <c r="E791" i="26"/>
  <c r="G791" i="26"/>
  <c r="H791" i="26"/>
  <c r="C792" i="26"/>
  <c r="D792" i="26"/>
  <c r="E792" i="26"/>
  <c r="G792" i="26"/>
  <c r="H792" i="26"/>
  <c r="C793" i="26"/>
  <c r="D793" i="26"/>
  <c r="E793" i="26"/>
  <c r="G793" i="26"/>
  <c r="H793" i="26"/>
  <c r="C794" i="26"/>
  <c r="D794" i="26"/>
  <c r="E794" i="26"/>
  <c r="G794" i="26"/>
  <c r="H794" i="26"/>
  <c r="C795" i="26"/>
  <c r="D795" i="26"/>
  <c r="E795" i="26"/>
  <c r="G795" i="26"/>
  <c r="H795" i="26"/>
  <c r="C796" i="26"/>
  <c r="D796" i="26"/>
  <c r="E796" i="26"/>
  <c r="G796" i="26"/>
  <c r="H796" i="26"/>
  <c r="C797" i="26"/>
  <c r="D797" i="26"/>
  <c r="E797" i="26"/>
  <c r="G797" i="26"/>
  <c r="H797" i="26"/>
  <c r="C798" i="26"/>
  <c r="D798" i="26"/>
  <c r="E798" i="26"/>
  <c r="G798" i="26"/>
  <c r="H798" i="26"/>
  <c r="C799" i="26"/>
  <c r="D799" i="26"/>
  <c r="E799" i="26"/>
  <c r="G799" i="26"/>
  <c r="H799" i="26"/>
  <c r="C800" i="26"/>
  <c r="D800" i="26"/>
  <c r="E800" i="26"/>
  <c r="G800" i="26"/>
  <c r="H800" i="26"/>
  <c r="C801" i="26"/>
  <c r="D801" i="26"/>
  <c r="E801" i="26"/>
  <c r="G801" i="26"/>
  <c r="H801" i="26"/>
  <c r="C802" i="26"/>
  <c r="D802" i="26"/>
  <c r="E802" i="26"/>
  <c r="G802" i="26"/>
  <c r="H802" i="26"/>
  <c r="C803" i="26"/>
  <c r="D803" i="26"/>
  <c r="E803" i="26"/>
  <c r="G803" i="26"/>
  <c r="H803" i="26"/>
  <c r="C804" i="26"/>
  <c r="D804" i="26"/>
  <c r="E804" i="26"/>
  <c r="G804" i="26"/>
  <c r="H804" i="26"/>
  <c r="C805" i="26"/>
  <c r="D805" i="26"/>
  <c r="E805" i="26"/>
  <c r="G805" i="26"/>
  <c r="H805" i="26"/>
  <c r="C806" i="26"/>
  <c r="D806" i="26"/>
  <c r="E806" i="26"/>
  <c r="G806" i="26"/>
  <c r="H806" i="26"/>
  <c r="C807" i="26"/>
  <c r="D807" i="26"/>
  <c r="E807" i="26"/>
  <c r="G807" i="26"/>
  <c r="H807" i="26"/>
  <c r="C808" i="26"/>
  <c r="D808" i="26"/>
  <c r="E808" i="26"/>
  <c r="G808" i="26"/>
  <c r="H808" i="26"/>
  <c r="C809" i="26"/>
  <c r="D809" i="26"/>
  <c r="E809" i="26"/>
  <c r="G809" i="26"/>
  <c r="H809" i="26"/>
  <c r="C810" i="26"/>
  <c r="D810" i="26"/>
  <c r="E810" i="26"/>
  <c r="G810" i="26"/>
  <c r="H810" i="26"/>
  <c r="C811" i="26"/>
  <c r="D811" i="26"/>
  <c r="E811" i="26"/>
  <c r="G811" i="26"/>
  <c r="H811" i="26"/>
  <c r="C812" i="26"/>
  <c r="D812" i="26"/>
  <c r="E812" i="26"/>
  <c r="G812" i="26"/>
  <c r="H812" i="26"/>
  <c r="C813" i="26"/>
  <c r="D813" i="26"/>
  <c r="E813" i="26"/>
  <c r="G813" i="26"/>
  <c r="H813" i="26"/>
  <c r="C814" i="26"/>
  <c r="D814" i="26"/>
  <c r="E814" i="26"/>
  <c r="G814" i="26"/>
  <c r="H814" i="26"/>
  <c r="C815" i="26"/>
  <c r="D815" i="26"/>
  <c r="E815" i="26"/>
  <c r="G815" i="26"/>
  <c r="H815" i="26"/>
  <c r="C816" i="26"/>
  <c r="D816" i="26"/>
  <c r="E816" i="26"/>
  <c r="G816" i="26"/>
  <c r="H816" i="26"/>
  <c r="C817" i="26"/>
  <c r="D817" i="26"/>
  <c r="E817" i="26"/>
  <c r="G817" i="26"/>
  <c r="H817" i="26"/>
  <c r="C818" i="26"/>
  <c r="D818" i="26"/>
  <c r="E818" i="26"/>
  <c r="G818" i="26"/>
  <c r="H818" i="26"/>
  <c r="C819" i="26"/>
  <c r="D819" i="26"/>
  <c r="E819" i="26"/>
  <c r="G819" i="26"/>
  <c r="H819" i="26"/>
  <c r="C820" i="26"/>
  <c r="D820" i="26"/>
  <c r="E820" i="26"/>
  <c r="G820" i="26"/>
  <c r="H820" i="26"/>
  <c r="C821" i="26"/>
  <c r="D821" i="26"/>
  <c r="E821" i="26"/>
  <c r="G821" i="26"/>
  <c r="H821" i="26"/>
  <c r="C822" i="26"/>
  <c r="D822" i="26"/>
  <c r="E822" i="26"/>
  <c r="G822" i="26"/>
  <c r="H822" i="26"/>
  <c r="C823" i="26"/>
  <c r="D823" i="26"/>
  <c r="E823" i="26"/>
  <c r="G823" i="26"/>
  <c r="H823" i="26"/>
  <c r="C824" i="26"/>
  <c r="D824" i="26"/>
  <c r="E824" i="26"/>
  <c r="G824" i="26"/>
  <c r="H824" i="26"/>
  <c r="C825" i="26"/>
  <c r="D825" i="26"/>
  <c r="E825" i="26"/>
  <c r="G825" i="26"/>
  <c r="H825" i="26"/>
  <c r="C826" i="26"/>
  <c r="D826" i="26"/>
  <c r="E826" i="26"/>
  <c r="G826" i="26"/>
  <c r="H826" i="26"/>
  <c r="C827" i="26"/>
  <c r="D827" i="26"/>
  <c r="E827" i="26"/>
  <c r="G827" i="26"/>
  <c r="H827" i="26"/>
  <c r="C828" i="26"/>
  <c r="D828" i="26"/>
  <c r="E828" i="26"/>
  <c r="G828" i="26"/>
  <c r="H828" i="26"/>
  <c r="C829" i="26"/>
  <c r="D829" i="26"/>
  <c r="E829" i="26"/>
  <c r="G829" i="26"/>
  <c r="H829" i="26"/>
  <c r="C830" i="26"/>
  <c r="D830" i="26"/>
  <c r="E830" i="26"/>
  <c r="G830" i="26"/>
  <c r="H830" i="26"/>
  <c r="C831" i="26"/>
  <c r="D831" i="26"/>
  <c r="E831" i="26"/>
  <c r="G831" i="26"/>
  <c r="H831" i="26"/>
  <c r="C832" i="26"/>
  <c r="D832" i="26"/>
  <c r="E832" i="26"/>
  <c r="G832" i="26"/>
  <c r="H832" i="26"/>
  <c r="C833" i="26"/>
  <c r="D833" i="26"/>
  <c r="E833" i="26"/>
  <c r="G833" i="26"/>
  <c r="H833" i="26"/>
  <c r="C834" i="26"/>
  <c r="D834" i="26"/>
  <c r="E834" i="26"/>
  <c r="G834" i="26"/>
  <c r="H834" i="26"/>
  <c r="C835" i="26"/>
  <c r="D835" i="26"/>
  <c r="E835" i="26"/>
  <c r="G835" i="26"/>
  <c r="H835" i="26"/>
  <c r="C836" i="26"/>
  <c r="D836" i="26"/>
  <c r="E836" i="26"/>
  <c r="G836" i="26"/>
  <c r="H836" i="26"/>
  <c r="C837" i="26"/>
  <c r="D837" i="26"/>
  <c r="E837" i="26"/>
  <c r="G837" i="26"/>
  <c r="H837" i="26"/>
  <c r="C838" i="26"/>
  <c r="D838" i="26"/>
  <c r="E838" i="26"/>
  <c r="G838" i="26"/>
  <c r="H838" i="26"/>
  <c r="C786" i="26"/>
  <c r="H786" i="26"/>
  <c r="G786" i="26"/>
  <c r="E786" i="26"/>
  <c r="D786" i="26"/>
  <c r="C709" i="26"/>
  <c r="D709" i="26"/>
  <c r="E709" i="26"/>
  <c r="G709" i="26"/>
  <c r="H709" i="26"/>
  <c r="C710" i="26"/>
  <c r="D710" i="26"/>
  <c r="E710" i="26"/>
  <c r="G710" i="26"/>
  <c r="H710" i="26"/>
  <c r="C711" i="26"/>
  <c r="D711" i="26"/>
  <c r="E711" i="26"/>
  <c r="G711" i="26"/>
  <c r="H711" i="26"/>
  <c r="C712" i="26"/>
  <c r="D712" i="26"/>
  <c r="E712" i="26"/>
  <c r="G712" i="26"/>
  <c r="H712" i="26"/>
  <c r="C713" i="26"/>
  <c r="D713" i="26"/>
  <c r="E713" i="26"/>
  <c r="G713" i="26"/>
  <c r="H713" i="26"/>
  <c r="C714" i="26"/>
  <c r="D714" i="26"/>
  <c r="E714" i="26"/>
  <c r="G714" i="26"/>
  <c r="H714" i="26"/>
  <c r="C715" i="26"/>
  <c r="D715" i="26"/>
  <c r="E715" i="26"/>
  <c r="G715" i="26"/>
  <c r="H715" i="26"/>
  <c r="C716" i="26"/>
  <c r="D716" i="26"/>
  <c r="E716" i="26"/>
  <c r="G716" i="26"/>
  <c r="H716" i="26"/>
  <c r="C717" i="26"/>
  <c r="D717" i="26"/>
  <c r="E717" i="26"/>
  <c r="G717" i="26"/>
  <c r="H717" i="26"/>
  <c r="C718" i="26"/>
  <c r="D718" i="26"/>
  <c r="E718" i="26"/>
  <c r="G718" i="26"/>
  <c r="H718" i="26"/>
  <c r="C719" i="26"/>
  <c r="D719" i="26"/>
  <c r="E719" i="26"/>
  <c r="G719" i="26"/>
  <c r="H719" i="26"/>
  <c r="C720" i="26"/>
  <c r="D720" i="26"/>
  <c r="E720" i="26"/>
  <c r="G720" i="26"/>
  <c r="H720" i="26"/>
  <c r="C721" i="26"/>
  <c r="D721" i="26"/>
  <c r="E721" i="26"/>
  <c r="G721" i="26"/>
  <c r="H721" i="26"/>
  <c r="C722" i="26"/>
  <c r="D722" i="26"/>
  <c r="E722" i="26"/>
  <c r="G722" i="26"/>
  <c r="H722" i="26"/>
  <c r="C723" i="26"/>
  <c r="D723" i="26"/>
  <c r="E723" i="26"/>
  <c r="G723" i="26"/>
  <c r="H723" i="26"/>
  <c r="C724" i="26"/>
  <c r="D724" i="26"/>
  <c r="E724" i="26"/>
  <c r="G724" i="26"/>
  <c r="H724" i="26"/>
  <c r="C725" i="26"/>
  <c r="D725" i="26"/>
  <c r="E725" i="26"/>
  <c r="G725" i="26"/>
  <c r="H725" i="26"/>
  <c r="C726" i="26"/>
  <c r="D726" i="26"/>
  <c r="E726" i="26"/>
  <c r="G726" i="26"/>
  <c r="H726" i="26"/>
  <c r="C727" i="26"/>
  <c r="D727" i="26"/>
  <c r="E727" i="26"/>
  <c r="G727" i="26"/>
  <c r="H727" i="26"/>
  <c r="C728" i="26"/>
  <c r="D728" i="26"/>
  <c r="E728" i="26"/>
  <c r="G728" i="26"/>
  <c r="H728" i="26"/>
  <c r="C729" i="26"/>
  <c r="D729" i="26"/>
  <c r="E729" i="26"/>
  <c r="G729" i="26"/>
  <c r="H729" i="26"/>
  <c r="C730" i="26"/>
  <c r="D730" i="26"/>
  <c r="E730" i="26"/>
  <c r="G730" i="26"/>
  <c r="H730" i="26"/>
  <c r="C731" i="26"/>
  <c r="D731" i="26"/>
  <c r="E731" i="26"/>
  <c r="G731" i="26"/>
  <c r="H731" i="26"/>
  <c r="C732" i="26"/>
  <c r="D732" i="26"/>
  <c r="E732" i="26"/>
  <c r="G732" i="26"/>
  <c r="H732" i="26"/>
  <c r="C733" i="26"/>
  <c r="D733" i="26"/>
  <c r="E733" i="26"/>
  <c r="G733" i="26"/>
  <c r="H733" i="26"/>
  <c r="C734" i="26"/>
  <c r="D734" i="26"/>
  <c r="E734" i="26"/>
  <c r="G734" i="26"/>
  <c r="H734" i="26"/>
  <c r="C735" i="26"/>
  <c r="D735" i="26"/>
  <c r="E735" i="26"/>
  <c r="G735" i="26"/>
  <c r="H735" i="26"/>
  <c r="C736" i="26"/>
  <c r="D736" i="26"/>
  <c r="E736" i="26"/>
  <c r="G736" i="26"/>
  <c r="H736" i="26"/>
  <c r="C737" i="26"/>
  <c r="D737" i="26"/>
  <c r="E737" i="26"/>
  <c r="G737" i="26"/>
  <c r="H737" i="26"/>
  <c r="C738" i="26"/>
  <c r="D738" i="26"/>
  <c r="E738" i="26"/>
  <c r="G738" i="26"/>
  <c r="H738" i="26"/>
  <c r="C739" i="26"/>
  <c r="D739" i="26"/>
  <c r="E739" i="26"/>
  <c r="G739" i="26"/>
  <c r="H739" i="26"/>
  <c r="C740" i="26"/>
  <c r="D740" i="26"/>
  <c r="E740" i="26"/>
  <c r="G740" i="26"/>
  <c r="H740" i="26"/>
  <c r="C741" i="26"/>
  <c r="D741" i="26"/>
  <c r="E741" i="26"/>
  <c r="G741" i="26"/>
  <c r="H741" i="26"/>
  <c r="C742" i="26"/>
  <c r="D742" i="26"/>
  <c r="E742" i="26"/>
  <c r="G742" i="26"/>
  <c r="H742" i="26"/>
  <c r="C743" i="26"/>
  <c r="D743" i="26"/>
  <c r="E743" i="26"/>
  <c r="G743" i="26"/>
  <c r="H743" i="26"/>
  <c r="C744" i="26"/>
  <c r="D744" i="26"/>
  <c r="E744" i="26"/>
  <c r="G744" i="26"/>
  <c r="H744" i="26"/>
  <c r="C745" i="26"/>
  <c r="D745" i="26"/>
  <c r="E745" i="26"/>
  <c r="G745" i="26"/>
  <c r="H745" i="26"/>
  <c r="C746" i="26"/>
  <c r="D746" i="26"/>
  <c r="E746" i="26"/>
  <c r="G746" i="26"/>
  <c r="H746" i="26"/>
  <c r="C747" i="26"/>
  <c r="D747" i="26"/>
  <c r="E747" i="26"/>
  <c r="G747" i="26"/>
  <c r="H747" i="26"/>
  <c r="C748" i="26"/>
  <c r="D748" i="26"/>
  <c r="E748" i="26"/>
  <c r="G748" i="26"/>
  <c r="H748" i="26"/>
  <c r="C749" i="26"/>
  <c r="D749" i="26"/>
  <c r="E749" i="26"/>
  <c r="G749" i="26"/>
  <c r="H749" i="26"/>
  <c r="C750" i="26"/>
  <c r="D750" i="26"/>
  <c r="E750" i="26"/>
  <c r="G750" i="26"/>
  <c r="H750" i="26"/>
  <c r="C751" i="26"/>
  <c r="D751" i="26"/>
  <c r="E751" i="26"/>
  <c r="G751" i="26"/>
  <c r="H751" i="26"/>
  <c r="C752" i="26"/>
  <c r="D752" i="26"/>
  <c r="E752" i="26"/>
  <c r="G752" i="26"/>
  <c r="H752" i="26"/>
  <c r="C753" i="26"/>
  <c r="D753" i="26"/>
  <c r="E753" i="26"/>
  <c r="G753" i="26"/>
  <c r="H753" i="26"/>
  <c r="C754" i="26"/>
  <c r="D754" i="26"/>
  <c r="E754" i="26"/>
  <c r="G754" i="26"/>
  <c r="H754" i="26"/>
  <c r="C755" i="26"/>
  <c r="D755" i="26"/>
  <c r="E755" i="26"/>
  <c r="G755" i="26"/>
  <c r="H755" i="26"/>
  <c r="C756" i="26"/>
  <c r="D756" i="26"/>
  <c r="E756" i="26"/>
  <c r="G756" i="26"/>
  <c r="H756" i="26"/>
  <c r="C757" i="26"/>
  <c r="D757" i="26"/>
  <c r="E757" i="26"/>
  <c r="G757" i="26"/>
  <c r="H757" i="26"/>
  <c r="C758" i="26"/>
  <c r="D758" i="26"/>
  <c r="E758" i="26"/>
  <c r="G758" i="26"/>
  <c r="H758" i="26"/>
  <c r="C759" i="26"/>
  <c r="D759" i="26"/>
  <c r="E759" i="26"/>
  <c r="G759" i="26"/>
  <c r="H759" i="26"/>
  <c r="C760" i="26"/>
  <c r="D760" i="26"/>
  <c r="E760" i="26"/>
  <c r="G760" i="26"/>
  <c r="H760" i="26"/>
  <c r="C761" i="26"/>
  <c r="D761" i="26"/>
  <c r="E761" i="26"/>
  <c r="G761" i="26"/>
  <c r="H761" i="26"/>
  <c r="C762" i="26"/>
  <c r="D762" i="26"/>
  <c r="E762" i="26"/>
  <c r="G762" i="26"/>
  <c r="H762" i="26"/>
  <c r="C763" i="26"/>
  <c r="D763" i="26"/>
  <c r="E763" i="26"/>
  <c r="G763" i="26"/>
  <c r="H763" i="26"/>
  <c r="C764" i="26"/>
  <c r="D764" i="26"/>
  <c r="E764" i="26"/>
  <c r="G764" i="26"/>
  <c r="H764" i="26"/>
  <c r="C765" i="26"/>
  <c r="D765" i="26"/>
  <c r="E765" i="26"/>
  <c r="G765" i="26"/>
  <c r="H765" i="26"/>
  <c r="C766" i="26"/>
  <c r="D766" i="26"/>
  <c r="E766" i="26"/>
  <c r="G766" i="26"/>
  <c r="H766" i="26"/>
  <c r="C767" i="26"/>
  <c r="D767" i="26"/>
  <c r="E767" i="26"/>
  <c r="G767" i="26"/>
  <c r="H767" i="26"/>
  <c r="C768" i="26"/>
  <c r="D768" i="26"/>
  <c r="E768" i="26"/>
  <c r="G768" i="26"/>
  <c r="H768" i="26"/>
  <c r="C769" i="26"/>
  <c r="D769" i="26"/>
  <c r="E769" i="26"/>
  <c r="G769" i="26"/>
  <c r="H769" i="26"/>
  <c r="C770" i="26"/>
  <c r="D770" i="26"/>
  <c r="E770" i="26"/>
  <c r="G770" i="26"/>
  <c r="H770" i="26"/>
  <c r="C771" i="26"/>
  <c r="D771" i="26"/>
  <c r="E771" i="26"/>
  <c r="G771" i="26"/>
  <c r="H771" i="26"/>
  <c r="C772" i="26"/>
  <c r="D772" i="26"/>
  <c r="E772" i="26"/>
  <c r="G772" i="26"/>
  <c r="H772" i="26"/>
  <c r="C773" i="26"/>
  <c r="D773" i="26"/>
  <c r="E773" i="26"/>
  <c r="G773" i="26"/>
  <c r="H773" i="26"/>
  <c r="C774" i="26"/>
  <c r="D774" i="26"/>
  <c r="E774" i="26"/>
  <c r="G774" i="26"/>
  <c r="H774" i="26"/>
  <c r="C775" i="26"/>
  <c r="D775" i="26"/>
  <c r="E775" i="26"/>
  <c r="G775" i="26"/>
  <c r="H775" i="26"/>
  <c r="C776" i="26"/>
  <c r="D776" i="26"/>
  <c r="E776" i="26"/>
  <c r="G776" i="26"/>
  <c r="H776" i="26"/>
  <c r="C777" i="26"/>
  <c r="D777" i="26"/>
  <c r="E777" i="26"/>
  <c r="G777" i="26"/>
  <c r="H777" i="26"/>
  <c r="C778" i="26"/>
  <c r="D778" i="26"/>
  <c r="E778" i="26"/>
  <c r="G778" i="26"/>
  <c r="H778" i="26"/>
  <c r="C779" i="26"/>
  <c r="D779" i="26"/>
  <c r="E779" i="26"/>
  <c r="G779" i="26"/>
  <c r="H779" i="26"/>
  <c r="C780" i="26"/>
  <c r="D780" i="26"/>
  <c r="E780" i="26"/>
  <c r="G780" i="26"/>
  <c r="H780" i="26"/>
  <c r="C781" i="26"/>
  <c r="D781" i="26"/>
  <c r="E781" i="26"/>
  <c r="G781" i="26"/>
  <c r="H781" i="26"/>
  <c r="C782" i="26"/>
  <c r="D782" i="26"/>
  <c r="E782" i="26"/>
  <c r="G782" i="26"/>
  <c r="H782" i="26"/>
  <c r="C783" i="26"/>
  <c r="D783" i="26"/>
  <c r="E783" i="26"/>
  <c r="G783" i="26"/>
  <c r="H783" i="26"/>
  <c r="C784" i="26"/>
  <c r="D784" i="26"/>
  <c r="E784" i="26"/>
  <c r="G784" i="26"/>
  <c r="H784" i="26"/>
  <c r="C785" i="26"/>
  <c r="D785" i="26"/>
  <c r="E785" i="26"/>
  <c r="G785" i="26"/>
  <c r="H785" i="26"/>
  <c r="H708" i="26"/>
  <c r="G708" i="26"/>
  <c r="E708" i="26"/>
  <c r="D708" i="26"/>
  <c r="C708" i="26"/>
  <c r="C631" i="26"/>
  <c r="D631" i="26"/>
  <c r="E631" i="26"/>
  <c r="G631" i="26"/>
  <c r="H631" i="26"/>
  <c r="C632" i="26"/>
  <c r="D632" i="26"/>
  <c r="E632" i="26"/>
  <c r="G632" i="26"/>
  <c r="H632" i="26"/>
  <c r="C633" i="26"/>
  <c r="D633" i="26"/>
  <c r="E633" i="26"/>
  <c r="G633" i="26"/>
  <c r="H633" i="26"/>
  <c r="C634" i="26"/>
  <c r="D634" i="26"/>
  <c r="E634" i="26"/>
  <c r="G634" i="26"/>
  <c r="H634" i="26"/>
  <c r="C635" i="26"/>
  <c r="D635" i="26"/>
  <c r="E635" i="26"/>
  <c r="G635" i="26"/>
  <c r="H635" i="26"/>
  <c r="C636" i="26"/>
  <c r="D636" i="26"/>
  <c r="E636" i="26"/>
  <c r="G636" i="26"/>
  <c r="H636" i="26"/>
  <c r="C637" i="26"/>
  <c r="D637" i="26"/>
  <c r="E637" i="26"/>
  <c r="G637" i="26"/>
  <c r="H637" i="26"/>
  <c r="C638" i="26"/>
  <c r="D638" i="26"/>
  <c r="E638" i="26"/>
  <c r="G638" i="26"/>
  <c r="H638" i="26"/>
  <c r="C639" i="26"/>
  <c r="D639" i="26"/>
  <c r="E639" i="26"/>
  <c r="G639" i="26"/>
  <c r="H639" i="26"/>
  <c r="C640" i="26"/>
  <c r="D640" i="26"/>
  <c r="E640" i="26"/>
  <c r="G640" i="26"/>
  <c r="H640" i="26"/>
  <c r="C641" i="26"/>
  <c r="D641" i="26"/>
  <c r="E641" i="26"/>
  <c r="G641" i="26"/>
  <c r="H641" i="26"/>
  <c r="C642" i="26"/>
  <c r="D642" i="26"/>
  <c r="E642" i="26"/>
  <c r="G642" i="26"/>
  <c r="H642" i="26"/>
  <c r="C643" i="26"/>
  <c r="D643" i="26"/>
  <c r="E643" i="26"/>
  <c r="G643" i="26"/>
  <c r="H643" i="26"/>
  <c r="C644" i="26"/>
  <c r="D644" i="26"/>
  <c r="E644" i="26"/>
  <c r="G644" i="26"/>
  <c r="H644" i="26"/>
  <c r="C645" i="26"/>
  <c r="D645" i="26"/>
  <c r="E645" i="26"/>
  <c r="G645" i="26"/>
  <c r="H645" i="26"/>
  <c r="C646" i="26"/>
  <c r="D646" i="26"/>
  <c r="E646" i="26"/>
  <c r="G646" i="26"/>
  <c r="H646" i="26"/>
  <c r="C647" i="26"/>
  <c r="D647" i="26"/>
  <c r="E647" i="26"/>
  <c r="G647" i="26"/>
  <c r="H647" i="26"/>
  <c r="C648" i="26"/>
  <c r="D648" i="26"/>
  <c r="E648" i="26"/>
  <c r="G648" i="26"/>
  <c r="H648" i="26"/>
  <c r="C649" i="26"/>
  <c r="D649" i="26"/>
  <c r="E649" i="26"/>
  <c r="G649" i="26"/>
  <c r="H649" i="26"/>
  <c r="C650" i="26"/>
  <c r="D650" i="26"/>
  <c r="E650" i="26"/>
  <c r="G650" i="26"/>
  <c r="H650" i="26"/>
  <c r="C651" i="26"/>
  <c r="D651" i="26"/>
  <c r="E651" i="26"/>
  <c r="G651" i="26"/>
  <c r="H651" i="26"/>
  <c r="C652" i="26"/>
  <c r="D652" i="26"/>
  <c r="E652" i="26"/>
  <c r="G652" i="26"/>
  <c r="H652" i="26"/>
  <c r="C653" i="26"/>
  <c r="D653" i="26"/>
  <c r="E653" i="26"/>
  <c r="G653" i="26"/>
  <c r="H653" i="26"/>
  <c r="C654" i="26"/>
  <c r="D654" i="26"/>
  <c r="E654" i="26"/>
  <c r="G654" i="26"/>
  <c r="H654" i="26"/>
  <c r="C655" i="26"/>
  <c r="D655" i="26"/>
  <c r="E655" i="26"/>
  <c r="G655" i="26"/>
  <c r="H655" i="26"/>
  <c r="C656" i="26"/>
  <c r="D656" i="26"/>
  <c r="E656" i="26"/>
  <c r="G656" i="26"/>
  <c r="H656" i="26"/>
  <c r="C657" i="26"/>
  <c r="D657" i="26"/>
  <c r="E657" i="26"/>
  <c r="G657" i="26"/>
  <c r="H657" i="26"/>
  <c r="C658" i="26"/>
  <c r="D658" i="26"/>
  <c r="E658" i="26"/>
  <c r="G658" i="26"/>
  <c r="H658" i="26"/>
  <c r="C659" i="26"/>
  <c r="D659" i="26"/>
  <c r="E659" i="26"/>
  <c r="G659" i="26"/>
  <c r="H659" i="26"/>
  <c r="C660" i="26"/>
  <c r="D660" i="26"/>
  <c r="E660" i="26"/>
  <c r="G660" i="26"/>
  <c r="H660" i="26"/>
  <c r="C661" i="26"/>
  <c r="D661" i="26"/>
  <c r="E661" i="26"/>
  <c r="G661" i="26"/>
  <c r="H661" i="26"/>
  <c r="C662" i="26"/>
  <c r="D662" i="26"/>
  <c r="E662" i="26"/>
  <c r="G662" i="26"/>
  <c r="H662" i="26"/>
  <c r="C663" i="26"/>
  <c r="D663" i="26"/>
  <c r="E663" i="26"/>
  <c r="G663" i="26"/>
  <c r="H663" i="26"/>
  <c r="C664" i="26"/>
  <c r="D664" i="26"/>
  <c r="E664" i="26"/>
  <c r="G664" i="26"/>
  <c r="H664" i="26"/>
  <c r="C665" i="26"/>
  <c r="D665" i="26"/>
  <c r="E665" i="26"/>
  <c r="G665" i="26"/>
  <c r="H665" i="26"/>
  <c r="C666" i="26"/>
  <c r="D666" i="26"/>
  <c r="E666" i="26"/>
  <c r="G666" i="26"/>
  <c r="H666" i="26"/>
  <c r="C667" i="26"/>
  <c r="D667" i="26"/>
  <c r="E667" i="26"/>
  <c r="G667" i="26"/>
  <c r="H667" i="26"/>
  <c r="C668" i="26"/>
  <c r="D668" i="26"/>
  <c r="E668" i="26"/>
  <c r="G668" i="26"/>
  <c r="H668" i="26"/>
  <c r="C669" i="26"/>
  <c r="D669" i="26"/>
  <c r="E669" i="26"/>
  <c r="G669" i="26"/>
  <c r="H669" i="26"/>
  <c r="C670" i="26"/>
  <c r="D670" i="26"/>
  <c r="E670" i="26"/>
  <c r="G670" i="26"/>
  <c r="H670" i="26"/>
  <c r="C671" i="26"/>
  <c r="D671" i="26"/>
  <c r="E671" i="26"/>
  <c r="G671" i="26"/>
  <c r="H671" i="26"/>
  <c r="C672" i="26"/>
  <c r="D672" i="26"/>
  <c r="E672" i="26"/>
  <c r="G672" i="26"/>
  <c r="H672" i="26"/>
  <c r="C673" i="26"/>
  <c r="D673" i="26"/>
  <c r="E673" i="26"/>
  <c r="G673" i="26"/>
  <c r="H673" i="26"/>
  <c r="C674" i="26"/>
  <c r="D674" i="26"/>
  <c r="E674" i="26"/>
  <c r="G674" i="26"/>
  <c r="H674" i="26"/>
  <c r="C675" i="26"/>
  <c r="D675" i="26"/>
  <c r="E675" i="26"/>
  <c r="G675" i="26"/>
  <c r="H675" i="26"/>
  <c r="C676" i="26"/>
  <c r="D676" i="26"/>
  <c r="E676" i="26"/>
  <c r="G676" i="26"/>
  <c r="H676" i="26"/>
  <c r="C677" i="26"/>
  <c r="D677" i="26"/>
  <c r="E677" i="26"/>
  <c r="G677" i="26"/>
  <c r="H677" i="26"/>
  <c r="C678" i="26"/>
  <c r="D678" i="26"/>
  <c r="E678" i="26"/>
  <c r="G678" i="26"/>
  <c r="H678" i="26"/>
  <c r="C679" i="26"/>
  <c r="D679" i="26"/>
  <c r="E679" i="26"/>
  <c r="G679" i="26"/>
  <c r="H679" i="26"/>
  <c r="C680" i="26"/>
  <c r="D680" i="26"/>
  <c r="E680" i="26"/>
  <c r="G680" i="26"/>
  <c r="H680" i="26"/>
  <c r="C681" i="26"/>
  <c r="D681" i="26"/>
  <c r="E681" i="26"/>
  <c r="G681" i="26"/>
  <c r="H681" i="26"/>
  <c r="C682" i="26"/>
  <c r="D682" i="26"/>
  <c r="E682" i="26"/>
  <c r="G682" i="26"/>
  <c r="H682" i="26"/>
  <c r="C683" i="26"/>
  <c r="D683" i="26"/>
  <c r="E683" i="26"/>
  <c r="G683" i="26"/>
  <c r="H683" i="26"/>
  <c r="C684" i="26"/>
  <c r="D684" i="26"/>
  <c r="E684" i="26"/>
  <c r="G684" i="26"/>
  <c r="H684" i="26"/>
  <c r="C685" i="26"/>
  <c r="D685" i="26"/>
  <c r="E685" i="26"/>
  <c r="G685" i="26"/>
  <c r="H685" i="26"/>
  <c r="C686" i="26"/>
  <c r="D686" i="26"/>
  <c r="E686" i="26"/>
  <c r="G686" i="26"/>
  <c r="H686" i="26"/>
  <c r="C687" i="26"/>
  <c r="D687" i="26"/>
  <c r="E687" i="26"/>
  <c r="G687" i="26"/>
  <c r="H687" i="26"/>
  <c r="C688" i="26"/>
  <c r="D688" i="26"/>
  <c r="E688" i="26"/>
  <c r="G688" i="26"/>
  <c r="H688" i="26"/>
  <c r="C689" i="26"/>
  <c r="D689" i="26"/>
  <c r="E689" i="26"/>
  <c r="G689" i="26"/>
  <c r="H689" i="26"/>
  <c r="C690" i="26"/>
  <c r="D690" i="26"/>
  <c r="E690" i="26"/>
  <c r="G690" i="26"/>
  <c r="H690" i="26"/>
  <c r="C691" i="26"/>
  <c r="D691" i="26"/>
  <c r="E691" i="26"/>
  <c r="G691" i="26"/>
  <c r="H691" i="26"/>
  <c r="C692" i="26"/>
  <c r="D692" i="26"/>
  <c r="E692" i="26"/>
  <c r="G692" i="26"/>
  <c r="H692" i="26"/>
  <c r="C693" i="26"/>
  <c r="D693" i="26"/>
  <c r="E693" i="26"/>
  <c r="G693" i="26"/>
  <c r="H693" i="26"/>
  <c r="C694" i="26"/>
  <c r="D694" i="26"/>
  <c r="E694" i="26"/>
  <c r="G694" i="26"/>
  <c r="H694" i="26"/>
  <c r="C695" i="26"/>
  <c r="D695" i="26"/>
  <c r="E695" i="26"/>
  <c r="G695" i="26"/>
  <c r="H695" i="26"/>
  <c r="C696" i="26"/>
  <c r="D696" i="26"/>
  <c r="E696" i="26"/>
  <c r="G696" i="26"/>
  <c r="H696" i="26"/>
  <c r="C697" i="26"/>
  <c r="D697" i="26"/>
  <c r="E697" i="26"/>
  <c r="G697" i="26"/>
  <c r="H697" i="26"/>
  <c r="C698" i="26"/>
  <c r="D698" i="26"/>
  <c r="E698" i="26"/>
  <c r="G698" i="26"/>
  <c r="H698" i="26"/>
  <c r="C699" i="26"/>
  <c r="D699" i="26"/>
  <c r="E699" i="26"/>
  <c r="G699" i="26"/>
  <c r="H699" i="26"/>
  <c r="C700" i="26"/>
  <c r="D700" i="26"/>
  <c r="E700" i="26"/>
  <c r="G700" i="26"/>
  <c r="H700" i="26"/>
  <c r="C701" i="26"/>
  <c r="D701" i="26"/>
  <c r="E701" i="26"/>
  <c r="G701" i="26"/>
  <c r="H701" i="26"/>
  <c r="C702" i="26"/>
  <c r="D702" i="26"/>
  <c r="E702" i="26"/>
  <c r="G702" i="26"/>
  <c r="H702" i="26"/>
  <c r="C703" i="26"/>
  <c r="D703" i="26"/>
  <c r="E703" i="26"/>
  <c r="G703" i="26"/>
  <c r="H703" i="26"/>
  <c r="C704" i="26"/>
  <c r="D704" i="26"/>
  <c r="E704" i="26"/>
  <c r="G704" i="26"/>
  <c r="H704" i="26"/>
  <c r="C705" i="26"/>
  <c r="D705" i="26"/>
  <c r="E705" i="26"/>
  <c r="G705" i="26"/>
  <c r="H705" i="26"/>
  <c r="C706" i="26"/>
  <c r="D706" i="26"/>
  <c r="E706" i="26"/>
  <c r="G706" i="26"/>
  <c r="H706" i="26"/>
  <c r="C707" i="26"/>
  <c r="D707" i="26"/>
  <c r="E707" i="26"/>
  <c r="G707" i="26"/>
  <c r="H707" i="26"/>
  <c r="H630" i="26"/>
  <c r="G630" i="26"/>
  <c r="E630" i="26"/>
  <c r="D630" i="26"/>
  <c r="C630" i="26"/>
  <c r="C553" i="26"/>
  <c r="D553" i="26"/>
  <c r="E553" i="26"/>
  <c r="G553" i="26"/>
  <c r="H553" i="26"/>
  <c r="C554" i="26"/>
  <c r="D554" i="26"/>
  <c r="E554" i="26"/>
  <c r="G554" i="26"/>
  <c r="H554" i="26"/>
  <c r="C555" i="26"/>
  <c r="D555" i="26"/>
  <c r="E555" i="26"/>
  <c r="G555" i="26"/>
  <c r="H555" i="26"/>
  <c r="C556" i="26"/>
  <c r="D556" i="26"/>
  <c r="E556" i="26"/>
  <c r="G556" i="26"/>
  <c r="H556" i="26"/>
  <c r="C557" i="26"/>
  <c r="D557" i="26"/>
  <c r="E557" i="26"/>
  <c r="G557" i="26"/>
  <c r="H557" i="26"/>
  <c r="C558" i="26"/>
  <c r="D558" i="26"/>
  <c r="E558" i="26"/>
  <c r="G558" i="26"/>
  <c r="H558" i="26"/>
  <c r="C559" i="26"/>
  <c r="D559" i="26"/>
  <c r="E559" i="26"/>
  <c r="G559" i="26"/>
  <c r="H559" i="26"/>
  <c r="C560" i="26"/>
  <c r="D560" i="26"/>
  <c r="E560" i="26"/>
  <c r="G560" i="26"/>
  <c r="H560" i="26"/>
  <c r="C561" i="26"/>
  <c r="D561" i="26"/>
  <c r="E561" i="26"/>
  <c r="G561" i="26"/>
  <c r="H561" i="26"/>
  <c r="C562" i="26"/>
  <c r="D562" i="26"/>
  <c r="E562" i="26"/>
  <c r="G562" i="26"/>
  <c r="H562" i="26"/>
  <c r="C563" i="26"/>
  <c r="D563" i="26"/>
  <c r="E563" i="26"/>
  <c r="G563" i="26"/>
  <c r="H563" i="26"/>
  <c r="C564" i="26"/>
  <c r="D564" i="26"/>
  <c r="E564" i="26"/>
  <c r="G564" i="26"/>
  <c r="H564" i="26"/>
  <c r="C565" i="26"/>
  <c r="D565" i="26"/>
  <c r="E565" i="26"/>
  <c r="G565" i="26"/>
  <c r="H565" i="26"/>
  <c r="C566" i="26"/>
  <c r="D566" i="26"/>
  <c r="E566" i="26"/>
  <c r="G566" i="26"/>
  <c r="H566" i="26"/>
  <c r="C567" i="26"/>
  <c r="D567" i="26"/>
  <c r="E567" i="26"/>
  <c r="G567" i="26"/>
  <c r="H567" i="26"/>
  <c r="C568" i="26"/>
  <c r="D568" i="26"/>
  <c r="E568" i="26"/>
  <c r="G568" i="26"/>
  <c r="H568" i="26"/>
  <c r="C569" i="26"/>
  <c r="D569" i="26"/>
  <c r="E569" i="26"/>
  <c r="G569" i="26"/>
  <c r="H569" i="26"/>
  <c r="C570" i="26"/>
  <c r="D570" i="26"/>
  <c r="E570" i="26"/>
  <c r="G570" i="26"/>
  <c r="H570" i="26"/>
  <c r="C571" i="26"/>
  <c r="D571" i="26"/>
  <c r="E571" i="26"/>
  <c r="G571" i="26"/>
  <c r="H571" i="26"/>
  <c r="C572" i="26"/>
  <c r="D572" i="26"/>
  <c r="E572" i="26"/>
  <c r="G572" i="26"/>
  <c r="H572" i="26"/>
  <c r="C573" i="26"/>
  <c r="D573" i="26"/>
  <c r="E573" i="26"/>
  <c r="G573" i="26"/>
  <c r="H573" i="26"/>
  <c r="C574" i="26"/>
  <c r="D574" i="26"/>
  <c r="E574" i="26"/>
  <c r="G574" i="26"/>
  <c r="H574" i="26"/>
  <c r="C575" i="26"/>
  <c r="D575" i="26"/>
  <c r="E575" i="26"/>
  <c r="G575" i="26"/>
  <c r="H575" i="26"/>
  <c r="C576" i="26"/>
  <c r="D576" i="26"/>
  <c r="E576" i="26"/>
  <c r="G576" i="26"/>
  <c r="H576" i="26"/>
  <c r="C577" i="26"/>
  <c r="D577" i="26"/>
  <c r="E577" i="26"/>
  <c r="G577" i="26"/>
  <c r="H577" i="26"/>
  <c r="C578" i="26"/>
  <c r="D578" i="26"/>
  <c r="E578" i="26"/>
  <c r="G578" i="26"/>
  <c r="H578" i="26"/>
  <c r="C579" i="26"/>
  <c r="D579" i="26"/>
  <c r="E579" i="26"/>
  <c r="G579" i="26"/>
  <c r="H579" i="26"/>
  <c r="C580" i="26"/>
  <c r="D580" i="26"/>
  <c r="E580" i="26"/>
  <c r="G580" i="26"/>
  <c r="H580" i="26"/>
  <c r="C581" i="26"/>
  <c r="D581" i="26"/>
  <c r="E581" i="26"/>
  <c r="G581" i="26"/>
  <c r="H581" i="26"/>
  <c r="C582" i="26"/>
  <c r="D582" i="26"/>
  <c r="E582" i="26"/>
  <c r="G582" i="26"/>
  <c r="H582" i="26"/>
  <c r="C583" i="26"/>
  <c r="D583" i="26"/>
  <c r="E583" i="26"/>
  <c r="G583" i="26"/>
  <c r="H583" i="26"/>
  <c r="C584" i="26"/>
  <c r="D584" i="26"/>
  <c r="E584" i="26"/>
  <c r="G584" i="26"/>
  <c r="H584" i="26"/>
  <c r="C585" i="26"/>
  <c r="D585" i="26"/>
  <c r="E585" i="26"/>
  <c r="G585" i="26"/>
  <c r="H585" i="26"/>
  <c r="C586" i="26"/>
  <c r="D586" i="26"/>
  <c r="E586" i="26"/>
  <c r="G586" i="26"/>
  <c r="H586" i="26"/>
  <c r="C587" i="26"/>
  <c r="D587" i="26"/>
  <c r="E587" i="26"/>
  <c r="G587" i="26"/>
  <c r="H587" i="26"/>
  <c r="C588" i="26"/>
  <c r="D588" i="26"/>
  <c r="E588" i="26"/>
  <c r="G588" i="26"/>
  <c r="H588" i="26"/>
  <c r="C589" i="26"/>
  <c r="D589" i="26"/>
  <c r="E589" i="26"/>
  <c r="G589" i="26"/>
  <c r="H589" i="26"/>
  <c r="C590" i="26"/>
  <c r="D590" i="26"/>
  <c r="E590" i="26"/>
  <c r="G590" i="26"/>
  <c r="H590" i="26"/>
  <c r="C591" i="26"/>
  <c r="D591" i="26"/>
  <c r="E591" i="26"/>
  <c r="G591" i="26"/>
  <c r="H591" i="26"/>
  <c r="C592" i="26"/>
  <c r="D592" i="26"/>
  <c r="E592" i="26"/>
  <c r="G592" i="26"/>
  <c r="H592" i="26"/>
  <c r="C593" i="26"/>
  <c r="D593" i="26"/>
  <c r="E593" i="26"/>
  <c r="G593" i="26"/>
  <c r="H593" i="26"/>
  <c r="C594" i="26"/>
  <c r="D594" i="26"/>
  <c r="E594" i="26"/>
  <c r="G594" i="26"/>
  <c r="H594" i="26"/>
  <c r="C595" i="26"/>
  <c r="D595" i="26"/>
  <c r="E595" i="26"/>
  <c r="G595" i="26"/>
  <c r="H595" i="26"/>
  <c r="C596" i="26"/>
  <c r="D596" i="26"/>
  <c r="E596" i="26"/>
  <c r="G596" i="26"/>
  <c r="H596" i="26"/>
  <c r="C597" i="26"/>
  <c r="D597" i="26"/>
  <c r="E597" i="26"/>
  <c r="G597" i="26"/>
  <c r="H597" i="26"/>
  <c r="C598" i="26"/>
  <c r="D598" i="26"/>
  <c r="E598" i="26"/>
  <c r="G598" i="26"/>
  <c r="H598" i="26"/>
  <c r="C599" i="26"/>
  <c r="D599" i="26"/>
  <c r="E599" i="26"/>
  <c r="G599" i="26"/>
  <c r="H599" i="26"/>
  <c r="C600" i="26"/>
  <c r="D600" i="26"/>
  <c r="E600" i="26"/>
  <c r="G600" i="26"/>
  <c r="H600" i="26"/>
  <c r="C601" i="26"/>
  <c r="D601" i="26"/>
  <c r="E601" i="26"/>
  <c r="G601" i="26"/>
  <c r="H601" i="26"/>
  <c r="C602" i="26"/>
  <c r="D602" i="26"/>
  <c r="E602" i="26"/>
  <c r="G602" i="26"/>
  <c r="H602" i="26"/>
  <c r="C603" i="26"/>
  <c r="D603" i="26"/>
  <c r="E603" i="26"/>
  <c r="G603" i="26"/>
  <c r="H603" i="26"/>
  <c r="C604" i="26"/>
  <c r="D604" i="26"/>
  <c r="E604" i="26"/>
  <c r="G604" i="26"/>
  <c r="H604" i="26"/>
  <c r="C605" i="26"/>
  <c r="D605" i="26"/>
  <c r="E605" i="26"/>
  <c r="G605" i="26"/>
  <c r="H605" i="26"/>
  <c r="C606" i="26"/>
  <c r="D606" i="26"/>
  <c r="E606" i="26"/>
  <c r="G606" i="26"/>
  <c r="H606" i="26"/>
  <c r="C607" i="26"/>
  <c r="D607" i="26"/>
  <c r="E607" i="26"/>
  <c r="G607" i="26"/>
  <c r="H607" i="26"/>
  <c r="C608" i="26"/>
  <c r="D608" i="26"/>
  <c r="E608" i="26"/>
  <c r="G608" i="26"/>
  <c r="H608" i="26"/>
  <c r="C609" i="26"/>
  <c r="D609" i="26"/>
  <c r="E609" i="26"/>
  <c r="G609" i="26"/>
  <c r="H609" i="26"/>
  <c r="C610" i="26"/>
  <c r="D610" i="26"/>
  <c r="E610" i="26"/>
  <c r="G610" i="26"/>
  <c r="H610" i="26"/>
  <c r="C611" i="26"/>
  <c r="D611" i="26"/>
  <c r="E611" i="26"/>
  <c r="G611" i="26"/>
  <c r="H611" i="26"/>
  <c r="C612" i="26"/>
  <c r="D612" i="26"/>
  <c r="E612" i="26"/>
  <c r="G612" i="26"/>
  <c r="H612" i="26"/>
  <c r="C613" i="26"/>
  <c r="D613" i="26"/>
  <c r="E613" i="26"/>
  <c r="G613" i="26"/>
  <c r="H613" i="26"/>
  <c r="C614" i="26"/>
  <c r="D614" i="26"/>
  <c r="E614" i="26"/>
  <c r="G614" i="26"/>
  <c r="H614" i="26"/>
  <c r="C615" i="26"/>
  <c r="D615" i="26"/>
  <c r="E615" i="26"/>
  <c r="G615" i="26"/>
  <c r="H615" i="26"/>
  <c r="C616" i="26"/>
  <c r="D616" i="26"/>
  <c r="E616" i="26"/>
  <c r="G616" i="26"/>
  <c r="H616" i="26"/>
  <c r="C617" i="26"/>
  <c r="D617" i="26"/>
  <c r="E617" i="26"/>
  <c r="G617" i="26"/>
  <c r="H617" i="26"/>
  <c r="C618" i="26"/>
  <c r="D618" i="26"/>
  <c r="E618" i="26"/>
  <c r="G618" i="26"/>
  <c r="H618" i="26"/>
  <c r="C619" i="26"/>
  <c r="D619" i="26"/>
  <c r="E619" i="26"/>
  <c r="G619" i="26"/>
  <c r="H619" i="26"/>
  <c r="C620" i="26"/>
  <c r="D620" i="26"/>
  <c r="E620" i="26"/>
  <c r="G620" i="26"/>
  <c r="H620" i="26"/>
  <c r="C621" i="26"/>
  <c r="D621" i="26"/>
  <c r="E621" i="26"/>
  <c r="G621" i="26"/>
  <c r="H621" i="26"/>
  <c r="C622" i="26"/>
  <c r="D622" i="26"/>
  <c r="E622" i="26"/>
  <c r="G622" i="26"/>
  <c r="H622" i="26"/>
  <c r="C623" i="26"/>
  <c r="D623" i="26"/>
  <c r="E623" i="26"/>
  <c r="G623" i="26"/>
  <c r="H623" i="26"/>
  <c r="C624" i="26"/>
  <c r="D624" i="26"/>
  <c r="E624" i="26"/>
  <c r="G624" i="26"/>
  <c r="H624" i="26"/>
  <c r="C625" i="26"/>
  <c r="D625" i="26"/>
  <c r="E625" i="26"/>
  <c r="G625" i="26"/>
  <c r="H625" i="26"/>
  <c r="C626" i="26"/>
  <c r="D626" i="26"/>
  <c r="E626" i="26"/>
  <c r="G626" i="26"/>
  <c r="H626" i="26"/>
  <c r="C627" i="26"/>
  <c r="D627" i="26"/>
  <c r="E627" i="26"/>
  <c r="G627" i="26"/>
  <c r="H627" i="26"/>
  <c r="C628" i="26"/>
  <c r="D628" i="26"/>
  <c r="E628" i="26"/>
  <c r="G628" i="26"/>
  <c r="H628" i="26"/>
  <c r="C629" i="26"/>
  <c r="D629" i="26"/>
  <c r="E629" i="26"/>
  <c r="G629" i="26"/>
  <c r="H629" i="26"/>
  <c r="H552" i="26"/>
  <c r="G552" i="26"/>
  <c r="E552" i="26"/>
  <c r="D552" i="26"/>
  <c r="C552" i="26"/>
  <c r="C475" i="26"/>
  <c r="D475" i="26"/>
  <c r="E475" i="26"/>
  <c r="G475" i="26"/>
  <c r="H475" i="26"/>
  <c r="C476" i="26"/>
  <c r="D476" i="26"/>
  <c r="E476" i="26"/>
  <c r="G476" i="26"/>
  <c r="H476" i="26"/>
  <c r="C477" i="26"/>
  <c r="D477" i="26"/>
  <c r="E477" i="26"/>
  <c r="G477" i="26"/>
  <c r="H477" i="26"/>
  <c r="C478" i="26"/>
  <c r="D478" i="26"/>
  <c r="E478" i="26"/>
  <c r="G478" i="26"/>
  <c r="H478" i="26"/>
  <c r="C479" i="26"/>
  <c r="D479" i="26"/>
  <c r="E479" i="26"/>
  <c r="G479" i="26"/>
  <c r="H479" i="26"/>
  <c r="C480" i="26"/>
  <c r="D480" i="26"/>
  <c r="E480" i="26"/>
  <c r="G480" i="26"/>
  <c r="H480" i="26"/>
  <c r="C481" i="26"/>
  <c r="D481" i="26"/>
  <c r="E481" i="26"/>
  <c r="G481" i="26"/>
  <c r="H481" i="26"/>
  <c r="C482" i="26"/>
  <c r="D482" i="26"/>
  <c r="E482" i="26"/>
  <c r="G482" i="26"/>
  <c r="H482" i="26"/>
  <c r="C483" i="26"/>
  <c r="D483" i="26"/>
  <c r="E483" i="26"/>
  <c r="G483" i="26"/>
  <c r="H483" i="26"/>
  <c r="C484" i="26"/>
  <c r="D484" i="26"/>
  <c r="E484" i="26"/>
  <c r="G484" i="26"/>
  <c r="H484" i="26"/>
  <c r="C485" i="26"/>
  <c r="D485" i="26"/>
  <c r="E485" i="26"/>
  <c r="G485" i="26"/>
  <c r="H485" i="26"/>
  <c r="C486" i="26"/>
  <c r="D486" i="26"/>
  <c r="E486" i="26"/>
  <c r="G486" i="26"/>
  <c r="H486" i="26"/>
  <c r="C487" i="26"/>
  <c r="D487" i="26"/>
  <c r="E487" i="26"/>
  <c r="G487" i="26"/>
  <c r="H487" i="26"/>
  <c r="C488" i="26"/>
  <c r="D488" i="26"/>
  <c r="E488" i="26"/>
  <c r="G488" i="26"/>
  <c r="H488" i="26"/>
  <c r="C489" i="26"/>
  <c r="D489" i="26"/>
  <c r="E489" i="26"/>
  <c r="G489" i="26"/>
  <c r="H489" i="26"/>
  <c r="C490" i="26"/>
  <c r="D490" i="26"/>
  <c r="E490" i="26"/>
  <c r="G490" i="26"/>
  <c r="H490" i="26"/>
  <c r="C491" i="26"/>
  <c r="D491" i="26"/>
  <c r="E491" i="26"/>
  <c r="G491" i="26"/>
  <c r="H491" i="26"/>
  <c r="C492" i="26"/>
  <c r="D492" i="26"/>
  <c r="E492" i="26"/>
  <c r="G492" i="26"/>
  <c r="H492" i="26"/>
  <c r="C493" i="26"/>
  <c r="D493" i="26"/>
  <c r="E493" i="26"/>
  <c r="G493" i="26"/>
  <c r="H493" i="26"/>
  <c r="C494" i="26"/>
  <c r="D494" i="26"/>
  <c r="E494" i="26"/>
  <c r="G494" i="26"/>
  <c r="H494" i="26"/>
  <c r="C495" i="26"/>
  <c r="D495" i="26"/>
  <c r="E495" i="26"/>
  <c r="G495" i="26"/>
  <c r="H495" i="26"/>
  <c r="C496" i="26"/>
  <c r="D496" i="26"/>
  <c r="E496" i="26"/>
  <c r="G496" i="26"/>
  <c r="H496" i="26"/>
  <c r="C497" i="26"/>
  <c r="D497" i="26"/>
  <c r="E497" i="26"/>
  <c r="G497" i="26"/>
  <c r="H497" i="26"/>
  <c r="C498" i="26"/>
  <c r="D498" i="26"/>
  <c r="E498" i="26"/>
  <c r="G498" i="26"/>
  <c r="H498" i="26"/>
  <c r="C499" i="26"/>
  <c r="D499" i="26"/>
  <c r="E499" i="26"/>
  <c r="G499" i="26"/>
  <c r="H499" i="26"/>
  <c r="C500" i="26"/>
  <c r="D500" i="26"/>
  <c r="E500" i="26"/>
  <c r="G500" i="26"/>
  <c r="H500" i="26"/>
  <c r="C501" i="26"/>
  <c r="D501" i="26"/>
  <c r="E501" i="26"/>
  <c r="G501" i="26"/>
  <c r="H501" i="26"/>
  <c r="C502" i="26"/>
  <c r="D502" i="26"/>
  <c r="E502" i="26"/>
  <c r="G502" i="26"/>
  <c r="H502" i="26"/>
  <c r="C503" i="26"/>
  <c r="D503" i="26"/>
  <c r="E503" i="26"/>
  <c r="G503" i="26"/>
  <c r="H503" i="26"/>
  <c r="C504" i="26"/>
  <c r="D504" i="26"/>
  <c r="E504" i="26"/>
  <c r="G504" i="26"/>
  <c r="H504" i="26"/>
  <c r="C505" i="26"/>
  <c r="D505" i="26"/>
  <c r="E505" i="26"/>
  <c r="G505" i="26"/>
  <c r="H505" i="26"/>
  <c r="C506" i="26"/>
  <c r="D506" i="26"/>
  <c r="E506" i="26"/>
  <c r="G506" i="26"/>
  <c r="H506" i="26"/>
  <c r="C507" i="26"/>
  <c r="D507" i="26"/>
  <c r="E507" i="26"/>
  <c r="G507" i="26"/>
  <c r="H507" i="26"/>
  <c r="C508" i="26"/>
  <c r="D508" i="26"/>
  <c r="E508" i="26"/>
  <c r="G508" i="26"/>
  <c r="H508" i="26"/>
  <c r="C509" i="26"/>
  <c r="D509" i="26"/>
  <c r="E509" i="26"/>
  <c r="G509" i="26"/>
  <c r="H509" i="26"/>
  <c r="C510" i="26"/>
  <c r="D510" i="26"/>
  <c r="E510" i="26"/>
  <c r="G510" i="26"/>
  <c r="H510" i="26"/>
  <c r="C511" i="26"/>
  <c r="D511" i="26"/>
  <c r="E511" i="26"/>
  <c r="G511" i="26"/>
  <c r="H511" i="26"/>
  <c r="C512" i="26"/>
  <c r="D512" i="26"/>
  <c r="E512" i="26"/>
  <c r="G512" i="26"/>
  <c r="H512" i="26"/>
  <c r="C513" i="26"/>
  <c r="D513" i="26"/>
  <c r="E513" i="26"/>
  <c r="G513" i="26"/>
  <c r="H513" i="26"/>
  <c r="C514" i="26"/>
  <c r="D514" i="26"/>
  <c r="E514" i="26"/>
  <c r="G514" i="26"/>
  <c r="H514" i="26"/>
  <c r="C515" i="26"/>
  <c r="D515" i="26"/>
  <c r="E515" i="26"/>
  <c r="G515" i="26"/>
  <c r="H515" i="26"/>
  <c r="C516" i="26"/>
  <c r="D516" i="26"/>
  <c r="E516" i="26"/>
  <c r="G516" i="26"/>
  <c r="H516" i="26"/>
  <c r="C517" i="26"/>
  <c r="D517" i="26"/>
  <c r="E517" i="26"/>
  <c r="G517" i="26"/>
  <c r="H517" i="26"/>
  <c r="C518" i="26"/>
  <c r="D518" i="26"/>
  <c r="E518" i="26"/>
  <c r="G518" i="26"/>
  <c r="H518" i="26"/>
  <c r="C519" i="26"/>
  <c r="D519" i="26"/>
  <c r="E519" i="26"/>
  <c r="G519" i="26"/>
  <c r="H519" i="26"/>
  <c r="C520" i="26"/>
  <c r="D520" i="26"/>
  <c r="E520" i="26"/>
  <c r="G520" i="26"/>
  <c r="H520" i="26"/>
  <c r="C521" i="26"/>
  <c r="D521" i="26"/>
  <c r="E521" i="26"/>
  <c r="G521" i="26"/>
  <c r="H521" i="26"/>
  <c r="C522" i="26"/>
  <c r="D522" i="26"/>
  <c r="E522" i="26"/>
  <c r="G522" i="26"/>
  <c r="H522" i="26"/>
  <c r="C523" i="26"/>
  <c r="D523" i="26"/>
  <c r="E523" i="26"/>
  <c r="G523" i="26"/>
  <c r="H523" i="26"/>
  <c r="C524" i="26"/>
  <c r="D524" i="26"/>
  <c r="E524" i="26"/>
  <c r="G524" i="26"/>
  <c r="H524" i="26"/>
  <c r="C525" i="26"/>
  <c r="D525" i="26"/>
  <c r="E525" i="26"/>
  <c r="G525" i="26"/>
  <c r="H525" i="26"/>
  <c r="C526" i="26"/>
  <c r="D526" i="26"/>
  <c r="E526" i="26"/>
  <c r="G526" i="26"/>
  <c r="H526" i="26"/>
  <c r="C527" i="26"/>
  <c r="D527" i="26"/>
  <c r="E527" i="26"/>
  <c r="G527" i="26"/>
  <c r="H527" i="26"/>
  <c r="C528" i="26"/>
  <c r="D528" i="26"/>
  <c r="E528" i="26"/>
  <c r="G528" i="26"/>
  <c r="H528" i="26"/>
  <c r="C529" i="26"/>
  <c r="D529" i="26"/>
  <c r="E529" i="26"/>
  <c r="G529" i="26"/>
  <c r="H529" i="26"/>
  <c r="C530" i="26"/>
  <c r="D530" i="26"/>
  <c r="E530" i="26"/>
  <c r="G530" i="26"/>
  <c r="H530" i="26"/>
  <c r="C531" i="26"/>
  <c r="D531" i="26"/>
  <c r="E531" i="26"/>
  <c r="G531" i="26"/>
  <c r="H531" i="26"/>
  <c r="C532" i="26"/>
  <c r="D532" i="26"/>
  <c r="E532" i="26"/>
  <c r="G532" i="26"/>
  <c r="H532" i="26"/>
  <c r="C533" i="26"/>
  <c r="D533" i="26"/>
  <c r="E533" i="26"/>
  <c r="G533" i="26"/>
  <c r="H533" i="26"/>
  <c r="C534" i="26"/>
  <c r="D534" i="26"/>
  <c r="E534" i="26"/>
  <c r="G534" i="26"/>
  <c r="H534" i="26"/>
  <c r="C535" i="26"/>
  <c r="D535" i="26"/>
  <c r="E535" i="26"/>
  <c r="G535" i="26"/>
  <c r="H535" i="26"/>
  <c r="C536" i="26"/>
  <c r="D536" i="26"/>
  <c r="E536" i="26"/>
  <c r="G536" i="26"/>
  <c r="H536" i="26"/>
  <c r="C537" i="26"/>
  <c r="D537" i="26"/>
  <c r="E537" i="26"/>
  <c r="G537" i="26"/>
  <c r="H537" i="26"/>
  <c r="C538" i="26"/>
  <c r="D538" i="26"/>
  <c r="E538" i="26"/>
  <c r="G538" i="26"/>
  <c r="H538" i="26"/>
  <c r="C539" i="26"/>
  <c r="D539" i="26"/>
  <c r="E539" i="26"/>
  <c r="G539" i="26"/>
  <c r="H539" i="26"/>
  <c r="C540" i="26"/>
  <c r="D540" i="26"/>
  <c r="E540" i="26"/>
  <c r="G540" i="26"/>
  <c r="H540" i="26"/>
  <c r="C541" i="26"/>
  <c r="D541" i="26"/>
  <c r="E541" i="26"/>
  <c r="G541" i="26"/>
  <c r="H541" i="26"/>
  <c r="C542" i="26"/>
  <c r="D542" i="26"/>
  <c r="E542" i="26"/>
  <c r="G542" i="26"/>
  <c r="H542" i="26"/>
  <c r="C543" i="26"/>
  <c r="D543" i="26"/>
  <c r="E543" i="26"/>
  <c r="G543" i="26"/>
  <c r="H543" i="26"/>
  <c r="C544" i="26"/>
  <c r="D544" i="26"/>
  <c r="E544" i="26"/>
  <c r="G544" i="26"/>
  <c r="H544" i="26"/>
  <c r="C545" i="26"/>
  <c r="D545" i="26"/>
  <c r="E545" i="26"/>
  <c r="G545" i="26"/>
  <c r="H545" i="26"/>
  <c r="C546" i="26"/>
  <c r="D546" i="26"/>
  <c r="E546" i="26"/>
  <c r="G546" i="26"/>
  <c r="H546" i="26"/>
  <c r="C547" i="26"/>
  <c r="D547" i="26"/>
  <c r="E547" i="26"/>
  <c r="G547" i="26"/>
  <c r="H547" i="26"/>
  <c r="C548" i="26"/>
  <c r="D548" i="26"/>
  <c r="E548" i="26"/>
  <c r="G548" i="26"/>
  <c r="H548" i="26"/>
  <c r="C549" i="26"/>
  <c r="D549" i="26"/>
  <c r="E549" i="26"/>
  <c r="G549" i="26"/>
  <c r="H549" i="26"/>
  <c r="C550" i="26"/>
  <c r="D550" i="26"/>
  <c r="E550" i="26"/>
  <c r="G550" i="26"/>
  <c r="H550" i="26"/>
  <c r="C551" i="26"/>
  <c r="D551" i="26"/>
  <c r="E551" i="26"/>
  <c r="G551" i="26"/>
  <c r="H551" i="26"/>
  <c r="H474" i="26"/>
  <c r="G474" i="26"/>
  <c r="E474" i="26"/>
  <c r="D474" i="26"/>
  <c r="C474" i="26"/>
  <c r="C397" i="26"/>
  <c r="D397" i="26"/>
  <c r="E397" i="26"/>
  <c r="G397" i="26"/>
  <c r="H397" i="26"/>
  <c r="C398" i="26"/>
  <c r="D398" i="26"/>
  <c r="E398" i="26"/>
  <c r="G398" i="26"/>
  <c r="H398" i="26"/>
  <c r="C399" i="26"/>
  <c r="D399" i="26"/>
  <c r="E399" i="26"/>
  <c r="G399" i="26"/>
  <c r="H399" i="26"/>
  <c r="C400" i="26"/>
  <c r="D400" i="26"/>
  <c r="E400" i="26"/>
  <c r="G400" i="26"/>
  <c r="H400" i="26"/>
  <c r="C401" i="26"/>
  <c r="D401" i="26"/>
  <c r="E401" i="26"/>
  <c r="G401" i="26"/>
  <c r="H401" i="26"/>
  <c r="C402" i="26"/>
  <c r="D402" i="26"/>
  <c r="E402" i="26"/>
  <c r="G402" i="26"/>
  <c r="H402" i="26"/>
  <c r="C403" i="26"/>
  <c r="D403" i="26"/>
  <c r="E403" i="26"/>
  <c r="G403" i="26"/>
  <c r="H403" i="26"/>
  <c r="C404" i="26"/>
  <c r="D404" i="26"/>
  <c r="E404" i="26"/>
  <c r="G404" i="26"/>
  <c r="H404" i="26"/>
  <c r="C405" i="26"/>
  <c r="D405" i="26"/>
  <c r="E405" i="26"/>
  <c r="G405" i="26"/>
  <c r="H405" i="26"/>
  <c r="C406" i="26"/>
  <c r="D406" i="26"/>
  <c r="E406" i="26"/>
  <c r="G406" i="26"/>
  <c r="H406" i="26"/>
  <c r="C407" i="26"/>
  <c r="D407" i="26"/>
  <c r="E407" i="26"/>
  <c r="G407" i="26"/>
  <c r="H407" i="26"/>
  <c r="C408" i="26"/>
  <c r="D408" i="26"/>
  <c r="E408" i="26"/>
  <c r="G408" i="26"/>
  <c r="H408" i="26"/>
  <c r="C409" i="26"/>
  <c r="D409" i="26"/>
  <c r="E409" i="26"/>
  <c r="G409" i="26"/>
  <c r="H409" i="26"/>
  <c r="C410" i="26"/>
  <c r="D410" i="26"/>
  <c r="E410" i="26"/>
  <c r="G410" i="26"/>
  <c r="H410" i="26"/>
  <c r="C411" i="26"/>
  <c r="D411" i="26"/>
  <c r="E411" i="26"/>
  <c r="G411" i="26"/>
  <c r="H411" i="26"/>
  <c r="C412" i="26"/>
  <c r="D412" i="26"/>
  <c r="E412" i="26"/>
  <c r="G412" i="26"/>
  <c r="H412" i="26"/>
  <c r="C413" i="26"/>
  <c r="D413" i="26"/>
  <c r="E413" i="26"/>
  <c r="G413" i="26"/>
  <c r="H413" i="26"/>
  <c r="C414" i="26"/>
  <c r="D414" i="26"/>
  <c r="E414" i="26"/>
  <c r="G414" i="26"/>
  <c r="H414" i="26"/>
  <c r="C415" i="26"/>
  <c r="D415" i="26"/>
  <c r="E415" i="26"/>
  <c r="G415" i="26"/>
  <c r="H415" i="26"/>
  <c r="C416" i="26"/>
  <c r="D416" i="26"/>
  <c r="E416" i="26"/>
  <c r="G416" i="26"/>
  <c r="H416" i="26"/>
  <c r="C417" i="26"/>
  <c r="D417" i="26"/>
  <c r="E417" i="26"/>
  <c r="G417" i="26"/>
  <c r="H417" i="26"/>
  <c r="C418" i="26"/>
  <c r="D418" i="26"/>
  <c r="E418" i="26"/>
  <c r="G418" i="26"/>
  <c r="H418" i="26"/>
  <c r="C419" i="26"/>
  <c r="D419" i="26"/>
  <c r="E419" i="26"/>
  <c r="G419" i="26"/>
  <c r="H419" i="26"/>
  <c r="C420" i="26"/>
  <c r="D420" i="26"/>
  <c r="E420" i="26"/>
  <c r="G420" i="26"/>
  <c r="H420" i="26"/>
  <c r="C421" i="26"/>
  <c r="D421" i="26"/>
  <c r="E421" i="26"/>
  <c r="G421" i="26"/>
  <c r="H421" i="26"/>
  <c r="C422" i="26"/>
  <c r="D422" i="26"/>
  <c r="E422" i="26"/>
  <c r="G422" i="26"/>
  <c r="H422" i="26"/>
  <c r="C423" i="26"/>
  <c r="D423" i="26"/>
  <c r="E423" i="26"/>
  <c r="G423" i="26"/>
  <c r="H423" i="26"/>
  <c r="C424" i="26"/>
  <c r="D424" i="26"/>
  <c r="E424" i="26"/>
  <c r="G424" i="26"/>
  <c r="H424" i="26"/>
  <c r="C425" i="26"/>
  <c r="D425" i="26"/>
  <c r="E425" i="26"/>
  <c r="G425" i="26"/>
  <c r="H425" i="26"/>
  <c r="C426" i="26"/>
  <c r="D426" i="26"/>
  <c r="E426" i="26"/>
  <c r="G426" i="26"/>
  <c r="H426" i="26"/>
  <c r="C427" i="26"/>
  <c r="D427" i="26"/>
  <c r="E427" i="26"/>
  <c r="G427" i="26"/>
  <c r="H427" i="26"/>
  <c r="C428" i="26"/>
  <c r="D428" i="26"/>
  <c r="E428" i="26"/>
  <c r="G428" i="26"/>
  <c r="H428" i="26"/>
  <c r="C429" i="26"/>
  <c r="D429" i="26"/>
  <c r="E429" i="26"/>
  <c r="G429" i="26"/>
  <c r="H429" i="26"/>
  <c r="C430" i="26"/>
  <c r="D430" i="26"/>
  <c r="E430" i="26"/>
  <c r="G430" i="26"/>
  <c r="H430" i="26"/>
  <c r="C431" i="26"/>
  <c r="D431" i="26"/>
  <c r="E431" i="26"/>
  <c r="G431" i="26"/>
  <c r="H431" i="26"/>
  <c r="C432" i="26"/>
  <c r="D432" i="26"/>
  <c r="E432" i="26"/>
  <c r="G432" i="26"/>
  <c r="H432" i="26"/>
  <c r="C433" i="26"/>
  <c r="D433" i="26"/>
  <c r="E433" i="26"/>
  <c r="G433" i="26"/>
  <c r="H433" i="26"/>
  <c r="C434" i="26"/>
  <c r="D434" i="26"/>
  <c r="E434" i="26"/>
  <c r="G434" i="26"/>
  <c r="H434" i="26"/>
  <c r="C435" i="26"/>
  <c r="D435" i="26"/>
  <c r="E435" i="26"/>
  <c r="G435" i="26"/>
  <c r="H435" i="26"/>
  <c r="C436" i="26"/>
  <c r="D436" i="26"/>
  <c r="E436" i="26"/>
  <c r="G436" i="26"/>
  <c r="H436" i="26"/>
  <c r="C437" i="26"/>
  <c r="D437" i="26"/>
  <c r="E437" i="26"/>
  <c r="G437" i="26"/>
  <c r="H437" i="26"/>
  <c r="C438" i="26"/>
  <c r="D438" i="26"/>
  <c r="E438" i="26"/>
  <c r="G438" i="26"/>
  <c r="H438" i="26"/>
  <c r="C439" i="26"/>
  <c r="D439" i="26"/>
  <c r="E439" i="26"/>
  <c r="G439" i="26"/>
  <c r="H439" i="26"/>
  <c r="C440" i="26"/>
  <c r="D440" i="26"/>
  <c r="E440" i="26"/>
  <c r="G440" i="26"/>
  <c r="H440" i="26"/>
  <c r="C441" i="26"/>
  <c r="D441" i="26"/>
  <c r="E441" i="26"/>
  <c r="G441" i="26"/>
  <c r="H441" i="26"/>
  <c r="C442" i="26"/>
  <c r="D442" i="26"/>
  <c r="E442" i="26"/>
  <c r="G442" i="26"/>
  <c r="H442" i="26"/>
  <c r="C443" i="26"/>
  <c r="D443" i="26"/>
  <c r="E443" i="26"/>
  <c r="G443" i="26"/>
  <c r="H443" i="26"/>
  <c r="C444" i="26"/>
  <c r="D444" i="26"/>
  <c r="E444" i="26"/>
  <c r="G444" i="26"/>
  <c r="H444" i="26"/>
  <c r="C445" i="26"/>
  <c r="D445" i="26"/>
  <c r="E445" i="26"/>
  <c r="G445" i="26"/>
  <c r="H445" i="26"/>
  <c r="C446" i="26"/>
  <c r="D446" i="26"/>
  <c r="E446" i="26"/>
  <c r="G446" i="26"/>
  <c r="H446" i="26"/>
  <c r="C447" i="26"/>
  <c r="D447" i="26"/>
  <c r="E447" i="26"/>
  <c r="G447" i="26"/>
  <c r="H447" i="26"/>
  <c r="C448" i="26"/>
  <c r="D448" i="26"/>
  <c r="E448" i="26"/>
  <c r="G448" i="26"/>
  <c r="H448" i="26"/>
  <c r="C449" i="26"/>
  <c r="D449" i="26"/>
  <c r="E449" i="26"/>
  <c r="G449" i="26"/>
  <c r="H449" i="26"/>
  <c r="C450" i="26"/>
  <c r="D450" i="26"/>
  <c r="E450" i="26"/>
  <c r="G450" i="26"/>
  <c r="H450" i="26"/>
  <c r="C451" i="26"/>
  <c r="D451" i="26"/>
  <c r="E451" i="26"/>
  <c r="G451" i="26"/>
  <c r="H451" i="26"/>
  <c r="C452" i="26"/>
  <c r="D452" i="26"/>
  <c r="E452" i="26"/>
  <c r="G452" i="26"/>
  <c r="H452" i="26"/>
  <c r="C453" i="26"/>
  <c r="D453" i="26"/>
  <c r="E453" i="26"/>
  <c r="G453" i="26"/>
  <c r="H453" i="26"/>
  <c r="C454" i="26"/>
  <c r="D454" i="26"/>
  <c r="E454" i="26"/>
  <c r="G454" i="26"/>
  <c r="H454" i="26"/>
  <c r="C455" i="26"/>
  <c r="D455" i="26"/>
  <c r="E455" i="26"/>
  <c r="G455" i="26"/>
  <c r="H455" i="26"/>
  <c r="C456" i="26"/>
  <c r="D456" i="26"/>
  <c r="E456" i="26"/>
  <c r="G456" i="26"/>
  <c r="H456" i="26"/>
  <c r="C457" i="26"/>
  <c r="D457" i="26"/>
  <c r="E457" i="26"/>
  <c r="G457" i="26"/>
  <c r="H457" i="26"/>
  <c r="C458" i="26"/>
  <c r="D458" i="26"/>
  <c r="E458" i="26"/>
  <c r="G458" i="26"/>
  <c r="H458" i="26"/>
  <c r="C459" i="26"/>
  <c r="D459" i="26"/>
  <c r="E459" i="26"/>
  <c r="G459" i="26"/>
  <c r="H459" i="26"/>
  <c r="C460" i="26"/>
  <c r="D460" i="26"/>
  <c r="E460" i="26"/>
  <c r="G460" i="26"/>
  <c r="H460" i="26"/>
  <c r="C461" i="26"/>
  <c r="D461" i="26"/>
  <c r="E461" i="26"/>
  <c r="G461" i="26"/>
  <c r="H461" i="26"/>
  <c r="C462" i="26"/>
  <c r="D462" i="26"/>
  <c r="E462" i="26"/>
  <c r="G462" i="26"/>
  <c r="H462" i="26"/>
  <c r="C463" i="26"/>
  <c r="D463" i="26"/>
  <c r="E463" i="26"/>
  <c r="G463" i="26"/>
  <c r="H463" i="26"/>
  <c r="C464" i="26"/>
  <c r="D464" i="26"/>
  <c r="E464" i="26"/>
  <c r="G464" i="26"/>
  <c r="H464" i="26"/>
  <c r="C465" i="26"/>
  <c r="D465" i="26"/>
  <c r="E465" i="26"/>
  <c r="G465" i="26"/>
  <c r="H465" i="26"/>
  <c r="C466" i="26"/>
  <c r="D466" i="26"/>
  <c r="E466" i="26"/>
  <c r="G466" i="26"/>
  <c r="H466" i="26"/>
  <c r="C467" i="26"/>
  <c r="D467" i="26"/>
  <c r="E467" i="26"/>
  <c r="G467" i="26"/>
  <c r="H467" i="26"/>
  <c r="C468" i="26"/>
  <c r="D468" i="26"/>
  <c r="E468" i="26"/>
  <c r="G468" i="26"/>
  <c r="H468" i="26"/>
  <c r="C469" i="26"/>
  <c r="D469" i="26"/>
  <c r="E469" i="26"/>
  <c r="G469" i="26"/>
  <c r="H469" i="26"/>
  <c r="C470" i="26"/>
  <c r="D470" i="26"/>
  <c r="E470" i="26"/>
  <c r="G470" i="26"/>
  <c r="H470" i="26"/>
  <c r="C471" i="26"/>
  <c r="D471" i="26"/>
  <c r="E471" i="26"/>
  <c r="G471" i="26"/>
  <c r="H471" i="26"/>
  <c r="C472" i="26"/>
  <c r="D472" i="26"/>
  <c r="E472" i="26"/>
  <c r="G472" i="26"/>
  <c r="H472" i="26"/>
  <c r="C473" i="26"/>
  <c r="D473" i="26"/>
  <c r="E473" i="26"/>
  <c r="G473" i="26"/>
  <c r="H473" i="26"/>
  <c r="C396" i="26"/>
  <c r="D396" i="26"/>
  <c r="E396" i="26"/>
  <c r="G396" i="26"/>
  <c r="H396" i="26"/>
  <c r="C319" i="26"/>
  <c r="D319" i="26"/>
  <c r="E319" i="26"/>
  <c r="G319" i="26"/>
  <c r="H319" i="26"/>
  <c r="C320" i="26"/>
  <c r="D320" i="26"/>
  <c r="E320" i="26"/>
  <c r="G320" i="26"/>
  <c r="H320" i="26"/>
  <c r="C321" i="26"/>
  <c r="D321" i="26"/>
  <c r="E321" i="26"/>
  <c r="G321" i="26"/>
  <c r="G11" i="40"/>
  <c r="O11" i="40"/>
  <c r="H321" i="26"/>
  <c r="C322" i="26"/>
  <c r="D322" i="26"/>
  <c r="E322" i="26"/>
  <c r="G322" i="26"/>
  <c r="H322" i="26"/>
  <c r="C323" i="26"/>
  <c r="D323" i="26"/>
  <c r="E323" i="26"/>
  <c r="G323" i="26"/>
  <c r="H323" i="26"/>
  <c r="C324" i="26"/>
  <c r="D324" i="26"/>
  <c r="E324" i="26"/>
  <c r="G324" i="26"/>
  <c r="H324" i="26"/>
  <c r="C325" i="26"/>
  <c r="D325" i="26"/>
  <c r="E325" i="26"/>
  <c r="G325" i="26"/>
  <c r="H325" i="26"/>
  <c r="C326" i="26"/>
  <c r="D326" i="26"/>
  <c r="E326" i="26"/>
  <c r="G326" i="26"/>
  <c r="H326" i="26"/>
  <c r="C327" i="26"/>
  <c r="D327" i="26"/>
  <c r="E327" i="26"/>
  <c r="G327" i="26"/>
  <c r="H327" i="26"/>
  <c r="C328" i="26"/>
  <c r="D328" i="26"/>
  <c r="E328" i="26"/>
  <c r="G328" i="26"/>
  <c r="H328" i="26"/>
  <c r="C329" i="26"/>
  <c r="D329" i="26"/>
  <c r="E329" i="26"/>
  <c r="G329" i="26"/>
  <c r="H329" i="26"/>
  <c r="C330" i="26"/>
  <c r="D330" i="26"/>
  <c r="E330" i="26"/>
  <c r="G330" i="26"/>
  <c r="H330" i="26"/>
  <c r="C331" i="26"/>
  <c r="D331" i="26"/>
  <c r="E331" i="26"/>
  <c r="G331" i="26"/>
  <c r="H331" i="26"/>
  <c r="C332" i="26"/>
  <c r="D332" i="26"/>
  <c r="E332" i="26"/>
  <c r="G332" i="26"/>
  <c r="H332" i="26"/>
  <c r="C333" i="26"/>
  <c r="D333" i="26"/>
  <c r="E333" i="26"/>
  <c r="G333" i="26"/>
  <c r="H333" i="26"/>
  <c r="C334" i="26"/>
  <c r="D334" i="26"/>
  <c r="E334" i="26"/>
  <c r="G334" i="26"/>
  <c r="H334" i="26"/>
  <c r="C335" i="26"/>
  <c r="D335" i="26"/>
  <c r="E335" i="26"/>
  <c r="G335" i="26"/>
  <c r="H335" i="26"/>
  <c r="C336" i="26"/>
  <c r="D336" i="26"/>
  <c r="E336" i="26"/>
  <c r="G336" i="26"/>
  <c r="H336" i="26"/>
  <c r="C337" i="26"/>
  <c r="D337" i="26"/>
  <c r="E337" i="26"/>
  <c r="G337" i="26"/>
  <c r="H337" i="26"/>
  <c r="C338" i="26"/>
  <c r="D338" i="26"/>
  <c r="E338" i="26"/>
  <c r="G338" i="26"/>
  <c r="H338" i="26"/>
  <c r="C339" i="26"/>
  <c r="D339" i="26"/>
  <c r="E339" i="26"/>
  <c r="G339" i="26"/>
  <c r="H339" i="26"/>
  <c r="C340" i="26"/>
  <c r="D340" i="26"/>
  <c r="E340" i="26"/>
  <c r="G340" i="26"/>
  <c r="H340" i="26"/>
  <c r="C341" i="26"/>
  <c r="D341" i="26"/>
  <c r="E341" i="26"/>
  <c r="G341" i="26"/>
  <c r="H341" i="26"/>
  <c r="C342" i="26"/>
  <c r="D342" i="26"/>
  <c r="E342" i="26"/>
  <c r="G342" i="26"/>
  <c r="H342" i="26"/>
  <c r="C343" i="26"/>
  <c r="D343" i="26"/>
  <c r="E343" i="26"/>
  <c r="G343" i="26"/>
  <c r="H343" i="26"/>
  <c r="C344" i="26"/>
  <c r="D344" i="26"/>
  <c r="E344" i="26"/>
  <c r="G344" i="26"/>
  <c r="H344" i="26"/>
  <c r="C345" i="26"/>
  <c r="D345" i="26"/>
  <c r="E345" i="26"/>
  <c r="G345" i="26"/>
  <c r="H345" i="26"/>
  <c r="C346" i="26"/>
  <c r="D346" i="26"/>
  <c r="E346" i="26"/>
  <c r="G346" i="26"/>
  <c r="H346" i="26"/>
  <c r="C347" i="26"/>
  <c r="D347" i="26"/>
  <c r="E347" i="26"/>
  <c r="G347" i="26"/>
  <c r="H347" i="26"/>
  <c r="C348" i="26"/>
  <c r="D348" i="26"/>
  <c r="E348" i="26"/>
  <c r="G348" i="26"/>
  <c r="H348" i="26"/>
  <c r="C349" i="26"/>
  <c r="D349" i="26"/>
  <c r="E349" i="26"/>
  <c r="G349" i="26"/>
  <c r="H349" i="26"/>
  <c r="C350" i="26"/>
  <c r="D350" i="26"/>
  <c r="E350" i="26"/>
  <c r="G350" i="26"/>
  <c r="H350" i="26"/>
  <c r="C351" i="26"/>
  <c r="D351" i="26"/>
  <c r="E351" i="26"/>
  <c r="G351" i="26"/>
  <c r="H351" i="26"/>
  <c r="C352" i="26"/>
  <c r="D352" i="26"/>
  <c r="E352" i="26"/>
  <c r="G352" i="26"/>
  <c r="H352" i="26"/>
  <c r="C353" i="26"/>
  <c r="D353" i="26"/>
  <c r="E353" i="26"/>
  <c r="G353" i="26"/>
  <c r="H353" i="26"/>
  <c r="C354" i="26"/>
  <c r="D354" i="26"/>
  <c r="E354" i="26"/>
  <c r="G354" i="26"/>
  <c r="H354" i="26"/>
  <c r="C355" i="26"/>
  <c r="D355" i="26"/>
  <c r="E355" i="26"/>
  <c r="G355" i="26"/>
  <c r="H355" i="26"/>
  <c r="C356" i="26"/>
  <c r="D356" i="26"/>
  <c r="E356" i="26"/>
  <c r="G356" i="26"/>
  <c r="H356" i="26"/>
  <c r="C357" i="26"/>
  <c r="D357" i="26"/>
  <c r="E357" i="26"/>
  <c r="G357" i="26"/>
  <c r="H357" i="26"/>
  <c r="C358" i="26"/>
  <c r="D358" i="26"/>
  <c r="E358" i="26"/>
  <c r="G358" i="26"/>
  <c r="H358" i="26"/>
  <c r="C359" i="26"/>
  <c r="D359" i="26"/>
  <c r="E359" i="26"/>
  <c r="G359" i="26"/>
  <c r="H359" i="26"/>
  <c r="C360" i="26"/>
  <c r="D360" i="26"/>
  <c r="E360" i="26"/>
  <c r="G360" i="26"/>
  <c r="H360" i="26"/>
  <c r="C361" i="26"/>
  <c r="D361" i="26"/>
  <c r="E361" i="26"/>
  <c r="G361" i="26"/>
  <c r="H361" i="26"/>
  <c r="C362" i="26"/>
  <c r="D362" i="26"/>
  <c r="E362" i="26"/>
  <c r="G362" i="26"/>
  <c r="H362" i="26"/>
  <c r="C363" i="26"/>
  <c r="D363" i="26"/>
  <c r="E363" i="26"/>
  <c r="G363" i="26"/>
  <c r="H363" i="26"/>
  <c r="C364" i="26"/>
  <c r="D364" i="26"/>
  <c r="E364" i="26"/>
  <c r="G364" i="26"/>
  <c r="H364" i="26"/>
  <c r="C365" i="26"/>
  <c r="D365" i="26"/>
  <c r="E365" i="26"/>
  <c r="G365" i="26"/>
  <c r="H365" i="26"/>
  <c r="C366" i="26"/>
  <c r="D366" i="26"/>
  <c r="E366" i="26"/>
  <c r="G366" i="26"/>
  <c r="H366" i="26"/>
  <c r="C367" i="26"/>
  <c r="D367" i="26"/>
  <c r="E367" i="26"/>
  <c r="G367" i="26"/>
  <c r="H367" i="26"/>
  <c r="C368" i="26"/>
  <c r="D368" i="26"/>
  <c r="E368" i="26"/>
  <c r="G368" i="26"/>
  <c r="H368" i="26"/>
  <c r="C369" i="26"/>
  <c r="D369" i="26"/>
  <c r="E369" i="26"/>
  <c r="G369" i="26"/>
  <c r="H369" i="26"/>
  <c r="C370" i="26"/>
  <c r="D370" i="26"/>
  <c r="E370" i="26"/>
  <c r="G370" i="26"/>
  <c r="H370" i="26"/>
  <c r="C371" i="26"/>
  <c r="D371" i="26"/>
  <c r="E371" i="26"/>
  <c r="G371" i="26"/>
  <c r="H371" i="26"/>
  <c r="C372" i="26"/>
  <c r="D372" i="26"/>
  <c r="E372" i="26"/>
  <c r="G372" i="26"/>
  <c r="H372" i="26"/>
  <c r="C373" i="26"/>
  <c r="D373" i="26"/>
  <c r="E373" i="26"/>
  <c r="G373" i="26"/>
  <c r="H373" i="26"/>
  <c r="C374" i="26"/>
  <c r="D374" i="26"/>
  <c r="E374" i="26"/>
  <c r="G374" i="26"/>
  <c r="H374" i="26"/>
  <c r="C375" i="26"/>
  <c r="D375" i="26"/>
  <c r="E375" i="26"/>
  <c r="G375" i="26"/>
  <c r="H375" i="26"/>
  <c r="C376" i="26"/>
  <c r="D376" i="26"/>
  <c r="E376" i="26"/>
  <c r="G376" i="26"/>
  <c r="H376" i="26"/>
  <c r="C377" i="26"/>
  <c r="D377" i="26"/>
  <c r="E377" i="26"/>
  <c r="G377" i="26"/>
  <c r="H377" i="26"/>
  <c r="C378" i="26"/>
  <c r="D378" i="26"/>
  <c r="E378" i="26"/>
  <c r="G378" i="26"/>
  <c r="H378" i="26"/>
  <c r="C379" i="26"/>
  <c r="D379" i="26"/>
  <c r="E379" i="26"/>
  <c r="G379" i="26"/>
  <c r="H379" i="26"/>
  <c r="C380" i="26"/>
  <c r="D380" i="26"/>
  <c r="E380" i="26"/>
  <c r="G380" i="26"/>
  <c r="H380" i="26"/>
  <c r="C381" i="26"/>
  <c r="D381" i="26"/>
  <c r="E381" i="26"/>
  <c r="G381" i="26"/>
  <c r="H381" i="26"/>
  <c r="C382" i="26"/>
  <c r="D382" i="26"/>
  <c r="E382" i="26"/>
  <c r="G382" i="26"/>
  <c r="H382" i="26"/>
  <c r="C383" i="26"/>
  <c r="D383" i="26"/>
  <c r="E383" i="26"/>
  <c r="G383" i="26"/>
  <c r="H383" i="26"/>
  <c r="C384" i="26"/>
  <c r="D384" i="26"/>
  <c r="E384" i="26"/>
  <c r="G384" i="26"/>
  <c r="H384" i="26"/>
  <c r="C385" i="26"/>
  <c r="D385" i="26"/>
  <c r="E385" i="26"/>
  <c r="G385" i="26"/>
  <c r="H385" i="26"/>
  <c r="C386" i="26"/>
  <c r="D386" i="26"/>
  <c r="E386" i="26"/>
  <c r="G386" i="26"/>
  <c r="H386" i="26"/>
  <c r="C387" i="26"/>
  <c r="D387" i="26"/>
  <c r="E387" i="26"/>
  <c r="G387" i="26"/>
  <c r="H387" i="26"/>
  <c r="C388" i="26"/>
  <c r="D388" i="26"/>
  <c r="E388" i="26"/>
  <c r="G388" i="26"/>
  <c r="H388" i="26"/>
  <c r="C389" i="26"/>
  <c r="D389" i="26"/>
  <c r="E389" i="26"/>
  <c r="G389" i="26"/>
  <c r="H389" i="26"/>
  <c r="C390" i="26"/>
  <c r="D390" i="26"/>
  <c r="E390" i="26"/>
  <c r="G390" i="26"/>
  <c r="H390" i="26"/>
  <c r="C391" i="26"/>
  <c r="D391" i="26"/>
  <c r="E391" i="26"/>
  <c r="G391" i="26"/>
  <c r="H391" i="26"/>
  <c r="C392" i="26"/>
  <c r="D392" i="26"/>
  <c r="E392" i="26"/>
  <c r="G392" i="26"/>
  <c r="H392" i="26"/>
  <c r="C393" i="26"/>
  <c r="D393" i="26"/>
  <c r="E393" i="26"/>
  <c r="G393" i="26"/>
  <c r="H393" i="26"/>
  <c r="C394" i="26"/>
  <c r="D394" i="26"/>
  <c r="E394" i="26"/>
  <c r="G394" i="26"/>
  <c r="H394" i="26"/>
  <c r="C395" i="26"/>
  <c r="D395" i="26"/>
  <c r="E395" i="26"/>
  <c r="G395" i="26"/>
  <c r="H395" i="26"/>
  <c r="H318" i="26"/>
  <c r="G318" i="26"/>
  <c r="E318" i="26"/>
  <c r="D318" i="26"/>
  <c r="C318" i="26"/>
  <c r="C241" i="26"/>
  <c r="D241" i="26"/>
  <c r="E241" i="26"/>
  <c r="G241" i="26"/>
  <c r="H241" i="26"/>
  <c r="C242" i="26"/>
  <c r="D242" i="26"/>
  <c r="E242" i="26"/>
  <c r="G242" i="26"/>
  <c r="H242" i="26"/>
  <c r="C243" i="26"/>
  <c r="D243" i="26"/>
  <c r="E243" i="26"/>
  <c r="G243" i="26"/>
  <c r="H243" i="26"/>
  <c r="C244" i="26"/>
  <c r="D244" i="26"/>
  <c r="E244" i="26"/>
  <c r="G244" i="26"/>
  <c r="H244" i="26"/>
  <c r="C245" i="26"/>
  <c r="D245" i="26"/>
  <c r="E245" i="26"/>
  <c r="G245" i="26"/>
  <c r="H245" i="26"/>
  <c r="C246" i="26"/>
  <c r="D246" i="26"/>
  <c r="E246" i="26"/>
  <c r="G246" i="26"/>
  <c r="H246" i="26"/>
  <c r="C247" i="26"/>
  <c r="D247" i="26"/>
  <c r="E247" i="26"/>
  <c r="G247" i="26"/>
  <c r="H247" i="26"/>
  <c r="C248" i="26"/>
  <c r="D248" i="26"/>
  <c r="E248" i="26"/>
  <c r="G248" i="26"/>
  <c r="H248" i="26"/>
  <c r="C249" i="26"/>
  <c r="D249" i="26"/>
  <c r="E249" i="26"/>
  <c r="G249" i="26"/>
  <c r="H249" i="26"/>
  <c r="C250" i="26"/>
  <c r="D250" i="26"/>
  <c r="E250" i="26"/>
  <c r="G250" i="26"/>
  <c r="H250" i="26"/>
  <c r="C251" i="26"/>
  <c r="D251" i="26"/>
  <c r="E251" i="26"/>
  <c r="G251" i="26"/>
  <c r="H251" i="26"/>
  <c r="C252" i="26"/>
  <c r="D252" i="26"/>
  <c r="E252" i="26"/>
  <c r="G252" i="26"/>
  <c r="H252" i="26"/>
  <c r="C253" i="26"/>
  <c r="D253" i="26"/>
  <c r="E253" i="26"/>
  <c r="G253" i="26"/>
  <c r="H253" i="26"/>
  <c r="C254" i="26"/>
  <c r="D254" i="26"/>
  <c r="E254" i="26"/>
  <c r="G254" i="26"/>
  <c r="H254" i="26"/>
  <c r="C255" i="26"/>
  <c r="D255" i="26"/>
  <c r="E255" i="26"/>
  <c r="G255" i="26"/>
  <c r="H255" i="26"/>
  <c r="C256" i="26"/>
  <c r="D256" i="26"/>
  <c r="E256" i="26"/>
  <c r="G256" i="26"/>
  <c r="H256" i="26"/>
  <c r="C257" i="26"/>
  <c r="D257" i="26"/>
  <c r="E257" i="26"/>
  <c r="G257" i="26"/>
  <c r="H257" i="26"/>
  <c r="C258" i="26"/>
  <c r="D258" i="26"/>
  <c r="E258" i="26"/>
  <c r="G258" i="26"/>
  <c r="H258" i="26"/>
  <c r="C259" i="26"/>
  <c r="D259" i="26"/>
  <c r="E259" i="26"/>
  <c r="G259" i="26"/>
  <c r="H259" i="26"/>
  <c r="C260" i="26"/>
  <c r="D260" i="26"/>
  <c r="E260" i="26"/>
  <c r="G260" i="26"/>
  <c r="H260" i="26"/>
  <c r="C261" i="26"/>
  <c r="D261" i="26"/>
  <c r="E261" i="26"/>
  <c r="G261" i="26"/>
  <c r="H261" i="26"/>
  <c r="C262" i="26"/>
  <c r="D262" i="26"/>
  <c r="E262" i="26"/>
  <c r="G262" i="26"/>
  <c r="H262" i="26"/>
  <c r="C263" i="26"/>
  <c r="D263" i="26"/>
  <c r="E263" i="26"/>
  <c r="G263" i="26"/>
  <c r="H263" i="26"/>
  <c r="C264" i="26"/>
  <c r="D264" i="26"/>
  <c r="E264" i="26"/>
  <c r="G264" i="26"/>
  <c r="H264" i="26"/>
  <c r="C265" i="26"/>
  <c r="D265" i="26"/>
  <c r="E265" i="26"/>
  <c r="G265" i="26"/>
  <c r="H265" i="26"/>
  <c r="C266" i="26"/>
  <c r="D266" i="26"/>
  <c r="E266" i="26"/>
  <c r="G266" i="26"/>
  <c r="H266" i="26"/>
  <c r="C267" i="26"/>
  <c r="D267" i="26"/>
  <c r="E267" i="26"/>
  <c r="G267" i="26"/>
  <c r="H267" i="26"/>
  <c r="C268" i="26"/>
  <c r="D268" i="26"/>
  <c r="E268" i="26"/>
  <c r="G268" i="26"/>
  <c r="H268" i="26"/>
  <c r="C269" i="26"/>
  <c r="D269" i="26"/>
  <c r="E269" i="26"/>
  <c r="G269" i="26"/>
  <c r="H269" i="26"/>
  <c r="C270" i="26"/>
  <c r="D270" i="26"/>
  <c r="E270" i="26"/>
  <c r="G270" i="26"/>
  <c r="H270" i="26"/>
  <c r="C271" i="26"/>
  <c r="D271" i="26"/>
  <c r="E271" i="26"/>
  <c r="G271" i="26"/>
  <c r="H271" i="26"/>
  <c r="C272" i="26"/>
  <c r="D272" i="26"/>
  <c r="E272" i="26"/>
  <c r="G272" i="26"/>
  <c r="H272" i="26"/>
  <c r="C273" i="26"/>
  <c r="D273" i="26"/>
  <c r="E273" i="26"/>
  <c r="G273" i="26"/>
  <c r="H273" i="26"/>
  <c r="C274" i="26"/>
  <c r="D274" i="26"/>
  <c r="E274" i="26"/>
  <c r="G274" i="26"/>
  <c r="H274" i="26"/>
  <c r="C275" i="26"/>
  <c r="D275" i="26"/>
  <c r="E275" i="26"/>
  <c r="G275" i="26"/>
  <c r="H275" i="26"/>
  <c r="C276" i="26"/>
  <c r="D276" i="26"/>
  <c r="E276" i="26"/>
  <c r="G276" i="26"/>
  <c r="H276" i="26"/>
  <c r="C277" i="26"/>
  <c r="D277" i="26"/>
  <c r="E277" i="26"/>
  <c r="G277" i="26"/>
  <c r="H277" i="26"/>
  <c r="C278" i="26"/>
  <c r="D278" i="26"/>
  <c r="E278" i="26"/>
  <c r="G278" i="26"/>
  <c r="H278" i="26"/>
  <c r="C279" i="26"/>
  <c r="D279" i="26"/>
  <c r="E279" i="26"/>
  <c r="G279" i="26"/>
  <c r="H279" i="26"/>
  <c r="C280" i="26"/>
  <c r="D280" i="26"/>
  <c r="E280" i="26"/>
  <c r="G280" i="26"/>
  <c r="H280" i="26"/>
  <c r="C281" i="26"/>
  <c r="D281" i="26"/>
  <c r="E281" i="26"/>
  <c r="G281" i="26"/>
  <c r="H281" i="26"/>
  <c r="C282" i="26"/>
  <c r="D282" i="26"/>
  <c r="E282" i="26"/>
  <c r="G282" i="26"/>
  <c r="H282" i="26"/>
  <c r="C283" i="26"/>
  <c r="D283" i="26"/>
  <c r="E283" i="26"/>
  <c r="G283" i="26"/>
  <c r="H283" i="26"/>
  <c r="C284" i="26"/>
  <c r="D284" i="26"/>
  <c r="E284" i="26"/>
  <c r="G284" i="26"/>
  <c r="H284" i="26"/>
  <c r="C285" i="26"/>
  <c r="D285" i="26"/>
  <c r="E285" i="26"/>
  <c r="G285" i="26"/>
  <c r="H285" i="26"/>
  <c r="C286" i="26"/>
  <c r="D286" i="26"/>
  <c r="E286" i="26"/>
  <c r="G286" i="26"/>
  <c r="H286" i="26"/>
  <c r="C287" i="26"/>
  <c r="D287" i="26"/>
  <c r="E287" i="26"/>
  <c r="G287" i="26"/>
  <c r="H287" i="26"/>
  <c r="C288" i="26"/>
  <c r="D288" i="26"/>
  <c r="E288" i="26"/>
  <c r="G288" i="26"/>
  <c r="H288" i="26"/>
  <c r="C289" i="26"/>
  <c r="D289" i="26"/>
  <c r="E289" i="26"/>
  <c r="G289" i="26"/>
  <c r="H289" i="26"/>
  <c r="C290" i="26"/>
  <c r="D290" i="26"/>
  <c r="E290" i="26"/>
  <c r="G290" i="26"/>
  <c r="H290" i="26"/>
  <c r="C291" i="26"/>
  <c r="D291" i="26"/>
  <c r="E291" i="26"/>
  <c r="G291" i="26"/>
  <c r="H291" i="26"/>
  <c r="C292" i="26"/>
  <c r="D292" i="26"/>
  <c r="E292" i="26"/>
  <c r="G292" i="26"/>
  <c r="H292" i="26"/>
  <c r="C293" i="26"/>
  <c r="D293" i="26"/>
  <c r="E293" i="26"/>
  <c r="G293" i="26"/>
  <c r="H293" i="26"/>
  <c r="C294" i="26"/>
  <c r="D294" i="26"/>
  <c r="E294" i="26"/>
  <c r="G294" i="26"/>
  <c r="H294" i="26"/>
  <c r="C295" i="26"/>
  <c r="D295" i="26"/>
  <c r="E295" i="26"/>
  <c r="G295" i="26"/>
  <c r="H295" i="26"/>
  <c r="C296" i="26"/>
  <c r="D296" i="26"/>
  <c r="E296" i="26"/>
  <c r="G296" i="26"/>
  <c r="H296" i="26"/>
  <c r="C297" i="26"/>
  <c r="D297" i="26"/>
  <c r="E297" i="26"/>
  <c r="G297" i="26"/>
  <c r="H297" i="26"/>
  <c r="C298" i="26"/>
  <c r="D298" i="26"/>
  <c r="E298" i="26"/>
  <c r="G298" i="26"/>
  <c r="H298" i="26"/>
  <c r="C299" i="26"/>
  <c r="D299" i="26"/>
  <c r="E299" i="26"/>
  <c r="G299" i="26"/>
  <c r="H299" i="26"/>
  <c r="C300" i="26"/>
  <c r="D300" i="26"/>
  <c r="E300" i="26"/>
  <c r="G300" i="26"/>
  <c r="H300" i="26"/>
  <c r="C301" i="26"/>
  <c r="D301" i="26"/>
  <c r="E301" i="26"/>
  <c r="G301" i="26"/>
  <c r="H301" i="26"/>
  <c r="C302" i="26"/>
  <c r="D302" i="26"/>
  <c r="E302" i="26"/>
  <c r="G302" i="26"/>
  <c r="H302" i="26"/>
  <c r="C303" i="26"/>
  <c r="D303" i="26"/>
  <c r="E303" i="26"/>
  <c r="G303" i="26"/>
  <c r="H303" i="26"/>
  <c r="C304" i="26"/>
  <c r="D304" i="26"/>
  <c r="E304" i="26"/>
  <c r="G304" i="26"/>
  <c r="H304" i="26"/>
  <c r="C305" i="26"/>
  <c r="D305" i="26"/>
  <c r="E305" i="26"/>
  <c r="G305" i="26"/>
  <c r="H305" i="26"/>
  <c r="C306" i="26"/>
  <c r="D306" i="26"/>
  <c r="E306" i="26"/>
  <c r="G306" i="26"/>
  <c r="H306" i="26"/>
  <c r="C307" i="26"/>
  <c r="D307" i="26"/>
  <c r="E307" i="26"/>
  <c r="G307" i="26"/>
  <c r="H307" i="26"/>
  <c r="C308" i="26"/>
  <c r="D308" i="26"/>
  <c r="E308" i="26"/>
  <c r="G308" i="26"/>
  <c r="H308" i="26"/>
  <c r="C309" i="26"/>
  <c r="D309" i="26"/>
  <c r="E309" i="26"/>
  <c r="G309" i="26"/>
  <c r="H309" i="26"/>
  <c r="C310" i="26"/>
  <c r="D310" i="26"/>
  <c r="E310" i="26"/>
  <c r="G310" i="26"/>
  <c r="H310" i="26"/>
  <c r="C311" i="26"/>
  <c r="D311" i="26"/>
  <c r="E311" i="26"/>
  <c r="G311" i="26"/>
  <c r="H311" i="26"/>
  <c r="C312" i="26"/>
  <c r="D312" i="26"/>
  <c r="E312" i="26"/>
  <c r="G312" i="26"/>
  <c r="H312" i="26"/>
  <c r="C313" i="26"/>
  <c r="D313" i="26"/>
  <c r="E313" i="26"/>
  <c r="G313" i="26"/>
  <c r="H313" i="26"/>
  <c r="C314" i="26"/>
  <c r="D314" i="26"/>
  <c r="E314" i="26"/>
  <c r="G314" i="26"/>
  <c r="H314" i="26"/>
  <c r="C315" i="26"/>
  <c r="D315" i="26"/>
  <c r="E315" i="26"/>
  <c r="G315" i="26"/>
  <c r="H315" i="26"/>
  <c r="C316" i="26"/>
  <c r="D316" i="26"/>
  <c r="E316" i="26"/>
  <c r="G316" i="26"/>
  <c r="H316" i="26"/>
  <c r="C317" i="26"/>
  <c r="D317" i="26"/>
  <c r="E317" i="26"/>
  <c r="G317" i="26"/>
  <c r="H317" i="26"/>
  <c r="H240" i="26"/>
  <c r="G240" i="26"/>
  <c r="E240" i="26"/>
  <c r="D240" i="26"/>
  <c r="C240" i="26"/>
  <c r="H239" i="26"/>
  <c r="G239" i="26"/>
  <c r="E239" i="26"/>
  <c r="D239" i="26"/>
  <c r="C239" i="26"/>
  <c r="H238" i="26"/>
  <c r="G238" i="26"/>
  <c r="E238" i="26"/>
  <c r="D238" i="26"/>
  <c r="C238" i="26"/>
  <c r="H237" i="26"/>
  <c r="G237" i="26"/>
  <c r="E237" i="26"/>
  <c r="D237" i="26"/>
  <c r="C237" i="26"/>
  <c r="H236" i="26"/>
  <c r="G236" i="26"/>
  <c r="E236" i="26"/>
  <c r="D236" i="26"/>
  <c r="C236" i="26"/>
  <c r="H235" i="26"/>
  <c r="G235" i="26"/>
  <c r="E235" i="26"/>
  <c r="D235" i="26"/>
  <c r="C235" i="26"/>
  <c r="H234" i="26"/>
  <c r="G234" i="26"/>
  <c r="E234" i="26"/>
  <c r="D234" i="26"/>
  <c r="C234" i="26"/>
  <c r="H233" i="26"/>
  <c r="G233" i="26"/>
  <c r="E233" i="26"/>
  <c r="D233" i="26"/>
  <c r="C233" i="26"/>
  <c r="H232" i="26"/>
  <c r="G232" i="26"/>
  <c r="E232" i="26"/>
  <c r="D232" i="26"/>
  <c r="C232" i="26"/>
  <c r="H231" i="26"/>
  <c r="G231" i="26"/>
  <c r="E231" i="26"/>
  <c r="D231" i="26"/>
  <c r="C231" i="26"/>
  <c r="H230" i="26"/>
  <c r="G230" i="26"/>
  <c r="E230" i="26"/>
  <c r="D230" i="26"/>
  <c r="C230" i="26"/>
  <c r="H229" i="26"/>
  <c r="G229" i="26"/>
  <c r="E229" i="26"/>
  <c r="D229" i="26"/>
  <c r="C229" i="26"/>
  <c r="H228" i="26"/>
  <c r="G228" i="26"/>
  <c r="E228" i="26"/>
  <c r="D228" i="26"/>
  <c r="C228" i="26"/>
  <c r="H227" i="26"/>
  <c r="G227" i="26"/>
  <c r="E227" i="26"/>
  <c r="D227" i="26"/>
  <c r="C227" i="26"/>
  <c r="H226" i="26"/>
  <c r="G226" i="26"/>
  <c r="E226" i="26"/>
  <c r="D226" i="26"/>
  <c r="C226" i="26"/>
  <c r="H225" i="26"/>
  <c r="G225" i="26"/>
  <c r="E225" i="26"/>
  <c r="D225" i="26"/>
  <c r="C225" i="26"/>
  <c r="H224" i="26"/>
  <c r="G224" i="26"/>
  <c r="E224" i="26"/>
  <c r="D224" i="26"/>
  <c r="C224" i="26"/>
  <c r="H223" i="26"/>
  <c r="G223" i="26"/>
  <c r="E223" i="26"/>
  <c r="D223" i="26"/>
  <c r="C223" i="26"/>
  <c r="H222" i="26"/>
  <c r="G222" i="26"/>
  <c r="E222" i="26"/>
  <c r="D222" i="26"/>
  <c r="C222" i="26"/>
  <c r="H221" i="26"/>
  <c r="G221" i="26"/>
  <c r="E221" i="26"/>
  <c r="D221" i="26"/>
  <c r="C221" i="26"/>
  <c r="H220" i="26"/>
  <c r="G220" i="26"/>
  <c r="E220" i="26"/>
  <c r="D220" i="26"/>
  <c r="C220" i="26"/>
  <c r="H219" i="26"/>
  <c r="G219" i="26"/>
  <c r="E219" i="26"/>
  <c r="D219" i="26"/>
  <c r="C219" i="26"/>
  <c r="H218" i="26"/>
  <c r="G218" i="26"/>
  <c r="E218" i="26"/>
  <c r="D218" i="26"/>
  <c r="C218" i="26"/>
  <c r="H217" i="26"/>
  <c r="G217" i="26"/>
  <c r="E217" i="26"/>
  <c r="D217" i="26"/>
  <c r="C217" i="26"/>
  <c r="H216" i="26"/>
  <c r="G216" i="26"/>
  <c r="E216" i="26"/>
  <c r="D216" i="26"/>
  <c r="C216" i="26"/>
  <c r="H215" i="26"/>
  <c r="G215" i="26"/>
  <c r="E215" i="26"/>
  <c r="D215" i="26"/>
  <c r="C215" i="26"/>
  <c r="H214" i="26"/>
  <c r="G214" i="26"/>
  <c r="E214" i="26"/>
  <c r="D214" i="26"/>
  <c r="C214" i="26"/>
  <c r="H213" i="26"/>
  <c r="G213" i="26"/>
  <c r="E213" i="26"/>
  <c r="D213" i="26"/>
  <c r="C213" i="26"/>
  <c r="H212" i="26"/>
  <c r="G212" i="26"/>
  <c r="E212" i="26"/>
  <c r="D212" i="26"/>
  <c r="C212" i="26"/>
  <c r="H211" i="26"/>
  <c r="G211" i="26"/>
  <c r="E211" i="26"/>
  <c r="D211" i="26"/>
  <c r="C211" i="26"/>
  <c r="H210" i="26"/>
  <c r="G210" i="26"/>
  <c r="E210" i="26"/>
  <c r="D210" i="26"/>
  <c r="C210" i="26"/>
  <c r="H209" i="26"/>
  <c r="G209" i="26"/>
  <c r="E209" i="26"/>
  <c r="D209" i="26"/>
  <c r="C209" i="26"/>
  <c r="H208" i="26"/>
  <c r="G208" i="26"/>
  <c r="E208" i="26"/>
  <c r="D208" i="26"/>
  <c r="C208" i="26"/>
  <c r="H207" i="26"/>
  <c r="G207" i="26"/>
  <c r="E207" i="26"/>
  <c r="D207" i="26"/>
  <c r="C207" i="26"/>
  <c r="H206" i="26"/>
  <c r="G206" i="26"/>
  <c r="E206" i="26"/>
  <c r="D206" i="26"/>
  <c r="C206" i="26"/>
  <c r="H205" i="26"/>
  <c r="G205" i="26"/>
  <c r="E205" i="26"/>
  <c r="D205" i="26"/>
  <c r="C205" i="26"/>
  <c r="H204" i="26"/>
  <c r="G204" i="26"/>
  <c r="E204" i="26"/>
  <c r="D204" i="26"/>
  <c r="C204" i="26"/>
  <c r="H203" i="26"/>
  <c r="G203" i="26"/>
  <c r="E203" i="26"/>
  <c r="D203" i="26"/>
  <c r="C203" i="26"/>
  <c r="H202" i="26"/>
  <c r="G202" i="26"/>
  <c r="E202" i="26"/>
  <c r="D202" i="26"/>
  <c r="C202" i="26"/>
  <c r="H201" i="26"/>
  <c r="G201" i="26"/>
  <c r="E201" i="26"/>
  <c r="D201" i="26"/>
  <c r="C201" i="26"/>
  <c r="H200" i="26"/>
  <c r="G200" i="26"/>
  <c r="E200" i="26"/>
  <c r="D200" i="26"/>
  <c r="C200" i="26"/>
  <c r="H199" i="26"/>
  <c r="G199" i="26"/>
  <c r="E199" i="26"/>
  <c r="D199" i="26"/>
  <c r="C199" i="26"/>
  <c r="H198" i="26"/>
  <c r="G198" i="26"/>
  <c r="E198" i="26"/>
  <c r="D198" i="26"/>
  <c r="C198" i="26"/>
  <c r="H197" i="26"/>
  <c r="G197" i="26"/>
  <c r="E197" i="26"/>
  <c r="D197" i="26"/>
  <c r="C197" i="26"/>
  <c r="H196" i="26"/>
  <c r="G196" i="26"/>
  <c r="E196" i="26"/>
  <c r="D196" i="26"/>
  <c r="C196" i="26"/>
  <c r="H195" i="26"/>
  <c r="G195" i="26"/>
  <c r="E195" i="26"/>
  <c r="D195" i="26"/>
  <c r="C195" i="26"/>
  <c r="H194" i="26"/>
  <c r="G194" i="26"/>
  <c r="E194" i="26"/>
  <c r="D194" i="26"/>
  <c r="C194" i="26"/>
  <c r="H193" i="26"/>
  <c r="G193" i="26"/>
  <c r="E193" i="26"/>
  <c r="D193" i="26"/>
  <c r="C193" i="26"/>
  <c r="H192" i="26"/>
  <c r="G192" i="26"/>
  <c r="E192" i="26"/>
  <c r="D192" i="26"/>
  <c r="C192" i="26"/>
  <c r="H191" i="26"/>
  <c r="G191" i="26"/>
  <c r="E191" i="26"/>
  <c r="D191" i="26"/>
  <c r="C191" i="26"/>
  <c r="H190" i="26"/>
  <c r="G190" i="26"/>
  <c r="E190" i="26"/>
  <c r="D190" i="26"/>
  <c r="C190" i="26"/>
  <c r="H189" i="26"/>
  <c r="G189" i="26"/>
  <c r="E189" i="26"/>
  <c r="D189" i="26"/>
  <c r="C189" i="26"/>
  <c r="H188" i="26"/>
  <c r="G188" i="26"/>
  <c r="E188" i="26"/>
  <c r="D188" i="26"/>
  <c r="C188" i="26"/>
  <c r="H187" i="26"/>
  <c r="G187" i="26"/>
  <c r="E187" i="26"/>
  <c r="D187" i="26"/>
  <c r="C187" i="26"/>
  <c r="H186" i="26"/>
  <c r="G186" i="26"/>
  <c r="E186" i="26"/>
  <c r="D186" i="26"/>
  <c r="C186" i="26"/>
  <c r="H185" i="26"/>
  <c r="G185" i="26"/>
  <c r="E185" i="26"/>
  <c r="D185" i="26"/>
  <c r="C185" i="26"/>
  <c r="H184" i="26"/>
  <c r="G184" i="26"/>
  <c r="E184" i="26"/>
  <c r="D184" i="26"/>
  <c r="C184" i="26"/>
  <c r="H183" i="26"/>
  <c r="G183" i="26"/>
  <c r="E183" i="26"/>
  <c r="D183" i="26"/>
  <c r="C183" i="26"/>
  <c r="H182" i="26"/>
  <c r="G182" i="26"/>
  <c r="E182" i="26"/>
  <c r="D182" i="26"/>
  <c r="C182" i="26"/>
  <c r="H181" i="26"/>
  <c r="G181" i="26"/>
  <c r="E181" i="26"/>
  <c r="D181" i="26"/>
  <c r="C181" i="26"/>
  <c r="H180" i="26"/>
  <c r="G180" i="26"/>
  <c r="E180" i="26"/>
  <c r="D180" i="26"/>
  <c r="C180" i="26"/>
  <c r="H179" i="26"/>
  <c r="G179" i="26"/>
  <c r="E179" i="26"/>
  <c r="D179" i="26"/>
  <c r="C179" i="26"/>
  <c r="H178" i="26"/>
  <c r="G178" i="26"/>
  <c r="E178" i="26"/>
  <c r="D178" i="26"/>
  <c r="C178" i="26"/>
  <c r="H177" i="26"/>
  <c r="G177" i="26"/>
  <c r="E177" i="26"/>
  <c r="D177" i="26"/>
  <c r="C177" i="26"/>
  <c r="H176" i="26"/>
  <c r="G176" i="26"/>
  <c r="E176" i="26"/>
  <c r="D176" i="26"/>
  <c r="C176" i="26"/>
  <c r="H175" i="26"/>
  <c r="G175" i="26"/>
  <c r="E175" i="26"/>
  <c r="D175" i="26"/>
  <c r="C175" i="26"/>
  <c r="H174" i="26"/>
  <c r="G174" i="26"/>
  <c r="E174" i="26"/>
  <c r="D174" i="26"/>
  <c r="C174" i="26"/>
  <c r="H173" i="26"/>
  <c r="G173" i="26"/>
  <c r="E173" i="26"/>
  <c r="D173" i="26"/>
  <c r="C173" i="26"/>
  <c r="H172" i="26"/>
  <c r="G172" i="26"/>
  <c r="E172" i="26"/>
  <c r="D172" i="26"/>
  <c r="C172" i="26"/>
  <c r="H171" i="26"/>
  <c r="G171" i="26"/>
  <c r="E171" i="26"/>
  <c r="D171" i="26"/>
  <c r="C171" i="26"/>
  <c r="H170" i="26"/>
  <c r="G170" i="26"/>
  <c r="E170" i="26"/>
  <c r="D170" i="26"/>
  <c r="C170" i="26"/>
  <c r="H169" i="26"/>
  <c r="G169" i="26"/>
  <c r="E169" i="26"/>
  <c r="D169" i="26"/>
  <c r="C169" i="26"/>
  <c r="H168" i="26"/>
  <c r="G168" i="26"/>
  <c r="E168" i="26"/>
  <c r="D168" i="26"/>
  <c r="C168" i="26"/>
  <c r="H167" i="26"/>
  <c r="G167" i="26"/>
  <c r="E167" i="26"/>
  <c r="D167" i="26"/>
  <c r="C167" i="26"/>
  <c r="H166" i="26"/>
  <c r="G166" i="26"/>
  <c r="E166" i="26"/>
  <c r="D166" i="26"/>
  <c r="C166" i="26"/>
  <c r="H165" i="26"/>
  <c r="G165" i="26"/>
  <c r="E165" i="26"/>
  <c r="D165" i="26"/>
  <c r="C165" i="26"/>
  <c r="H164" i="26"/>
  <c r="G164" i="26"/>
  <c r="E164" i="26"/>
  <c r="D164" i="26"/>
  <c r="C164" i="26"/>
  <c r="H163" i="26"/>
  <c r="G163" i="26"/>
  <c r="E163" i="26"/>
  <c r="D163" i="26"/>
  <c r="C163" i="26"/>
  <c r="H162" i="26"/>
  <c r="G162" i="26"/>
  <c r="E162" i="26"/>
  <c r="D162" i="26"/>
  <c r="C162" i="26"/>
  <c r="C87" i="26"/>
  <c r="D87" i="26"/>
  <c r="E87" i="26"/>
  <c r="G87" i="26"/>
  <c r="H87" i="26"/>
  <c r="I87" i="26"/>
  <c r="C88" i="26"/>
  <c r="D88" i="26"/>
  <c r="E88" i="26"/>
  <c r="G88" i="26"/>
  <c r="H88" i="26"/>
  <c r="I88" i="26"/>
  <c r="C89" i="26"/>
  <c r="D89" i="26"/>
  <c r="E89" i="26"/>
  <c r="G89" i="26"/>
  <c r="H89" i="26"/>
  <c r="I89" i="26"/>
  <c r="C90" i="26"/>
  <c r="D90" i="26"/>
  <c r="E90" i="26"/>
  <c r="G90" i="26"/>
  <c r="H90" i="26"/>
  <c r="I90" i="26"/>
  <c r="C91" i="26"/>
  <c r="D91" i="26"/>
  <c r="E91" i="26"/>
  <c r="G91" i="26"/>
  <c r="H91" i="26"/>
  <c r="I91" i="26"/>
  <c r="C92" i="26"/>
  <c r="D92" i="26"/>
  <c r="E92" i="26"/>
  <c r="G92" i="26"/>
  <c r="H92" i="26"/>
  <c r="I92" i="26"/>
  <c r="C93" i="26"/>
  <c r="D93" i="26"/>
  <c r="E93" i="26"/>
  <c r="G93" i="26"/>
  <c r="H93" i="26"/>
  <c r="I93" i="26"/>
  <c r="C94" i="26"/>
  <c r="D94" i="26"/>
  <c r="E94" i="26"/>
  <c r="G94" i="26"/>
  <c r="H94" i="26"/>
  <c r="I94" i="26"/>
  <c r="C95" i="26"/>
  <c r="D95" i="26"/>
  <c r="E95" i="26"/>
  <c r="G95" i="26"/>
  <c r="H95" i="26"/>
  <c r="I95" i="26"/>
  <c r="C96" i="26"/>
  <c r="D96" i="26"/>
  <c r="E96" i="26"/>
  <c r="G96" i="26"/>
  <c r="H96" i="26"/>
  <c r="I96" i="26"/>
  <c r="C97" i="26"/>
  <c r="D97" i="26"/>
  <c r="E97" i="26"/>
  <c r="G97" i="26"/>
  <c r="H97" i="26"/>
  <c r="I97" i="26"/>
  <c r="C98" i="26"/>
  <c r="D98" i="26"/>
  <c r="E98" i="26"/>
  <c r="G98" i="26"/>
  <c r="H98" i="26"/>
  <c r="I98" i="26"/>
  <c r="C99" i="26"/>
  <c r="D99" i="26"/>
  <c r="E99" i="26"/>
  <c r="G99" i="26"/>
  <c r="H99" i="26"/>
  <c r="I99" i="26"/>
  <c r="C100" i="26"/>
  <c r="D100" i="26"/>
  <c r="E100" i="26"/>
  <c r="G100" i="26"/>
  <c r="H100" i="26"/>
  <c r="I100" i="26"/>
  <c r="C101" i="26"/>
  <c r="D101" i="26"/>
  <c r="E101" i="26"/>
  <c r="G101" i="26"/>
  <c r="H101" i="26"/>
  <c r="I101" i="26"/>
  <c r="C102" i="26"/>
  <c r="D102" i="26"/>
  <c r="E102" i="26"/>
  <c r="G102" i="26"/>
  <c r="H102" i="26"/>
  <c r="I102" i="26"/>
  <c r="C103" i="26"/>
  <c r="D103" i="26"/>
  <c r="E103" i="26"/>
  <c r="G103" i="26"/>
  <c r="H103" i="26"/>
  <c r="I103" i="26"/>
  <c r="C104" i="26"/>
  <c r="D104" i="26"/>
  <c r="E104" i="26"/>
  <c r="G104" i="26"/>
  <c r="H104" i="26"/>
  <c r="I104" i="26"/>
  <c r="C105" i="26"/>
  <c r="D105" i="26"/>
  <c r="E105" i="26"/>
  <c r="G105" i="26"/>
  <c r="H105" i="26"/>
  <c r="I105" i="26"/>
  <c r="C106" i="26"/>
  <c r="D106" i="26"/>
  <c r="E106" i="26"/>
  <c r="G106" i="26"/>
  <c r="H106" i="26"/>
  <c r="I106" i="26"/>
  <c r="C107" i="26"/>
  <c r="D107" i="26"/>
  <c r="E107" i="26"/>
  <c r="G107" i="26"/>
  <c r="H107" i="26"/>
  <c r="I107" i="26"/>
  <c r="C108" i="26"/>
  <c r="D108" i="26"/>
  <c r="E108" i="26"/>
  <c r="G108" i="26"/>
  <c r="H108" i="26"/>
  <c r="I108" i="26"/>
  <c r="C109" i="26"/>
  <c r="D109" i="26"/>
  <c r="E109" i="26"/>
  <c r="G109" i="26"/>
  <c r="H109" i="26"/>
  <c r="I109" i="26"/>
  <c r="C110" i="26"/>
  <c r="D110" i="26"/>
  <c r="E110" i="26"/>
  <c r="G110" i="26"/>
  <c r="H110" i="26"/>
  <c r="I110" i="26"/>
  <c r="C111" i="26"/>
  <c r="D111" i="26"/>
  <c r="E111" i="26"/>
  <c r="G111" i="26"/>
  <c r="H111" i="26"/>
  <c r="I111" i="26"/>
  <c r="C112" i="26"/>
  <c r="D112" i="26"/>
  <c r="E112" i="26"/>
  <c r="G112" i="26"/>
  <c r="H112" i="26"/>
  <c r="I112" i="26"/>
  <c r="C113" i="26"/>
  <c r="D113" i="26"/>
  <c r="E113" i="26"/>
  <c r="G113" i="26"/>
  <c r="H113" i="26"/>
  <c r="I113" i="26"/>
  <c r="C114" i="26"/>
  <c r="D114" i="26"/>
  <c r="E114" i="26"/>
  <c r="G114" i="26"/>
  <c r="H114" i="26"/>
  <c r="I114" i="26"/>
  <c r="C115" i="26"/>
  <c r="D115" i="26"/>
  <c r="E115" i="26"/>
  <c r="G115" i="26"/>
  <c r="H115" i="26"/>
  <c r="I115" i="26"/>
  <c r="C116" i="26"/>
  <c r="D116" i="26"/>
  <c r="E116" i="26"/>
  <c r="G116" i="26"/>
  <c r="H116" i="26"/>
  <c r="I116" i="26"/>
  <c r="C117" i="26"/>
  <c r="D117" i="26"/>
  <c r="E117" i="26"/>
  <c r="G117" i="26"/>
  <c r="H117" i="26"/>
  <c r="I117" i="26"/>
  <c r="C118" i="26"/>
  <c r="D118" i="26"/>
  <c r="E118" i="26"/>
  <c r="G118" i="26"/>
  <c r="H118" i="26"/>
  <c r="I118" i="26"/>
  <c r="C119" i="26"/>
  <c r="D119" i="26"/>
  <c r="E119" i="26"/>
  <c r="G119" i="26"/>
  <c r="H119" i="26"/>
  <c r="I119" i="26"/>
  <c r="C120" i="26"/>
  <c r="D120" i="26"/>
  <c r="E120" i="26"/>
  <c r="G120" i="26"/>
  <c r="H120" i="26"/>
  <c r="I120" i="26"/>
  <c r="C121" i="26"/>
  <c r="D121" i="26"/>
  <c r="E121" i="26"/>
  <c r="G121" i="26"/>
  <c r="H121" i="26"/>
  <c r="I121" i="26"/>
  <c r="C122" i="26"/>
  <c r="D122" i="26"/>
  <c r="E122" i="26"/>
  <c r="G122" i="26"/>
  <c r="H122" i="26"/>
  <c r="I122" i="26"/>
  <c r="C123" i="26"/>
  <c r="D123" i="26"/>
  <c r="E123" i="26"/>
  <c r="G123" i="26"/>
  <c r="H123" i="26"/>
  <c r="I123" i="26"/>
  <c r="C124" i="26"/>
  <c r="D124" i="26"/>
  <c r="E124" i="26"/>
  <c r="G124" i="26"/>
  <c r="H124" i="26"/>
  <c r="I124" i="26"/>
  <c r="C125" i="26"/>
  <c r="D125" i="26"/>
  <c r="E125" i="26"/>
  <c r="G125" i="26"/>
  <c r="H125" i="26"/>
  <c r="I125" i="26"/>
  <c r="C126" i="26"/>
  <c r="D126" i="26"/>
  <c r="E126" i="26"/>
  <c r="G126" i="26"/>
  <c r="H126" i="26"/>
  <c r="I126" i="26"/>
  <c r="C127" i="26"/>
  <c r="D127" i="26"/>
  <c r="E127" i="26"/>
  <c r="G127" i="26"/>
  <c r="H127" i="26"/>
  <c r="I127" i="26"/>
  <c r="C128" i="26"/>
  <c r="D128" i="26"/>
  <c r="E128" i="26"/>
  <c r="G128" i="26"/>
  <c r="H128" i="26"/>
  <c r="I128" i="26"/>
  <c r="C129" i="26"/>
  <c r="D129" i="26"/>
  <c r="E129" i="26"/>
  <c r="G129" i="26"/>
  <c r="H129" i="26"/>
  <c r="C130" i="26"/>
  <c r="D130" i="26"/>
  <c r="E130" i="26"/>
  <c r="G130" i="26"/>
  <c r="H130" i="26"/>
  <c r="C131" i="26"/>
  <c r="D131" i="26"/>
  <c r="E131" i="26"/>
  <c r="G131" i="26"/>
  <c r="H131" i="26"/>
  <c r="C132" i="26"/>
  <c r="D132" i="26"/>
  <c r="E132" i="26"/>
  <c r="G132" i="26"/>
  <c r="H132" i="26"/>
  <c r="C133" i="26"/>
  <c r="D133" i="26"/>
  <c r="E133" i="26"/>
  <c r="G133" i="26"/>
  <c r="H133" i="26"/>
  <c r="C134" i="26"/>
  <c r="D134" i="26"/>
  <c r="E134" i="26"/>
  <c r="G134" i="26"/>
  <c r="H134" i="26"/>
  <c r="C135" i="26"/>
  <c r="D135" i="26"/>
  <c r="E135" i="26"/>
  <c r="G135" i="26"/>
  <c r="H135" i="26"/>
  <c r="C136" i="26"/>
  <c r="D136" i="26"/>
  <c r="E136" i="26"/>
  <c r="G136" i="26"/>
  <c r="H136" i="26"/>
  <c r="C137" i="26"/>
  <c r="D137" i="26"/>
  <c r="E137" i="26"/>
  <c r="G137" i="26"/>
  <c r="H137" i="26"/>
  <c r="C138" i="26"/>
  <c r="D138" i="26"/>
  <c r="E138" i="26"/>
  <c r="G138" i="26"/>
  <c r="H138" i="26"/>
  <c r="C139" i="26"/>
  <c r="D139" i="26"/>
  <c r="E139" i="26"/>
  <c r="G139" i="26"/>
  <c r="H139" i="26"/>
  <c r="C140" i="26"/>
  <c r="D140" i="26"/>
  <c r="E140" i="26"/>
  <c r="G140" i="26"/>
  <c r="H140" i="26"/>
  <c r="C141" i="26"/>
  <c r="D141" i="26"/>
  <c r="E141" i="26"/>
  <c r="G141" i="26"/>
  <c r="H141" i="26"/>
  <c r="C142" i="26"/>
  <c r="D142" i="26"/>
  <c r="E142" i="26"/>
  <c r="G142" i="26"/>
  <c r="H142" i="26"/>
  <c r="C143" i="26"/>
  <c r="D143" i="26"/>
  <c r="E143" i="26"/>
  <c r="G143" i="26"/>
  <c r="H143" i="26"/>
  <c r="C144" i="26"/>
  <c r="D144" i="26"/>
  <c r="E144" i="26"/>
  <c r="G144" i="26"/>
  <c r="H144" i="26"/>
  <c r="C145" i="26"/>
  <c r="D145" i="26"/>
  <c r="E145" i="26"/>
  <c r="G145" i="26"/>
  <c r="H145" i="26"/>
  <c r="C146" i="26"/>
  <c r="D146" i="26"/>
  <c r="E146" i="26"/>
  <c r="G146" i="26"/>
  <c r="H146" i="26"/>
  <c r="C147" i="26"/>
  <c r="D147" i="26"/>
  <c r="E147" i="26"/>
  <c r="G147" i="26"/>
  <c r="H147" i="26"/>
  <c r="C148" i="26"/>
  <c r="D148" i="26"/>
  <c r="E148" i="26"/>
  <c r="G148" i="26"/>
  <c r="H148" i="26"/>
  <c r="C149" i="26"/>
  <c r="D149" i="26"/>
  <c r="E149" i="26"/>
  <c r="G149" i="26"/>
  <c r="H149" i="26"/>
  <c r="C150" i="26"/>
  <c r="D150" i="26"/>
  <c r="E150" i="26"/>
  <c r="G150" i="26"/>
  <c r="H150" i="26"/>
  <c r="C151" i="26"/>
  <c r="D151" i="26"/>
  <c r="E151" i="26"/>
  <c r="G151" i="26"/>
  <c r="H151" i="26"/>
  <c r="C152" i="26"/>
  <c r="D152" i="26"/>
  <c r="E152" i="26"/>
  <c r="G152" i="26"/>
  <c r="H152" i="26"/>
  <c r="C153" i="26"/>
  <c r="D153" i="26"/>
  <c r="E153" i="26"/>
  <c r="G153" i="26"/>
  <c r="H153" i="26"/>
  <c r="C154" i="26"/>
  <c r="D154" i="26"/>
  <c r="E154" i="26"/>
  <c r="G154" i="26"/>
  <c r="H154" i="26"/>
  <c r="C155" i="26"/>
  <c r="D155" i="26"/>
  <c r="E155" i="26"/>
  <c r="G155" i="26"/>
  <c r="H155" i="26"/>
  <c r="C156" i="26"/>
  <c r="D156" i="26"/>
  <c r="E156" i="26"/>
  <c r="G156" i="26"/>
  <c r="H156" i="26"/>
  <c r="C157" i="26"/>
  <c r="D157" i="26"/>
  <c r="E157" i="26"/>
  <c r="G157" i="26"/>
  <c r="H157" i="26"/>
  <c r="C158" i="26"/>
  <c r="D158" i="26"/>
  <c r="E158" i="26"/>
  <c r="G158" i="26"/>
  <c r="H158" i="26"/>
  <c r="C159" i="26"/>
  <c r="D159" i="26"/>
  <c r="E159" i="26"/>
  <c r="G159" i="26"/>
  <c r="H159" i="26"/>
  <c r="C160" i="26"/>
  <c r="D160" i="26"/>
  <c r="E160" i="26"/>
  <c r="G160" i="26"/>
  <c r="H160" i="26"/>
  <c r="C161" i="26"/>
  <c r="D161" i="26"/>
  <c r="E161" i="26"/>
  <c r="G161" i="26"/>
  <c r="H161" i="26"/>
  <c r="C85" i="26"/>
  <c r="D85" i="26"/>
  <c r="E85" i="26"/>
  <c r="G85" i="26"/>
  <c r="H85" i="26"/>
  <c r="P85" i="26"/>
  <c r="I85" i="26"/>
  <c r="C86" i="26"/>
  <c r="D86" i="26"/>
  <c r="E86" i="26"/>
  <c r="G86" i="26"/>
  <c r="H86" i="26"/>
  <c r="I86" i="26"/>
  <c r="I84" i="26"/>
  <c r="H84" i="26"/>
  <c r="G84" i="26"/>
  <c r="D84" i="26"/>
  <c r="E84" i="26"/>
  <c r="C84" i="26"/>
  <c r="G7" i="26"/>
  <c r="H7" i="26"/>
  <c r="I7" i="26"/>
  <c r="G8" i="26"/>
  <c r="H8" i="26"/>
  <c r="I8" i="26"/>
  <c r="G9" i="26"/>
  <c r="H9" i="26"/>
  <c r="I9" i="26"/>
  <c r="G10" i="26"/>
  <c r="H10" i="26"/>
  <c r="I10" i="26"/>
  <c r="G11" i="26"/>
  <c r="H11" i="26"/>
  <c r="I11" i="26"/>
  <c r="G12" i="26"/>
  <c r="H12" i="26"/>
  <c r="I12" i="26"/>
  <c r="G13" i="26"/>
  <c r="H13" i="26"/>
  <c r="I13" i="26"/>
  <c r="G14" i="26"/>
  <c r="H14" i="26"/>
  <c r="I14" i="26"/>
  <c r="G15" i="26"/>
  <c r="H15" i="26"/>
  <c r="I15" i="26"/>
  <c r="G16" i="26"/>
  <c r="H16" i="26"/>
  <c r="I16" i="26"/>
  <c r="G17" i="26"/>
  <c r="H17" i="26"/>
  <c r="I17" i="26"/>
  <c r="G18" i="26"/>
  <c r="H18" i="26"/>
  <c r="I18" i="26"/>
  <c r="G19" i="26"/>
  <c r="H19" i="26"/>
  <c r="I19" i="26"/>
  <c r="G20" i="26"/>
  <c r="H20" i="26"/>
  <c r="I20" i="26"/>
  <c r="G21" i="26"/>
  <c r="H21" i="26"/>
  <c r="I21" i="26"/>
  <c r="G22" i="26"/>
  <c r="H22" i="26"/>
  <c r="I22" i="26"/>
  <c r="G23" i="26"/>
  <c r="H23" i="26"/>
  <c r="I23" i="26"/>
  <c r="G24" i="26"/>
  <c r="H24" i="26"/>
  <c r="I24" i="26"/>
  <c r="G25" i="26"/>
  <c r="H25" i="26"/>
  <c r="I25" i="26"/>
  <c r="G26" i="26"/>
  <c r="H26" i="26"/>
  <c r="I26" i="26"/>
  <c r="G27" i="26"/>
  <c r="H27" i="26"/>
  <c r="I27" i="26"/>
  <c r="G28" i="26"/>
  <c r="H28" i="26"/>
  <c r="I28" i="26"/>
  <c r="G29" i="26"/>
  <c r="H29" i="26"/>
  <c r="I29" i="26"/>
  <c r="G30" i="26"/>
  <c r="H30" i="26"/>
  <c r="I30" i="26"/>
  <c r="G31" i="26"/>
  <c r="H31" i="26"/>
  <c r="I31" i="26"/>
  <c r="G32" i="26"/>
  <c r="H32" i="26"/>
  <c r="I32" i="26"/>
  <c r="G33" i="26"/>
  <c r="H33" i="26"/>
  <c r="I33" i="26"/>
  <c r="G34" i="26"/>
  <c r="H34" i="26"/>
  <c r="I34" i="26"/>
  <c r="G35" i="26"/>
  <c r="H35" i="26"/>
  <c r="I35" i="26"/>
  <c r="G36" i="26"/>
  <c r="H36" i="26"/>
  <c r="I36" i="26"/>
  <c r="G37" i="26"/>
  <c r="H37" i="26"/>
  <c r="I37" i="26"/>
  <c r="G38" i="26"/>
  <c r="H38" i="26"/>
  <c r="I38" i="26"/>
  <c r="G39" i="26"/>
  <c r="H39" i="26"/>
  <c r="I39" i="26"/>
  <c r="G40" i="26"/>
  <c r="H40" i="26"/>
  <c r="I40" i="26"/>
  <c r="G41" i="26"/>
  <c r="H41" i="26"/>
  <c r="I41" i="26"/>
  <c r="G42" i="26"/>
  <c r="H42" i="26"/>
  <c r="I42" i="26"/>
  <c r="G43" i="26"/>
  <c r="H43" i="26"/>
  <c r="I43" i="26"/>
  <c r="G44" i="26"/>
  <c r="H44" i="26"/>
  <c r="I44" i="26"/>
  <c r="G45" i="26"/>
  <c r="H45" i="26"/>
  <c r="I45" i="26"/>
  <c r="G46" i="26"/>
  <c r="H46" i="26"/>
  <c r="I46" i="26"/>
  <c r="G47" i="26"/>
  <c r="H47" i="26"/>
  <c r="I47" i="26"/>
  <c r="G48" i="26"/>
  <c r="H48" i="26"/>
  <c r="I48" i="26"/>
  <c r="G49" i="26"/>
  <c r="H49" i="26"/>
  <c r="I49" i="26"/>
  <c r="G50" i="26"/>
  <c r="H50" i="26"/>
  <c r="I50" i="26"/>
  <c r="G51" i="26"/>
  <c r="H51" i="26"/>
  <c r="I51" i="26"/>
  <c r="G52" i="26"/>
  <c r="H52" i="26"/>
  <c r="I52" i="26"/>
  <c r="G53" i="26"/>
  <c r="H53" i="26"/>
  <c r="I53" i="26"/>
  <c r="G54" i="26"/>
  <c r="H54" i="26"/>
  <c r="I54" i="26"/>
  <c r="G55" i="26"/>
  <c r="H55" i="26"/>
  <c r="I55" i="26"/>
  <c r="G56" i="26"/>
  <c r="H56" i="26"/>
  <c r="I56" i="26"/>
  <c r="G57" i="26"/>
  <c r="H57" i="26"/>
  <c r="I57" i="26"/>
  <c r="G58" i="26"/>
  <c r="H58" i="26"/>
  <c r="I58" i="26"/>
  <c r="G59" i="26"/>
  <c r="H59" i="26"/>
  <c r="I59" i="26"/>
  <c r="G60" i="26"/>
  <c r="H60" i="26"/>
  <c r="I60" i="26"/>
  <c r="G61" i="26"/>
  <c r="H61" i="26"/>
  <c r="I61" i="26"/>
  <c r="G62" i="26"/>
  <c r="H62" i="26"/>
  <c r="I62" i="26"/>
  <c r="G63" i="26"/>
  <c r="H63" i="26"/>
  <c r="I63" i="26"/>
  <c r="G64" i="26"/>
  <c r="H64" i="26"/>
  <c r="I64" i="26"/>
  <c r="G65" i="26"/>
  <c r="H65" i="26"/>
  <c r="I65" i="26"/>
  <c r="G66" i="26"/>
  <c r="H66" i="26"/>
  <c r="I66" i="26"/>
  <c r="G67" i="26"/>
  <c r="H67" i="26"/>
  <c r="I67" i="26"/>
  <c r="G68" i="26"/>
  <c r="H68" i="26"/>
  <c r="I68" i="26"/>
  <c r="G69" i="26"/>
  <c r="H69" i="26"/>
  <c r="I69" i="26"/>
  <c r="G70" i="26"/>
  <c r="H70" i="26"/>
  <c r="I70" i="26"/>
  <c r="G71" i="26"/>
  <c r="H71" i="26"/>
  <c r="I71" i="26"/>
  <c r="G72" i="26"/>
  <c r="H72" i="26"/>
  <c r="I72" i="26"/>
  <c r="G73" i="26"/>
  <c r="H73" i="26"/>
  <c r="I73" i="26"/>
  <c r="G74" i="26"/>
  <c r="H74" i="26"/>
  <c r="I74" i="26"/>
  <c r="G75" i="26"/>
  <c r="H75" i="26"/>
  <c r="I75" i="26"/>
  <c r="G76" i="26"/>
  <c r="H76" i="26"/>
  <c r="I76" i="26"/>
  <c r="G77" i="26"/>
  <c r="H77" i="26"/>
  <c r="I77" i="26"/>
  <c r="G78" i="26"/>
  <c r="H78" i="26"/>
  <c r="I78" i="26"/>
  <c r="G79" i="26"/>
  <c r="H79" i="26"/>
  <c r="I79" i="26"/>
  <c r="G80" i="26"/>
  <c r="H80" i="26"/>
  <c r="I80" i="26"/>
  <c r="G81" i="26"/>
  <c r="H81" i="26"/>
  <c r="I81" i="26"/>
  <c r="G82" i="26"/>
  <c r="H82" i="26"/>
  <c r="I82" i="26"/>
  <c r="G83" i="26"/>
  <c r="H83" i="26"/>
  <c r="I83" i="26"/>
  <c r="I6" i="26"/>
  <c r="H6" i="26"/>
  <c r="C167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85" i="4"/>
  <c r="C71" i="26"/>
  <c r="D71" i="26"/>
  <c r="E71" i="26"/>
  <c r="C72" i="26"/>
  <c r="D72" i="26"/>
  <c r="E72" i="26"/>
  <c r="C73" i="26"/>
  <c r="D73" i="26"/>
  <c r="E73" i="26"/>
  <c r="C74" i="26"/>
  <c r="D74" i="26"/>
  <c r="E74" i="26"/>
  <c r="C75" i="26"/>
  <c r="D75" i="26"/>
  <c r="E75" i="26"/>
  <c r="C76" i="26"/>
  <c r="D76" i="26"/>
  <c r="E76" i="26"/>
  <c r="C77" i="26"/>
  <c r="D77" i="26"/>
  <c r="E77" i="26"/>
  <c r="C78" i="26"/>
  <c r="D78" i="26"/>
  <c r="E78" i="26"/>
  <c r="C79" i="26"/>
  <c r="D79" i="26"/>
  <c r="E79" i="26"/>
  <c r="C80" i="26"/>
  <c r="D80" i="26"/>
  <c r="E80" i="26"/>
  <c r="C81" i="26"/>
  <c r="D81" i="26"/>
  <c r="E81" i="26"/>
  <c r="C82" i="26"/>
  <c r="D82" i="26"/>
  <c r="E82" i="26"/>
  <c r="C83" i="26"/>
  <c r="D83" i="26"/>
  <c r="E83" i="26"/>
  <c r="C7" i="26"/>
  <c r="D7" i="26"/>
  <c r="E7" i="26"/>
  <c r="C8" i="26"/>
  <c r="D8" i="26"/>
  <c r="E8" i="26"/>
  <c r="C9" i="26"/>
  <c r="D9" i="26"/>
  <c r="E9" i="26"/>
  <c r="C10" i="26"/>
  <c r="D10" i="26"/>
  <c r="E10" i="26"/>
  <c r="C11" i="26"/>
  <c r="D11" i="26"/>
  <c r="E11" i="26"/>
  <c r="C12" i="26"/>
  <c r="D12" i="26"/>
  <c r="E12" i="26"/>
  <c r="C13" i="26"/>
  <c r="D13" i="26"/>
  <c r="E13" i="26"/>
  <c r="C14" i="26"/>
  <c r="D14" i="26"/>
  <c r="E14" i="26"/>
  <c r="C15" i="26"/>
  <c r="D15" i="26"/>
  <c r="E15" i="26"/>
  <c r="C16" i="26"/>
  <c r="D16" i="26"/>
  <c r="E16" i="26"/>
  <c r="C17" i="26"/>
  <c r="D17" i="26"/>
  <c r="E17" i="26"/>
  <c r="C18" i="26"/>
  <c r="D18" i="26"/>
  <c r="E18" i="26"/>
  <c r="C19" i="26"/>
  <c r="D19" i="26"/>
  <c r="E19" i="26"/>
  <c r="C20" i="26"/>
  <c r="D20" i="26"/>
  <c r="E20" i="26"/>
  <c r="C21" i="26"/>
  <c r="D21" i="26"/>
  <c r="E21" i="26"/>
  <c r="C22" i="26"/>
  <c r="D22" i="26"/>
  <c r="E22" i="26"/>
  <c r="C23" i="26"/>
  <c r="D23" i="26"/>
  <c r="E23" i="26"/>
  <c r="C24" i="26"/>
  <c r="D24" i="26"/>
  <c r="E24" i="26"/>
  <c r="C25" i="26"/>
  <c r="D25" i="26"/>
  <c r="E25" i="26"/>
  <c r="C26" i="26"/>
  <c r="D26" i="26"/>
  <c r="E26" i="26"/>
  <c r="C27" i="26"/>
  <c r="D27" i="26"/>
  <c r="E27" i="26"/>
  <c r="C28" i="26"/>
  <c r="D28" i="26"/>
  <c r="E28" i="26"/>
  <c r="C29" i="26"/>
  <c r="D29" i="26"/>
  <c r="E29" i="26"/>
  <c r="C30" i="26"/>
  <c r="D30" i="26"/>
  <c r="E30" i="26"/>
  <c r="C31" i="26"/>
  <c r="D31" i="26"/>
  <c r="E31" i="26"/>
  <c r="C32" i="26"/>
  <c r="D32" i="26"/>
  <c r="E32" i="26"/>
  <c r="C33" i="26"/>
  <c r="D33" i="26"/>
  <c r="E33" i="26"/>
  <c r="C34" i="26"/>
  <c r="D34" i="26"/>
  <c r="E34" i="26"/>
  <c r="C35" i="26"/>
  <c r="D35" i="26"/>
  <c r="E35" i="26"/>
  <c r="C36" i="26"/>
  <c r="D36" i="26"/>
  <c r="E36" i="26"/>
  <c r="C37" i="26"/>
  <c r="D37" i="26"/>
  <c r="E37" i="26"/>
  <c r="C38" i="26"/>
  <c r="D38" i="26"/>
  <c r="E38" i="26"/>
  <c r="C39" i="26"/>
  <c r="D39" i="26"/>
  <c r="E39" i="26"/>
  <c r="C40" i="26"/>
  <c r="D40" i="26"/>
  <c r="E40" i="26"/>
  <c r="C41" i="26"/>
  <c r="D41" i="26"/>
  <c r="E41" i="26"/>
  <c r="C42" i="26"/>
  <c r="D42" i="26"/>
  <c r="E42" i="26"/>
  <c r="C43" i="26"/>
  <c r="D43" i="26"/>
  <c r="E43" i="26"/>
  <c r="C44" i="26"/>
  <c r="D44" i="26"/>
  <c r="E44" i="26"/>
  <c r="C45" i="26"/>
  <c r="D45" i="26"/>
  <c r="E45" i="26"/>
  <c r="C46" i="26"/>
  <c r="D46" i="26"/>
  <c r="E46" i="26"/>
  <c r="C47" i="26"/>
  <c r="D47" i="26"/>
  <c r="E47" i="26"/>
  <c r="C48" i="26"/>
  <c r="D48" i="26"/>
  <c r="E48" i="26"/>
  <c r="C49" i="26"/>
  <c r="D49" i="26"/>
  <c r="E49" i="26"/>
  <c r="C50" i="26"/>
  <c r="D50" i="26"/>
  <c r="E50" i="26"/>
  <c r="C51" i="26"/>
  <c r="D51" i="26"/>
  <c r="E51" i="26"/>
  <c r="C52" i="26"/>
  <c r="D52" i="26"/>
  <c r="E52" i="26"/>
  <c r="C53" i="26"/>
  <c r="D53" i="26"/>
  <c r="E53" i="26"/>
  <c r="C54" i="26"/>
  <c r="D54" i="26"/>
  <c r="E54" i="26"/>
  <c r="C55" i="26"/>
  <c r="D55" i="26"/>
  <c r="E55" i="26"/>
  <c r="C56" i="26"/>
  <c r="D56" i="26"/>
  <c r="E56" i="26"/>
  <c r="C57" i="26"/>
  <c r="D57" i="26"/>
  <c r="E57" i="26"/>
  <c r="C58" i="26"/>
  <c r="D58" i="26"/>
  <c r="E58" i="26"/>
  <c r="C59" i="26"/>
  <c r="D59" i="26"/>
  <c r="E59" i="26"/>
  <c r="C60" i="26"/>
  <c r="D60" i="26"/>
  <c r="E60" i="26"/>
  <c r="C61" i="26"/>
  <c r="D61" i="26"/>
  <c r="E61" i="26"/>
  <c r="C62" i="26"/>
  <c r="D62" i="26"/>
  <c r="E62" i="26"/>
  <c r="C63" i="26"/>
  <c r="D63" i="26"/>
  <c r="E63" i="26"/>
  <c r="C64" i="26"/>
  <c r="D64" i="26"/>
  <c r="E64" i="26"/>
  <c r="C65" i="26"/>
  <c r="D65" i="26"/>
  <c r="E65" i="26"/>
  <c r="C66" i="26"/>
  <c r="D66" i="26"/>
  <c r="E66" i="26"/>
  <c r="C67" i="26"/>
  <c r="D67" i="26"/>
  <c r="E67" i="26"/>
  <c r="C68" i="26"/>
  <c r="D68" i="26"/>
  <c r="E68" i="26"/>
  <c r="C69" i="26"/>
  <c r="D69" i="26"/>
  <c r="E69" i="26"/>
  <c r="C70" i="26"/>
  <c r="D70" i="26"/>
  <c r="E70" i="26"/>
  <c r="D6" i="26"/>
  <c r="E6" i="26"/>
  <c r="C6" i="26"/>
  <c r="I5" i="26"/>
  <c r="H5" i="26"/>
  <c r="G5" i="26"/>
  <c r="D5" i="26"/>
  <c r="E5" i="26"/>
  <c r="C5" i="26"/>
  <c r="C9" i="40"/>
  <c r="O9" i="40"/>
  <c r="K152" i="26"/>
  <c r="L152" i="26"/>
  <c r="J152" i="26"/>
  <c r="K144" i="26"/>
  <c r="L144" i="26"/>
  <c r="J144" i="26"/>
  <c r="K140" i="26"/>
  <c r="L140" i="26"/>
  <c r="J140" i="26"/>
  <c r="K132" i="26"/>
  <c r="L132" i="26"/>
  <c r="J132" i="26"/>
  <c r="K162" i="26"/>
  <c r="L162" i="26"/>
  <c r="J162" i="26"/>
  <c r="K166" i="26"/>
  <c r="L166" i="26"/>
  <c r="J166" i="26"/>
  <c r="K174" i="26"/>
  <c r="L174" i="26"/>
  <c r="J174" i="26"/>
  <c r="K312" i="26"/>
  <c r="L312" i="26"/>
  <c r="J312" i="26"/>
  <c r="K304" i="26"/>
  <c r="L304" i="26"/>
  <c r="J304" i="26"/>
  <c r="K284" i="26"/>
  <c r="L284" i="26"/>
  <c r="J284" i="26"/>
  <c r="K264" i="26"/>
  <c r="L264" i="26"/>
  <c r="J264" i="26"/>
  <c r="K392" i="26"/>
  <c r="L392" i="26"/>
  <c r="J392" i="26"/>
  <c r="K388" i="26"/>
  <c r="L388" i="26"/>
  <c r="J388" i="26"/>
  <c r="K376" i="26"/>
  <c r="L376" i="26"/>
  <c r="J376" i="26"/>
  <c r="K368" i="26"/>
  <c r="L368" i="26"/>
  <c r="J368" i="26"/>
  <c r="K360" i="26"/>
  <c r="L360" i="26"/>
  <c r="J360" i="26"/>
  <c r="K352" i="26"/>
  <c r="L352" i="26"/>
  <c r="J352" i="26"/>
  <c r="K328" i="26"/>
  <c r="L328" i="26"/>
  <c r="J328" i="26"/>
  <c r="K468" i="26"/>
  <c r="L468" i="26"/>
  <c r="J468" i="26"/>
  <c r="K440" i="26"/>
  <c r="L440" i="26"/>
  <c r="J440" i="26"/>
  <c r="K428" i="26"/>
  <c r="L428" i="26"/>
  <c r="J428" i="26"/>
  <c r="K420" i="26"/>
  <c r="L420" i="26"/>
  <c r="J420" i="26"/>
  <c r="K416" i="26"/>
  <c r="L416" i="26"/>
  <c r="J416" i="26"/>
  <c r="K412" i="26"/>
  <c r="L412" i="26"/>
  <c r="J412" i="26"/>
  <c r="K404" i="26"/>
  <c r="L404" i="26"/>
  <c r="J404" i="26"/>
  <c r="K400" i="26"/>
  <c r="L400" i="26"/>
  <c r="J400" i="26"/>
  <c r="K536" i="26"/>
  <c r="L536" i="26"/>
  <c r="J536" i="26"/>
  <c r="K524" i="26"/>
  <c r="L524" i="26"/>
  <c r="J524" i="26"/>
  <c r="K508" i="26"/>
  <c r="L508" i="26"/>
  <c r="J508" i="26"/>
  <c r="K504" i="26"/>
  <c r="L504" i="26"/>
  <c r="J504" i="26"/>
  <c r="K500" i="26"/>
  <c r="L500" i="26"/>
  <c r="J500" i="26"/>
  <c r="K496" i="26"/>
  <c r="L496" i="26"/>
  <c r="J496" i="26"/>
  <c r="K630" i="26"/>
  <c r="L630" i="26"/>
  <c r="J630" i="26"/>
  <c r="K704" i="26"/>
  <c r="L704" i="26"/>
  <c r="J704" i="26"/>
  <c r="K692" i="26"/>
  <c r="L692" i="26"/>
  <c r="J692" i="26"/>
  <c r="K684" i="26"/>
  <c r="L684" i="26"/>
  <c r="J684" i="26"/>
  <c r="K680" i="26"/>
  <c r="L680" i="26"/>
  <c r="J680" i="26"/>
  <c r="K676" i="26"/>
  <c r="L676" i="26"/>
  <c r="J676" i="26"/>
  <c r="K656" i="26"/>
  <c r="L656" i="26"/>
  <c r="J656" i="26"/>
  <c r="K632" i="26"/>
  <c r="L632" i="26"/>
  <c r="J632" i="26"/>
  <c r="K780" i="26"/>
  <c r="L780" i="26"/>
  <c r="J780" i="26"/>
  <c r="K752" i="26"/>
  <c r="L752" i="26"/>
  <c r="J752" i="26"/>
  <c r="K744" i="26"/>
  <c r="L744" i="26"/>
  <c r="J744" i="26"/>
  <c r="K732" i="26"/>
  <c r="L732" i="26"/>
  <c r="J732" i="26"/>
  <c r="K724" i="26"/>
  <c r="L724" i="26"/>
  <c r="J724" i="26"/>
  <c r="K712" i="26"/>
  <c r="L712" i="26"/>
  <c r="J712" i="26"/>
  <c r="K786" i="26"/>
  <c r="L786" i="26"/>
  <c r="J786" i="26"/>
  <c r="K811" i="26"/>
  <c r="L811" i="26"/>
  <c r="J811" i="26"/>
  <c r="K799" i="26"/>
  <c r="L799" i="26"/>
  <c r="J799" i="26"/>
  <c r="K791" i="26"/>
  <c r="L791" i="26"/>
  <c r="J791" i="26"/>
  <c r="K842" i="26"/>
  <c r="L842" i="26"/>
  <c r="J842" i="26"/>
  <c r="K858" i="26"/>
  <c r="L858" i="26"/>
  <c r="J858" i="26"/>
  <c r="K925" i="26"/>
  <c r="L925" i="26"/>
  <c r="J925" i="26"/>
  <c r="K901" i="26"/>
  <c r="L901" i="26"/>
  <c r="J901" i="26"/>
  <c r="K893" i="26"/>
  <c r="L893" i="26"/>
  <c r="J893" i="26"/>
  <c r="K885" i="26"/>
  <c r="L885" i="26"/>
  <c r="J885" i="26"/>
  <c r="K877" i="26"/>
  <c r="L877" i="26"/>
  <c r="J877" i="26"/>
  <c r="K869" i="26"/>
  <c r="L869" i="26"/>
  <c r="J869" i="26"/>
  <c r="K865" i="26"/>
  <c r="L865" i="26"/>
  <c r="J865" i="26"/>
  <c r="K938" i="26"/>
  <c r="L938" i="26"/>
  <c r="J938" i="26"/>
  <c r="K35" i="26"/>
  <c r="L35" i="26"/>
  <c r="J35" i="26"/>
  <c r="K31" i="26"/>
  <c r="L31" i="26"/>
  <c r="J31" i="26"/>
  <c r="K27" i="26"/>
  <c r="L27" i="26"/>
  <c r="J27" i="26"/>
  <c r="K23" i="26"/>
  <c r="L23" i="26"/>
  <c r="J23" i="26"/>
  <c r="K19" i="26"/>
  <c r="L19" i="26"/>
  <c r="J19" i="26"/>
  <c r="K15" i="26"/>
  <c r="L15" i="26"/>
  <c r="J15" i="26"/>
  <c r="K11" i="26"/>
  <c r="L11" i="26"/>
  <c r="J11" i="26"/>
  <c r="K7" i="26"/>
  <c r="L7" i="26"/>
  <c r="J7" i="26"/>
  <c r="K84" i="26"/>
  <c r="L84" i="26"/>
  <c r="J84" i="26"/>
  <c r="P84" i="26"/>
  <c r="M84" i="26"/>
  <c r="N84" i="26"/>
  <c r="O84" i="26"/>
  <c r="K159" i="26"/>
  <c r="L159" i="26"/>
  <c r="J159" i="26"/>
  <c r="K155" i="26"/>
  <c r="L155" i="26"/>
  <c r="J155" i="26"/>
  <c r="K151" i="26"/>
  <c r="L151" i="26"/>
  <c r="J151" i="26"/>
  <c r="K147" i="26"/>
  <c r="L147" i="26"/>
  <c r="J147" i="26"/>
  <c r="K143" i="26"/>
  <c r="L143" i="26"/>
  <c r="J143" i="26"/>
  <c r="K139" i="26"/>
  <c r="L139" i="26"/>
  <c r="J139" i="26"/>
  <c r="K135" i="26"/>
  <c r="L135" i="26"/>
  <c r="J135" i="26"/>
  <c r="K131" i="26"/>
  <c r="L131" i="26"/>
  <c r="J131" i="26"/>
  <c r="K128" i="26"/>
  <c r="L128" i="26"/>
  <c r="J128" i="26"/>
  <c r="K126" i="26"/>
  <c r="L126" i="26"/>
  <c r="J126" i="26"/>
  <c r="K124" i="26"/>
  <c r="L124" i="26"/>
  <c r="J124" i="26"/>
  <c r="K122" i="26"/>
  <c r="L122" i="26"/>
  <c r="J122" i="26"/>
  <c r="K120" i="26"/>
  <c r="L120" i="26"/>
  <c r="J120" i="26"/>
  <c r="K118" i="26"/>
  <c r="L118" i="26"/>
  <c r="J118" i="26"/>
  <c r="K116" i="26"/>
  <c r="L116" i="26"/>
  <c r="J116" i="26"/>
  <c r="K114" i="26"/>
  <c r="L114" i="26"/>
  <c r="J114" i="26"/>
  <c r="K112" i="26"/>
  <c r="L112" i="26"/>
  <c r="J112" i="26"/>
  <c r="K110" i="26"/>
  <c r="L110" i="26"/>
  <c r="J110" i="26"/>
  <c r="K108" i="26"/>
  <c r="L108" i="26"/>
  <c r="J108" i="26"/>
  <c r="K106" i="26"/>
  <c r="L106" i="26"/>
  <c r="J106" i="26"/>
  <c r="K104" i="26"/>
  <c r="L104" i="26"/>
  <c r="J104" i="26"/>
  <c r="K102" i="26"/>
  <c r="L102" i="26"/>
  <c r="J102" i="26"/>
  <c r="K100" i="26"/>
  <c r="L100" i="26"/>
  <c r="J100" i="26"/>
  <c r="K98" i="26"/>
  <c r="L98" i="26"/>
  <c r="J98" i="26"/>
  <c r="K96" i="26"/>
  <c r="L96" i="26"/>
  <c r="J96" i="26"/>
  <c r="K94" i="26"/>
  <c r="L94" i="26"/>
  <c r="J94" i="26"/>
  <c r="K92" i="26"/>
  <c r="L92" i="26"/>
  <c r="J92" i="26"/>
  <c r="K90" i="26"/>
  <c r="L90" i="26"/>
  <c r="J90" i="26"/>
  <c r="K88" i="26"/>
  <c r="L88" i="26"/>
  <c r="J88" i="26"/>
  <c r="K163" i="26"/>
  <c r="L163" i="26"/>
  <c r="J163" i="26"/>
  <c r="K167" i="26"/>
  <c r="L167" i="26"/>
  <c r="J167" i="26"/>
  <c r="K171" i="26"/>
  <c r="L171" i="26"/>
  <c r="J171" i="26"/>
  <c r="K175" i="26"/>
  <c r="L175" i="26"/>
  <c r="J175" i="26"/>
  <c r="K179" i="26"/>
  <c r="L179" i="26"/>
  <c r="J179" i="26"/>
  <c r="K183" i="26"/>
  <c r="L183" i="26"/>
  <c r="J183" i="26"/>
  <c r="K187" i="26"/>
  <c r="L187" i="26"/>
  <c r="J187" i="26"/>
  <c r="K191" i="26"/>
  <c r="L191" i="26"/>
  <c r="J191" i="26"/>
  <c r="K195" i="26"/>
  <c r="L195" i="26"/>
  <c r="J195" i="26"/>
  <c r="K199" i="26"/>
  <c r="L199" i="26"/>
  <c r="J199" i="26"/>
  <c r="K203" i="26"/>
  <c r="L203" i="26"/>
  <c r="J203" i="26"/>
  <c r="K207" i="26"/>
  <c r="L207" i="26"/>
  <c r="J207" i="26"/>
  <c r="K211" i="26"/>
  <c r="L211" i="26"/>
  <c r="J211" i="26"/>
  <c r="K215" i="26"/>
  <c r="L215" i="26"/>
  <c r="J215" i="26"/>
  <c r="K219" i="26"/>
  <c r="L219" i="26"/>
  <c r="J219" i="26"/>
  <c r="K223" i="26"/>
  <c r="L223" i="26"/>
  <c r="J223" i="26"/>
  <c r="K227" i="26"/>
  <c r="L227" i="26"/>
  <c r="J227" i="26"/>
  <c r="K231" i="26"/>
  <c r="L231" i="26"/>
  <c r="J231" i="26"/>
  <c r="K235" i="26"/>
  <c r="L235" i="26"/>
  <c r="J235" i="26"/>
  <c r="K239" i="26"/>
  <c r="L239" i="26"/>
  <c r="J239" i="26"/>
  <c r="K315" i="26"/>
  <c r="L315" i="26"/>
  <c r="J315" i="26"/>
  <c r="K311" i="26"/>
  <c r="L311" i="26"/>
  <c r="J311" i="26"/>
  <c r="K307" i="26"/>
  <c r="L307" i="26"/>
  <c r="J307" i="26"/>
  <c r="K303" i="26"/>
  <c r="L303" i="26"/>
  <c r="J303" i="26"/>
  <c r="K299" i="26"/>
  <c r="L299" i="26"/>
  <c r="J299" i="26"/>
  <c r="K295" i="26"/>
  <c r="L295" i="26"/>
  <c r="J295" i="26"/>
  <c r="K291" i="26"/>
  <c r="L291" i="26"/>
  <c r="J291" i="26"/>
  <c r="K287" i="26"/>
  <c r="L287" i="26"/>
  <c r="J287" i="26"/>
  <c r="K283" i="26"/>
  <c r="L283" i="26"/>
  <c r="J283" i="26"/>
  <c r="K279" i="26"/>
  <c r="L279" i="26"/>
  <c r="J279" i="26"/>
  <c r="K275" i="26"/>
  <c r="L275" i="26"/>
  <c r="J275" i="26"/>
  <c r="K271" i="26"/>
  <c r="L271" i="26"/>
  <c r="J271" i="26"/>
  <c r="K267" i="26"/>
  <c r="L267" i="26"/>
  <c r="J267" i="26"/>
  <c r="K263" i="26"/>
  <c r="L263" i="26"/>
  <c r="J263" i="26"/>
  <c r="K259" i="26"/>
  <c r="L259" i="26"/>
  <c r="J259" i="26"/>
  <c r="K255" i="26"/>
  <c r="L255" i="26"/>
  <c r="J255" i="26"/>
  <c r="K251" i="26"/>
  <c r="L251" i="26"/>
  <c r="J251" i="26"/>
  <c r="K247" i="26"/>
  <c r="L247" i="26"/>
  <c r="J247" i="26"/>
  <c r="K243" i="26"/>
  <c r="L243" i="26"/>
  <c r="J243" i="26"/>
  <c r="K395" i="26"/>
  <c r="L395" i="26"/>
  <c r="J395" i="26"/>
  <c r="K391" i="26"/>
  <c r="L391" i="26"/>
  <c r="J391" i="26"/>
  <c r="K387" i="26"/>
  <c r="L387" i="26"/>
  <c r="J387" i="26"/>
  <c r="K383" i="26"/>
  <c r="L383" i="26"/>
  <c r="J383" i="26"/>
  <c r="K379" i="26"/>
  <c r="L379" i="26"/>
  <c r="J379" i="26"/>
  <c r="K375" i="26"/>
  <c r="L375" i="26"/>
  <c r="J375" i="26"/>
  <c r="K371" i="26"/>
  <c r="L371" i="26"/>
  <c r="J371" i="26"/>
  <c r="K367" i="26"/>
  <c r="L367" i="26"/>
  <c r="J367" i="26"/>
  <c r="K363" i="26"/>
  <c r="L363" i="26"/>
  <c r="J363" i="26"/>
  <c r="K359" i="26"/>
  <c r="L359" i="26"/>
  <c r="J359" i="26"/>
  <c r="K355" i="26"/>
  <c r="L355" i="26"/>
  <c r="J355" i="26"/>
  <c r="K351" i="26"/>
  <c r="L351" i="26"/>
  <c r="J351" i="26"/>
  <c r="K347" i="26"/>
  <c r="L347" i="26"/>
  <c r="J347" i="26"/>
  <c r="K343" i="26"/>
  <c r="L343" i="26"/>
  <c r="J343" i="26"/>
  <c r="K339" i="26"/>
  <c r="L339" i="26"/>
  <c r="J339" i="26"/>
  <c r="K335" i="26"/>
  <c r="L335" i="26"/>
  <c r="J335" i="26"/>
  <c r="K331" i="26"/>
  <c r="L331" i="26"/>
  <c r="J331" i="26"/>
  <c r="K327" i="26"/>
  <c r="L327" i="26"/>
  <c r="J327" i="26"/>
  <c r="K323" i="26"/>
  <c r="L323" i="26"/>
  <c r="J323" i="26"/>
  <c r="K319" i="26"/>
  <c r="L319" i="26"/>
  <c r="J319" i="26"/>
  <c r="K471" i="26"/>
  <c r="L471" i="26"/>
  <c r="J471" i="26"/>
  <c r="K467" i="26"/>
  <c r="L467" i="26"/>
  <c r="J467" i="26"/>
  <c r="K463" i="26"/>
  <c r="L463" i="26"/>
  <c r="J463" i="26"/>
  <c r="K459" i="26"/>
  <c r="L459" i="26"/>
  <c r="J459" i="26"/>
  <c r="K455" i="26"/>
  <c r="L455" i="26"/>
  <c r="J455" i="26"/>
  <c r="K451" i="26"/>
  <c r="L451" i="26"/>
  <c r="J451" i="26"/>
  <c r="K447" i="26"/>
  <c r="L447" i="26"/>
  <c r="J447" i="26"/>
  <c r="K443" i="26"/>
  <c r="L443" i="26"/>
  <c r="J443" i="26"/>
  <c r="K439" i="26"/>
  <c r="L439" i="26"/>
  <c r="J439" i="26"/>
  <c r="K435" i="26"/>
  <c r="L435" i="26"/>
  <c r="J435" i="26"/>
  <c r="K431" i="26"/>
  <c r="L431" i="26"/>
  <c r="J431" i="26"/>
  <c r="K427" i="26"/>
  <c r="L427" i="26"/>
  <c r="J427" i="26"/>
  <c r="K423" i="26"/>
  <c r="L423" i="26"/>
  <c r="J423" i="26"/>
  <c r="K419" i="26"/>
  <c r="L419" i="26"/>
  <c r="J419" i="26"/>
  <c r="K415" i="26"/>
  <c r="L415" i="26"/>
  <c r="J415" i="26"/>
  <c r="K411" i="26"/>
  <c r="L411" i="26"/>
  <c r="J411" i="26"/>
  <c r="K407" i="26"/>
  <c r="L407" i="26"/>
  <c r="J407" i="26"/>
  <c r="K403" i="26"/>
  <c r="L403" i="26"/>
  <c r="J403" i="26"/>
  <c r="K399" i="26"/>
  <c r="L399" i="26"/>
  <c r="J399" i="26"/>
  <c r="K551" i="26"/>
  <c r="L551" i="26"/>
  <c r="J551" i="26"/>
  <c r="K547" i="26"/>
  <c r="L547" i="26"/>
  <c r="J547" i="26"/>
  <c r="K543" i="26"/>
  <c r="L543" i="26"/>
  <c r="J543" i="26"/>
  <c r="K539" i="26"/>
  <c r="L539" i="26"/>
  <c r="J539" i="26"/>
  <c r="K535" i="26"/>
  <c r="L535" i="26"/>
  <c r="J535" i="26"/>
  <c r="K531" i="26"/>
  <c r="L531" i="26"/>
  <c r="J531" i="26"/>
  <c r="K527" i="26"/>
  <c r="L527" i="26"/>
  <c r="J527" i="26"/>
  <c r="K523" i="26"/>
  <c r="L523" i="26"/>
  <c r="J523" i="26"/>
  <c r="K519" i="26"/>
  <c r="L519" i="26"/>
  <c r="J519" i="26"/>
  <c r="K515" i="26"/>
  <c r="L515" i="26"/>
  <c r="J515" i="26"/>
  <c r="K511" i="26"/>
  <c r="L511" i="26"/>
  <c r="J511" i="26"/>
  <c r="K507" i="26"/>
  <c r="L507" i="26"/>
  <c r="J507" i="26"/>
  <c r="K503" i="26"/>
  <c r="L503" i="26"/>
  <c r="J503" i="26"/>
  <c r="K499" i="26"/>
  <c r="L499" i="26"/>
  <c r="J499" i="26"/>
  <c r="K495" i="26"/>
  <c r="L495" i="26"/>
  <c r="J495" i="26"/>
  <c r="K491" i="26"/>
  <c r="L491" i="26"/>
  <c r="J491" i="26"/>
  <c r="K487" i="26"/>
  <c r="L487" i="26"/>
  <c r="J487" i="26"/>
  <c r="K483" i="26"/>
  <c r="L483" i="26"/>
  <c r="J483" i="26"/>
  <c r="K479" i="26"/>
  <c r="L479" i="26"/>
  <c r="J479" i="26"/>
  <c r="K475" i="26"/>
  <c r="L475" i="26"/>
  <c r="J475" i="26"/>
  <c r="K707" i="26"/>
  <c r="L707" i="26"/>
  <c r="J707" i="26"/>
  <c r="K703" i="26"/>
  <c r="L703" i="26"/>
  <c r="J703" i="26"/>
  <c r="K699" i="26"/>
  <c r="L699" i="26"/>
  <c r="J699" i="26"/>
  <c r="K695" i="26"/>
  <c r="L695" i="26"/>
  <c r="J695" i="26"/>
  <c r="K691" i="26"/>
  <c r="L691" i="26"/>
  <c r="J691" i="26"/>
  <c r="K687" i="26"/>
  <c r="L687" i="26"/>
  <c r="J687" i="26"/>
  <c r="K683" i="26"/>
  <c r="L683" i="26"/>
  <c r="J683" i="26"/>
  <c r="K679" i="26"/>
  <c r="L679" i="26"/>
  <c r="J679" i="26"/>
  <c r="K675" i="26"/>
  <c r="L675" i="26"/>
  <c r="J675" i="26"/>
  <c r="K671" i="26"/>
  <c r="L671" i="26"/>
  <c r="J671" i="26"/>
  <c r="K667" i="26"/>
  <c r="L667" i="26"/>
  <c r="J667" i="26"/>
  <c r="K663" i="26"/>
  <c r="L663" i="26"/>
  <c r="J663" i="26"/>
  <c r="K659" i="26"/>
  <c r="L659" i="26"/>
  <c r="J659" i="26"/>
  <c r="K655" i="26"/>
  <c r="L655" i="26"/>
  <c r="J655" i="26"/>
  <c r="K651" i="26"/>
  <c r="L651" i="26"/>
  <c r="J651" i="26"/>
  <c r="K647" i="26"/>
  <c r="L647" i="26"/>
  <c r="J647" i="26"/>
  <c r="K643" i="26"/>
  <c r="L643" i="26"/>
  <c r="J643" i="26"/>
  <c r="K639" i="26"/>
  <c r="L639" i="26"/>
  <c r="J639" i="26"/>
  <c r="K635" i="26"/>
  <c r="L635" i="26"/>
  <c r="J635" i="26"/>
  <c r="K631" i="26"/>
  <c r="L631" i="26"/>
  <c r="J631" i="26"/>
  <c r="K783" i="26"/>
  <c r="L783" i="26"/>
  <c r="J783" i="26"/>
  <c r="K779" i="26"/>
  <c r="L779" i="26"/>
  <c r="J779" i="26"/>
  <c r="K775" i="26"/>
  <c r="L775" i="26"/>
  <c r="J775" i="26"/>
  <c r="K771" i="26"/>
  <c r="L771" i="26"/>
  <c r="J771" i="26"/>
  <c r="K767" i="26"/>
  <c r="L767" i="26"/>
  <c r="J767" i="26"/>
  <c r="K763" i="26"/>
  <c r="L763" i="26"/>
  <c r="J763" i="26"/>
  <c r="K759" i="26"/>
  <c r="L759" i="26"/>
  <c r="J759" i="26"/>
  <c r="K755" i="26"/>
  <c r="L755" i="26"/>
  <c r="J755" i="26"/>
  <c r="K751" i="26"/>
  <c r="L751" i="26"/>
  <c r="J751" i="26"/>
  <c r="K747" i="26"/>
  <c r="L747" i="26"/>
  <c r="J747" i="26"/>
  <c r="K743" i="26"/>
  <c r="L743" i="26"/>
  <c r="J743" i="26"/>
  <c r="K739" i="26"/>
  <c r="L739" i="26"/>
  <c r="J739" i="26"/>
  <c r="K735" i="26"/>
  <c r="L735" i="26"/>
  <c r="J735" i="26"/>
  <c r="K731" i="26"/>
  <c r="L731" i="26"/>
  <c r="J731" i="26"/>
  <c r="K727" i="26"/>
  <c r="L727" i="26"/>
  <c r="J727" i="26"/>
  <c r="K723" i="26"/>
  <c r="L723" i="26"/>
  <c r="J723" i="26"/>
  <c r="K719" i="26"/>
  <c r="L719" i="26"/>
  <c r="J719" i="26"/>
  <c r="K715" i="26"/>
  <c r="L715" i="26"/>
  <c r="J715" i="26"/>
  <c r="K711" i="26"/>
  <c r="L711" i="26"/>
  <c r="J711" i="26"/>
  <c r="K838" i="26"/>
  <c r="L838" i="26"/>
  <c r="J838" i="26"/>
  <c r="K834" i="26"/>
  <c r="L834" i="26"/>
  <c r="J834" i="26"/>
  <c r="K830" i="26"/>
  <c r="L830" i="26"/>
  <c r="J830" i="26"/>
  <c r="K826" i="26"/>
  <c r="L826" i="26"/>
  <c r="J826" i="26"/>
  <c r="K822" i="26"/>
  <c r="L822" i="26"/>
  <c r="J822" i="26"/>
  <c r="K818" i="26"/>
  <c r="L818" i="26"/>
  <c r="J818" i="26"/>
  <c r="K814" i="26"/>
  <c r="L814" i="26"/>
  <c r="J814" i="26"/>
  <c r="K810" i="26"/>
  <c r="L810" i="26"/>
  <c r="J810" i="26"/>
  <c r="K806" i="26"/>
  <c r="L806" i="26"/>
  <c r="J806" i="26"/>
  <c r="K802" i="26"/>
  <c r="L802" i="26"/>
  <c r="J802" i="26"/>
  <c r="K798" i="26"/>
  <c r="L798" i="26"/>
  <c r="J798" i="26"/>
  <c r="K794" i="26"/>
  <c r="L794" i="26"/>
  <c r="J794" i="26"/>
  <c r="K790" i="26"/>
  <c r="L790" i="26"/>
  <c r="J790" i="26"/>
  <c r="K849" i="26"/>
  <c r="L849" i="26"/>
  <c r="J849" i="26"/>
  <c r="K845" i="26"/>
  <c r="L845" i="26"/>
  <c r="J845" i="26"/>
  <c r="K841" i="26"/>
  <c r="L841" i="26"/>
  <c r="J841" i="26"/>
  <c r="K861" i="26"/>
  <c r="L861" i="26"/>
  <c r="J861" i="26"/>
  <c r="K857" i="26"/>
  <c r="L857" i="26"/>
  <c r="J857" i="26"/>
  <c r="K853" i="26"/>
  <c r="L853" i="26"/>
  <c r="J853" i="26"/>
  <c r="K863" i="26"/>
  <c r="L863" i="26"/>
  <c r="J863" i="26"/>
  <c r="K932" i="26"/>
  <c r="L932" i="26"/>
  <c r="J932" i="26"/>
  <c r="K928" i="26"/>
  <c r="L928" i="26"/>
  <c r="J928" i="26"/>
  <c r="K924" i="26"/>
  <c r="L924" i="26"/>
  <c r="J924" i="26"/>
  <c r="K920" i="26"/>
  <c r="L920" i="26"/>
  <c r="J920" i="26"/>
  <c r="K916" i="26"/>
  <c r="L916" i="26"/>
  <c r="J916" i="26"/>
  <c r="K912" i="26"/>
  <c r="L912" i="26"/>
  <c r="J912" i="26"/>
  <c r="K908" i="26"/>
  <c r="L908" i="26"/>
  <c r="J908" i="26"/>
  <c r="K904" i="26"/>
  <c r="L904" i="26"/>
  <c r="J904" i="26"/>
  <c r="K900" i="26"/>
  <c r="L900" i="26"/>
  <c r="J900" i="26"/>
  <c r="K896" i="26"/>
  <c r="L896" i="26"/>
  <c r="J896" i="26"/>
  <c r="K892" i="26"/>
  <c r="L892" i="26"/>
  <c r="J892" i="26"/>
  <c r="K888" i="26"/>
  <c r="L888" i="26"/>
  <c r="J888" i="26"/>
  <c r="K884" i="26"/>
  <c r="L884" i="26"/>
  <c r="J884" i="26"/>
  <c r="K880" i="26"/>
  <c r="L880" i="26"/>
  <c r="J880" i="26"/>
  <c r="K876" i="26"/>
  <c r="L876" i="26"/>
  <c r="J876" i="26"/>
  <c r="K872" i="26"/>
  <c r="L872" i="26"/>
  <c r="J872" i="26"/>
  <c r="K868" i="26"/>
  <c r="L868" i="26"/>
  <c r="J868" i="26"/>
  <c r="K941" i="26"/>
  <c r="L941" i="26"/>
  <c r="J941" i="26"/>
  <c r="K937" i="26"/>
  <c r="L937" i="26"/>
  <c r="J937" i="26"/>
  <c r="K34" i="26"/>
  <c r="L34" i="26"/>
  <c r="J34" i="26"/>
  <c r="K160" i="26"/>
  <c r="L160" i="26"/>
  <c r="J160" i="26"/>
  <c r="K136" i="26"/>
  <c r="L136" i="26"/>
  <c r="J136" i="26"/>
  <c r="K170" i="26"/>
  <c r="L170" i="26"/>
  <c r="J170" i="26"/>
  <c r="K186" i="26"/>
  <c r="L186" i="26"/>
  <c r="J186" i="26"/>
  <c r="K190" i="26"/>
  <c r="L190" i="26"/>
  <c r="J190" i="26"/>
  <c r="K198" i="26"/>
  <c r="L198" i="26"/>
  <c r="J198" i="26"/>
  <c r="K202" i="26"/>
  <c r="L202" i="26"/>
  <c r="J202" i="26"/>
  <c r="K210" i="26"/>
  <c r="L210" i="26"/>
  <c r="J210" i="26"/>
  <c r="K214" i="26"/>
  <c r="L214" i="26"/>
  <c r="J214" i="26"/>
  <c r="K222" i="26"/>
  <c r="L222" i="26"/>
  <c r="J222" i="26"/>
  <c r="K226" i="26"/>
  <c r="L226" i="26"/>
  <c r="J226" i="26"/>
  <c r="K238" i="26"/>
  <c r="L238" i="26"/>
  <c r="J238" i="26"/>
  <c r="K316" i="26"/>
  <c r="L316" i="26"/>
  <c r="J316" i="26"/>
  <c r="K288" i="26"/>
  <c r="L288" i="26"/>
  <c r="J288" i="26"/>
  <c r="K272" i="26"/>
  <c r="L272" i="26"/>
  <c r="J272" i="26"/>
  <c r="K268" i="26"/>
  <c r="L268" i="26"/>
  <c r="J268" i="26"/>
  <c r="K244" i="26"/>
  <c r="L244" i="26"/>
  <c r="J244" i="26"/>
  <c r="K380" i="26"/>
  <c r="L380" i="26"/>
  <c r="J380" i="26"/>
  <c r="K372" i="26"/>
  <c r="L372" i="26"/>
  <c r="J372" i="26"/>
  <c r="K364" i="26"/>
  <c r="L364" i="26"/>
  <c r="J364" i="26"/>
  <c r="K356" i="26"/>
  <c r="L356" i="26"/>
  <c r="J356" i="26"/>
  <c r="K348" i="26"/>
  <c r="L348" i="26"/>
  <c r="J348" i="26"/>
  <c r="K340" i="26"/>
  <c r="L340" i="26"/>
  <c r="J340" i="26"/>
  <c r="K336" i="26"/>
  <c r="L336" i="26"/>
  <c r="J336" i="26"/>
  <c r="K332" i="26"/>
  <c r="L332" i="26"/>
  <c r="J332" i="26"/>
  <c r="K320" i="26"/>
  <c r="L320" i="26"/>
  <c r="J320" i="26"/>
  <c r="K464" i="26"/>
  <c r="L464" i="26"/>
  <c r="J464" i="26"/>
  <c r="K452" i="26"/>
  <c r="L452" i="26"/>
  <c r="J452" i="26"/>
  <c r="K448" i="26"/>
  <c r="L448" i="26"/>
  <c r="J448" i="26"/>
  <c r="K436" i="26"/>
  <c r="L436" i="26"/>
  <c r="J436" i="26"/>
  <c r="K424" i="26"/>
  <c r="L424" i="26"/>
  <c r="J424" i="26"/>
  <c r="K474" i="26"/>
  <c r="L474" i="26"/>
  <c r="J474" i="26"/>
  <c r="K544" i="26"/>
  <c r="L544" i="26"/>
  <c r="J544" i="26"/>
  <c r="K532" i="26"/>
  <c r="L532" i="26"/>
  <c r="J532" i="26"/>
  <c r="K520" i="26"/>
  <c r="L520" i="26"/>
  <c r="J520" i="26"/>
  <c r="K512" i="26"/>
  <c r="L512" i="26"/>
  <c r="J512" i="26"/>
  <c r="K476" i="26"/>
  <c r="L476" i="26"/>
  <c r="J476" i="26"/>
  <c r="K696" i="26"/>
  <c r="L696" i="26"/>
  <c r="J696" i="26"/>
  <c r="K688" i="26"/>
  <c r="L688" i="26"/>
  <c r="J688" i="26"/>
  <c r="K672" i="26"/>
  <c r="L672" i="26"/>
  <c r="J672" i="26"/>
  <c r="K664" i="26"/>
  <c r="L664" i="26"/>
  <c r="J664" i="26"/>
  <c r="K652" i="26"/>
  <c r="L652" i="26"/>
  <c r="J652" i="26"/>
  <c r="K648" i="26"/>
  <c r="L648" i="26"/>
  <c r="J648" i="26"/>
  <c r="K640" i="26"/>
  <c r="L640" i="26"/>
  <c r="J640" i="26"/>
  <c r="K636" i="26"/>
  <c r="L636" i="26"/>
  <c r="J636" i="26"/>
  <c r="K776" i="26"/>
  <c r="L776" i="26"/>
  <c r="J776" i="26"/>
  <c r="K768" i="26"/>
  <c r="L768" i="26"/>
  <c r="J768" i="26"/>
  <c r="K760" i="26"/>
  <c r="L760" i="26"/>
  <c r="J760" i="26"/>
  <c r="K756" i="26"/>
  <c r="L756" i="26"/>
  <c r="J756" i="26"/>
  <c r="K748" i="26"/>
  <c r="L748" i="26"/>
  <c r="J748" i="26"/>
  <c r="K736" i="26"/>
  <c r="L736" i="26"/>
  <c r="J736" i="26"/>
  <c r="K728" i="26"/>
  <c r="L728" i="26"/>
  <c r="J728" i="26"/>
  <c r="K716" i="26"/>
  <c r="L716" i="26"/>
  <c r="J716" i="26"/>
  <c r="K831" i="26"/>
  <c r="L831" i="26"/>
  <c r="J831" i="26"/>
  <c r="K823" i="26"/>
  <c r="L823" i="26"/>
  <c r="J823" i="26"/>
  <c r="K819" i="26"/>
  <c r="L819" i="26"/>
  <c r="J819" i="26"/>
  <c r="K807" i="26"/>
  <c r="L807" i="26"/>
  <c r="J807" i="26"/>
  <c r="K803" i="26"/>
  <c r="L803" i="26"/>
  <c r="J803" i="26"/>
  <c r="K846" i="26"/>
  <c r="L846" i="26"/>
  <c r="J846" i="26"/>
  <c r="K862" i="26"/>
  <c r="L862" i="26"/>
  <c r="J862" i="26"/>
  <c r="K854" i="26"/>
  <c r="L854" i="26"/>
  <c r="J854" i="26"/>
  <c r="K850" i="26"/>
  <c r="L850" i="26"/>
  <c r="J850" i="26"/>
  <c r="K933" i="26"/>
  <c r="L933" i="26"/>
  <c r="J933" i="26"/>
  <c r="K929" i="26"/>
  <c r="L929" i="26"/>
  <c r="J929" i="26"/>
  <c r="K921" i="26"/>
  <c r="L921" i="26"/>
  <c r="J921" i="26"/>
  <c r="K917" i="26"/>
  <c r="L917" i="26"/>
  <c r="J917" i="26"/>
  <c r="K913" i="26"/>
  <c r="L913" i="26"/>
  <c r="J913" i="26"/>
  <c r="K905" i="26"/>
  <c r="L905" i="26"/>
  <c r="J905" i="26"/>
  <c r="K897" i="26"/>
  <c r="L897" i="26"/>
  <c r="J897" i="26"/>
  <c r="K889" i="26"/>
  <c r="L889" i="26"/>
  <c r="J889" i="26"/>
  <c r="K881" i="26"/>
  <c r="L881" i="26"/>
  <c r="J881" i="26"/>
  <c r="K873" i="26"/>
  <c r="L873" i="26"/>
  <c r="J873" i="26"/>
  <c r="K12" i="26"/>
  <c r="L12" i="26"/>
  <c r="J12" i="26"/>
  <c r="K85" i="26"/>
  <c r="L85" i="26"/>
  <c r="J85" i="26"/>
  <c r="K158" i="26"/>
  <c r="L158" i="26"/>
  <c r="J158" i="26"/>
  <c r="K154" i="26"/>
  <c r="L154" i="26"/>
  <c r="J154" i="26"/>
  <c r="K150" i="26"/>
  <c r="L150" i="26"/>
  <c r="J150" i="26"/>
  <c r="K146" i="26"/>
  <c r="L146" i="26"/>
  <c r="J146" i="26"/>
  <c r="K142" i="26"/>
  <c r="L142" i="26"/>
  <c r="J142" i="26"/>
  <c r="K138" i="26"/>
  <c r="L138" i="26"/>
  <c r="J138" i="26"/>
  <c r="K134" i="26"/>
  <c r="L134" i="26"/>
  <c r="J134" i="26"/>
  <c r="K130" i="26"/>
  <c r="L130" i="26"/>
  <c r="J130" i="26"/>
  <c r="K164" i="26"/>
  <c r="L164" i="26"/>
  <c r="J164" i="26"/>
  <c r="K168" i="26"/>
  <c r="L168" i="26"/>
  <c r="J168" i="26"/>
  <c r="K172" i="26"/>
  <c r="L172" i="26"/>
  <c r="J172" i="26"/>
  <c r="K176" i="26"/>
  <c r="L176" i="26"/>
  <c r="J176" i="26"/>
  <c r="K180" i="26"/>
  <c r="L180" i="26"/>
  <c r="J180" i="26"/>
  <c r="K184" i="26"/>
  <c r="L184" i="26"/>
  <c r="J184" i="26"/>
  <c r="K188" i="26"/>
  <c r="L188" i="26"/>
  <c r="J188" i="26"/>
  <c r="K192" i="26"/>
  <c r="L192" i="26"/>
  <c r="J192" i="26"/>
  <c r="K196" i="26"/>
  <c r="L196" i="26"/>
  <c r="J196" i="26"/>
  <c r="K200" i="26"/>
  <c r="L200" i="26"/>
  <c r="J200" i="26"/>
  <c r="K204" i="26"/>
  <c r="L204" i="26"/>
  <c r="J204" i="26"/>
  <c r="K208" i="26"/>
  <c r="L208" i="26"/>
  <c r="J208" i="26"/>
  <c r="K212" i="26"/>
  <c r="L212" i="26"/>
  <c r="J212" i="26"/>
  <c r="K216" i="26"/>
  <c r="L216" i="26"/>
  <c r="J216" i="26"/>
  <c r="K220" i="26"/>
  <c r="L220" i="26"/>
  <c r="J220" i="26"/>
  <c r="K224" i="26"/>
  <c r="L224" i="26"/>
  <c r="J224" i="26"/>
  <c r="K228" i="26"/>
  <c r="L228" i="26"/>
  <c r="J228" i="26"/>
  <c r="K232" i="26"/>
  <c r="L232" i="26"/>
  <c r="J232" i="26"/>
  <c r="K236" i="26"/>
  <c r="L236" i="26"/>
  <c r="J236" i="26"/>
  <c r="K240" i="26"/>
  <c r="L240" i="26"/>
  <c r="J240" i="26"/>
  <c r="P240" i="26"/>
  <c r="M240" i="26"/>
  <c r="N240" i="26"/>
  <c r="O240" i="26"/>
  <c r="K314" i="26"/>
  <c r="L314" i="26"/>
  <c r="J314" i="26"/>
  <c r="K310" i="26"/>
  <c r="L310" i="26"/>
  <c r="J310" i="26"/>
  <c r="K306" i="26"/>
  <c r="L306" i="26"/>
  <c r="J306" i="26"/>
  <c r="K302" i="26"/>
  <c r="L302" i="26"/>
  <c r="J302" i="26"/>
  <c r="K298" i="26"/>
  <c r="L298" i="26"/>
  <c r="J298" i="26"/>
  <c r="K294" i="26"/>
  <c r="L294" i="26"/>
  <c r="J294" i="26"/>
  <c r="K290" i="26"/>
  <c r="L290" i="26"/>
  <c r="J290" i="26"/>
  <c r="K286" i="26"/>
  <c r="L286" i="26"/>
  <c r="J286" i="26"/>
  <c r="K282" i="26"/>
  <c r="L282" i="26"/>
  <c r="J282" i="26"/>
  <c r="K278" i="26"/>
  <c r="L278" i="26"/>
  <c r="J278" i="26"/>
  <c r="K274" i="26"/>
  <c r="L274" i="26"/>
  <c r="J274" i="26"/>
  <c r="K270" i="26"/>
  <c r="L270" i="26"/>
  <c r="J270" i="26"/>
  <c r="K266" i="26"/>
  <c r="L266" i="26"/>
  <c r="J266" i="26"/>
  <c r="K262" i="26"/>
  <c r="L262" i="26"/>
  <c r="J262" i="26"/>
  <c r="K258" i="26"/>
  <c r="L258" i="26"/>
  <c r="J258" i="26"/>
  <c r="K254" i="26"/>
  <c r="L254" i="26"/>
  <c r="J254" i="26"/>
  <c r="K250" i="26"/>
  <c r="L250" i="26"/>
  <c r="J250" i="26"/>
  <c r="K246" i="26"/>
  <c r="L246" i="26"/>
  <c r="J246" i="26"/>
  <c r="K242" i="26"/>
  <c r="L242" i="26"/>
  <c r="J242" i="26"/>
  <c r="K394" i="26"/>
  <c r="L394" i="26"/>
  <c r="J394" i="26"/>
  <c r="K390" i="26"/>
  <c r="L390" i="26"/>
  <c r="J390" i="26"/>
  <c r="K386" i="26"/>
  <c r="L386" i="26"/>
  <c r="J386" i="26"/>
  <c r="K382" i="26"/>
  <c r="L382" i="26"/>
  <c r="J382" i="26"/>
  <c r="K378" i="26"/>
  <c r="L378" i="26"/>
  <c r="J378" i="26"/>
  <c r="K374" i="26"/>
  <c r="L374" i="26"/>
  <c r="J374" i="26"/>
  <c r="K370" i="26"/>
  <c r="L370" i="26"/>
  <c r="J370" i="26"/>
  <c r="K366" i="26"/>
  <c r="L366" i="26"/>
  <c r="J366" i="26"/>
  <c r="K362" i="26"/>
  <c r="L362" i="26"/>
  <c r="J362" i="26"/>
  <c r="K358" i="26"/>
  <c r="L358" i="26"/>
  <c r="J358" i="26"/>
  <c r="K354" i="26"/>
  <c r="L354" i="26"/>
  <c r="J354" i="26"/>
  <c r="K350" i="26"/>
  <c r="L350" i="26"/>
  <c r="J350" i="26"/>
  <c r="K346" i="26"/>
  <c r="L346" i="26"/>
  <c r="J346" i="26"/>
  <c r="K342" i="26"/>
  <c r="L342" i="26"/>
  <c r="J342" i="26"/>
  <c r="K338" i="26"/>
  <c r="L338" i="26"/>
  <c r="J338" i="26"/>
  <c r="K334" i="26"/>
  <c r="L334" i="26"/>
  <c r="J334" i="26"/>
  <c r="K330" i="26"/>
  <c r="L330" i="26"/>
  <c r="J330" i="26"/>
  <c r="K326" i="26"/>
  <c r="L326" i="26"/>
  <c r="J326" i="26"/>
  <c r="K322" i="26"/>
  <c r="L322" i="26"/>
  <c r="J322" i="26"/>
  <c r="P396" i="26"/>
  <c r="M396" i="26"/>
  <c r="N396" i="26"/>
  <c r="O396" i="26"/>
  <c r="K396" i="26"/>
  <c r="L396" i="26"/>
  <c r="J396" i="26"/>
  <c r="K470" i="26"/>
  <c r="L470" i="26"/>
  <c r="J470" i="26"/>
  <c r="K466" i="26"/>
  <c r="L466" i="26"/>
  <c r="J466" i="26"/>
  <c r="K462" i="26"/>
  <c r="L462" i="26"/>
  <c r="J462" i="26"/>
  <c r="K458" i="26"/>
  <c r="L458" i="26"/>
  <c r="J458" i="26"/>
  <c r="K454" i="26"/>
  <c r="L454" i="26"/>
  <c r="J454" i="26"/>
  <c r="K450" i="26"/>
  <c r="L450" i="26"/>
  <c r="J450" i="26"/>
  <c r="K446" i="26"/>
  <c r="L446" i="26"/>
  <c r="J446" i="26"/>
  <c r="K442" i="26"/>
  <c r="L442" i="26"/>
  <c r="J442" i="26"/>
  <c r="K438" i="26"/>
  <c r="L438" i="26"/>
  <c r="J438" i="26"/>
  <c r="K434" i="26"/>
  <c r="L434" i="26"/>
  <c r="J434" i="26"/>
  <c r="K430" i="26"/>
  <c r="L430" i="26"/>
  <c r="J430" i="26"/>
  <c r="K426" i="26"/>
  <c r="L426" i="26"/>
  <c r="J426" i="26"/>
  <c r="K422" i="26"/>
  <c r="L422" i="26"/>
  <c r="J422" i="26"/>
  <c r="K418" i="26"/>
  <c r="L418" i="26"/>
  <c r="J418" i="26"/>
  <c r="K414" i="26"/>
  <c r="L414" i="26"/>
  <c r="J414" i="26"/>
  <c r="K410" i="26"/>
  <c r="L410" i="26"/>
  <c r="J410" i="26"/>
  <c r="K406" i="26"/>
  <c r="L406" i="26"/>
  <c r="J406" i="26"/>
  <c r="K402" i="26"/>
  <c r="L402" i="26"/>
  <c r="J402" i="26"/>
  <c r="K398" i="26"/>
  <c r="L398" i="26"/>
  <c r="J398" i="26"/>
  <c r="K550" i="26"/>
  <c r="L550" i="26"/>
  <c r="J550" i="26"/>
  <c r="K546" i="26"/>
  <c r="L546" i="26"/>
  <c r="J546" i="26"/>
  <c r="K542" i="26"/>
  <c r="L542" i="26"/>
  <c r="J542" i="26"/>
  <c r="K538" i="26"/>
  <c r="L538" i="26"/>
  <c r="J538" i="26"/>
  <c r="K534" i="26"/>
  <c r="L534" i="26"/>
  <c r="J534" i="26"/>
  <c r="K530" i="26"/>
  <c r="L530" i="26"/>
  <c r="J530" i="26"/>
  <c r="K526" i="26"/>
  <c r="L526" i="26"/>
  <c r="J526" i="26"/>
  <c r="K522" i="26"/>
  <c r="L522" i="26"/>
  <c r="J522" i="26"/>
  <c r="K518" i="26"/>
  <c r="L518" i="26"/>
  <c r="J518" i="26"/>
  <c r="K514" i="26"/>
  <c r="L514" i="26"/>
  <c r="J514" i="26"/>
  <c r="K510" i="26"/>
  <c r="L510" i="26"/>
  <c r="J510" i="26"/>
  <c r="K506" i="26"/>
  <c r="L506" i="26"/>
  <c r="J506" i="26"/>
  <c r="K502" i="26"/>
  <c r="L502" i="26"/>
  <c r="J502" i="26"/>
  <c r="K498" i="26"/>
  <c r="L498" i="26"/>
  <c r="J498" i="26"/>
  <c r="K494" i="26"/>
  <c r="L494" i="26"/>
  <c r="J494" i="26"/>
  <c r="K490" i="26"/>
  <c r="L490" i="26"/>
  <c r="J490" i="26"/>
  <c r="K486" i="26"/>
  <c r="L486" i="26"/>
  <c r="J486" i="26"/>
  <c r="K482" i="26"/>
  <c r="L482" i="26"/>
  <c r="J482" i="26"/>
  <c r="K478" i="26"/>
  <c r="L478" i="26"/>
  <c r="J478" i="26"/>
  <c r="K706" i="26"/>
  <c r="L706" i="26"/>
  <c r="J706" i="26"/>
  <c r="K702" i="26"/>
  <c r="L702" i="26"/>
  <c r="J702" i="26"/>
  <c r="K698" i="26"/>
  <c r="L698" i="26"/>
  <c r="J698" i="26"/>
  <c r="K694" i="26"/>
  <c r="L694" i="26"/>
  <c r="J694" i="26"/>
  <c r="K690" i="26"/>
  <c r="L690" i="26"/>
  <c r="J690" i="26"/>
  <c r="K686" i="26"/>
  <c r="L686" i="26"/>
  <c r="J686" i="26"/>
  <c r="K682" i="26"/>
  <c r="L682" i="26"/>
  <c r="J682" i="26"/>
  <c r="K678" i="26"/>
  <c r="L678" i="26"/>
  <c r="J678" i="26"/>
  <c r="K674" i="26"/>
  <c r="L674" i="26"/>
  <c r="J674" i="26"/>
  <c r="K670" i="26"/>
  <c r="L670" i="26"/>
  <c r="J670" i="26"/>
  <c r="K666" i="26"/>
  <c r="L666" i="26"/>
  <c r="J666" i="26"/>
  <c r="K662" i="26"/>
  <c r="L662" i="26"/>
  <c r="J662" i="26"/>
  <c r="K658" i="26"/>
  <c r="L658" i="26"/>
  <c r="J658" i="26"/>
  <c r="K654" i="26"/>
  <c r="L654" i="26"/>
  <c r="J654" i="26"/>
  <c r="K650" i="26"/>
  <c r="L650" i="26"/>
  <c r="J650" i="26"/>
  <c r="K646" i="26"/>
  <c r="L646" i="26"/>
  <c r="J646" i="26"/>
  <c r="K642" i="26"/>
  <c r="L642" i="26"/>
  <c r="J642" i="26"/>
  <c r="K638" i="26"/>
  <c r="L638" i="26"/>
  <c r="J638" i="26"/>
  <c r="K634" i="26"/>
  <c r="L634" i="26"/>
  <c r="J634" i="26"/>
  <c r="K708" i="26"/>
  <c r="L708" i="26"/>
  <c r="J708" i="26"/>
  <c r="K782" i="26"/>
  <c r="L782" i="26"/>
  <c r="J782" i="26"/>
  <c r="K778" i="26"/>
  <c r="L778" i="26"/>
  <c r="J778" i="26"/>
  <c r="K774" i="26"/>
  <c r="L774" i="26"/>
  <c r="J774" i="26"/>
  <c r="K770" i="26"/>
  <c r="L770" i="26"/>
  <c r="J770" i="26"/>
  <c r="K766" i="26"/>
  <c r="L766" i="26"/>
  <c r="J766" i="26"/>
  <c r="K762" i="26"/>
  <c r="L762" i="26"/>
  <c r="J762" i="26"/>
  <c r="K758" i="26"/>
  <c r="L758" i="26"/>
  <c r="J758" i="26"/>
  <c r="K754" i="26"/>
  <c r="L754" i="26"/>
  <c r="J754" i="26"/>
  <c r="K750" i="26"/>
  <c r="L750" i="26"/>
  <c r="J750" i="26"/>
  <c r="K746" i="26"/>
  <c r="L746" i="26"/>
  <c r="J746" i="26"/>
  <c r="K742" i="26"/>
  <c r="L742" i="26"/>
  <c r="J742" i="26"/>
  <c r="K738" i="26"/>
  <c r="L738" i="26"/>
  <c r="J738" i="26"/>
  <c r="K734" i="26"/>
  <c r="L734" i="26"/>
  <c r="J734" i="26"/>
  <c r="K730" i="26"/>
  <c r="L730" i="26"/>
  <c r="J730" i="26"/>
  <c r="K726" i="26"/>
  <c r="L726" i="26"/>
  <c r="J726" i="26"/>
  <c r="K722" i="26"/>
  <c r="L722" i="26"/>
  <c r="J722" i="26"/>
  <c r="K718" i="26"/>
  <c r="L718" i="26"/>
  <c r="J718" i="26"/>
  <c r="K714" i="26"/>
  <c r="L714" i="26"/>
  <c r="J714" i="26"/>
  <c r="K710" i="26"/>
  <c r="L710" i="26"/>
  <c r="J710" i="26"/>
  <c r="K837" i="26"/>
  <c r="L837" i="26"/>
  <c r="J837" i="26"/>
  <c r="K833" i="26"/>
  <c r="L833" i="26"/>
  <c r="J833" i="26"/>
  <c r="K829" i="26"/>
  <c r="L829" i="26"/>
  <c r="J829" i="26"/>
  <c r="K825" i="26"/>
  <c r="L825" i="26"/>
  <c r="J825" i="26"/>
  <c r="K821" i="26"/>
  <c r="L821" i="26"/>
  <c r="J821" i="26"/>
  <c r="K817" i="26"/>
  <c r="L817" i="26"/>
  <c r="J817" i="26"/>
  <c r="K813" i="26"/>
  <c r="L813" i="26"/>
  <c r="J813" i="26"/>
  <c r="K809" i="26"/>
  <c r="L809" i="26"/>
  <c r="J809" i="26"/>
  <c r="K805" i="26"/>
  <c r="L805" i="26"/>
  <c r="J805" i="26"/>
  <c r="K801" i="26"/>
  <c r="L801" i="26"/>
  <c r="J801" i="26"/>
  <c r="K797" i="26"/>
  <c r="L797" i="26"/>
  <c r="J797" i="26"/>
  <c r="K793" i="26"/>
  <c r="L793" i="26"/>
  <c r="J793" i="26"/>
  <c r="K789" i="26"/>
  <c r="L789" i="26"/>
  <c r="J789" i="26"/>
  <c r="K848" i="26"/>
  <c r="L848" i="26"/>
  <c r="J848" i="26"/>
  <c r="K844" i="26"/>
  <c r="L844" i="26"/>
  <c r="J844" i="26"/>
  <c r="K840" i="26"/>
  <c r="L840" i="26"/>
  <c r="J840" i="26"/>
  <c r="K860" i="26"/>
  <c r="L860" i="26"/>
  <c r="J860" i="26"/>
  <c r="K856" i="26"/>
  <c r="L856" i="26"/>
  <c r="J856" i="26"/>
  <c r="K852" i="26"/>
  <c r="L852" i="26"/>
  <c r="J852" i="26"/>
  <c r="K864" i="26"/>
  <c r="L864" i="26"/>
  <c r="J864" i="26"/>
  <c r="K931" i="26"/>
  <c r="L931" i="26"/>
  <c r="J931" i="26"/>
  <c r="K927" i="26"/>
  <c r="L927" i="26"/>
  <c r="J927" i="26"/>
  <c r="K923" i="26"/>
  <c r="L923" i="26"/>
  <c r="J923" i="26"/>
  <c r="K919" i="26"/>
  <c r="L919" i="26"/>
  <c r="J919" i="26"/>
  <c r="K915" i="26"/>
  <c r="L915" i="26"/>
  <c r="J915" i="26"/>
  <c r="K911" i="26"/>
  <c r="L911" i="26"/>
  <c r="J911" i="26"/>
  <c r="K907" i="26"/>
  <c r="L907" i="26"/>
  <c r="J907" i="26"/>
  <c r="K903" i="26"/>
  <c r="L903" i="26"/>
  <c r="J903" i="26"/>
  <c r="K899" i="26"/>
  <c r="L899" i="26"/>
  <c r="J899" i="26"/>
  <c r="K895" i="26"/>
  <c r="L895" i="26"/>
  <c r="J895" i="26"/>
  <c r="K891" i="26"/>
  <c r="L891" i="26"/>
  <c r="J891" i="26"/>
  <c r="K887" i="26"/>
  <c r="L887" i="26"/>
  <c r="J887" i="26"/>
  <c r="K883" i="26"/>
  <c r="L883" i="26"/>
  <c r="J883" i="26"/>
  <c r="K879" i="26"/>
  <c r="L879" i="26"/>
  <c r="J879" i="26"/>
  <c r="K875" i="26"/>
  <c r="L875" i="26"/>
  <c r="J875" i="26"/>
  <c r="J871" i="26"/>
  <c r="K871" i="26"/>
  <c r="L871" i="26"/>
  <c r="K867" i="26"/>
  <c r="L867" i="26"/>
  <c r="J867" i="26"/>
  <c r="K940" i="26"/>
  <c r="L940" i="26"/>
  <c r="J940" i="26"/>
  <c r="K936" i="26"/>
  <c r="L936" i="26"/>
  <c r="J936" i="26"/>
  <c r="K30" i="26"/>
  <c r="L30" i="26"/>
  <c r="J30" i="26"/>
  <c r="K26" i="26"/>
  <c r="L26" i="26"/>
  <c r="J26" i="26"/>
  <c r="K22" i="26"/>
  <c r="L22" i="26"/>
  <c r="J22" i="26"/>
  <c r="K18" i="26"/>
  <c r="L18" i="26"/>
  <c r="J18" i="26"/>
  <c r="K14" i="26"/>
  <c r="L14" i="26"/>
  <c r="J14" i="26"/>
  <c r="K10" i="26"/>
  <c r="L10" i="26"/>
  <c r="J10" i="26"/>
  <c r="K86" i="26"/>
  <c r="L86" i="26"/>
  <c r="J86" i="26"/>
  <c r="K156" i="26"/>
  <c r="L156" i="26"/>
  <c r="J156" i="26"/>
  <c r="K148" i="26"/>
  <c r="L148" i="26"/>
  <c r="J148" i="26"/>
  <c r="K178" i="26"/>
  <c r="L178" i="26"/>
  <c r="J178" i="26"/>
  <c r="K182" i="26"/>
  <c r="L182" i="26"/>
  <c r="J182" i="26"/>
  <c r="K194" i="26"/>
  <c r="L194" i="26"/>
  <c r="J194" i="26"/>
  <c r="K206" i="26"/>
  <c r="L206" i="26"/>
  <c r="J206" i="26"/>
  <c r="K218" i="26"/>
  <c r="L218" i="26"/>
  <c r="J218" i="26"/>
  <c r="K230" i="26"/>
  <c r="L230" i="26"/>
  <c r="J230" i="26"/>
  <c r="K234" i="26"/>
  <c r="L234" i="26"/>
  <c r="J234" i="26"/>
  <c r="K308" i="26"/>
  <c r="L308" i="26"/>
  <c r="J308" i="26"/>
  <c r="K300" i="26"/>
  <c r="L300" i="26"/>
  <c r="J300" i="26"/>
  <c r="K296" i="26"/>
  <c r="L296" i="26"/>
  <c r="J296" i="26"/>
  <c r="K292" i="26"/>
  <c r="L292" i="26"/>
  <c r="J292" i="26"/>
  <c r="K280" i="26"/>
  <c r="L280" i="26"/>
  <c r="J280" i="26"/>
  <c r="K276" i="26"/>
  <c r="L276" i="26"/>
  <c r="J276" i="26"/>
  <c r="K260" i="26"/>
  <c r="L260" i="26"/>
  <c r="J260" i="26"/>
  <c r="K256" i="26"/>
  <c r="L256" i="26"/>
  <c r="J256" i="26"/>
  <c r="K252" i="26"/>
  <c r="L252" i="26"/>
  <c r="J252" i="26"/>
  <c r="K248" i="26"/>
  <c r="L248" i="26"/>
  <c r="J248" i="26"/>
  <c r="K318" i="26"/>
  <c r="L318" i="26"/>
  <c r="J318" i="26"/>
  <c r="K384" i="26"/>
  <c r="L384" i="26"/>
  <c r="J384" i="26"/>
  <c r="K344" i="26"/>
  <c r="L344" i="26"/>
  <c r="J344" i="26"/>
  <c r="K324" i="26"/>
  <c r="L324" i="26"/>
  <c r="J324" i="26"/>
  <c r="K472" i="26"/>
  <c r="L472" i="26"/>
  <c r="J472" i="26"/>
  <c r="K460" i="26"/>
  <c r="L460" i="26"/>
  <c r="J460" i="26"/>
  <c r="K456" i="26"/>
  <c r="L456" i="26"/>
  <c r="J456" i="26"/>
  <c r="K444" i="26"/>
  <c r="L444" i="26"/>
  <c r="J444" i="26"/>
  <c r="K432" i="26"/>
  <c r="L432" i="26"/>
  <c r="J432" i="26"/>
  <c r="K408" i="26"/>
  <c r="L408" i="26"/>
  <c r="J408" i="26"/>
  <c r="K548" i="26"/>
  <c r="L548" i="26"/>
  <c r="J548" i="26"/>
  <c r="K540" i="26"/>
  <c r="L540" i="26"/>
  <c r="J540" i="26"/>
  <c r="K528" i="26"/>
  <c r="L528" i="26"/>
  <c r="J528" i="26"/>
  <c r="K516" i="26"/>
  <c r="L516" i="26"/>
  <c r="J516" i="26"/>
  <c r="K492" i="26"/>
  <c r="L492" i="26"/>
  <c r="J492" i="26"/>
  <c r="K488" i="26"/>
  <c r="L488" i="26"/>
  <c r="J488" i="26"/>
  <c r="K484" i="26"/>
  <c r="L484" i="26"/>
  <c r="J484" i="26"/>
  <c r="K480" i="26"/>
  <c r="L480" i="26"/>
  <c r="J480" i="26"/>
  <c r="K700" i="26"/>
  <c r="L700" i="26"/>
  <c r="J700" i="26"/>
  <c r="K668" i="26"/>
  <c r="L668" i="26"/>
  <c r="J668" i="26"/>
  <c r="K660" i="26"/>
  <c r="L660" i="26"/>
  <c r="J660" i="26"/>
  <c r="K644" i="26"/>
  <c r="L644" i="26"/>
  <c r="J644" i="26"/>
  <c r="K784" i="26"/>
  <c r="L784" i="26"/>
  <c r="J784" i="26"/>
  <c r="K772" i="26"/>
  <c r="L772" i="26"/>
  <c r="J772" i="26"/>
  <c r="K764" i="26"/>
  <c r="L764" i="26"/>
  <c r="J764" i="26"/>
  <c r="K740" i="26"/>
  <c r="L740" i="26"/>
  <c r="J740" i="26"/>
  <c r="K720" i="26"/>
  <c r="L720" i="26"/>
  <c r="J720" i="26"/>
  <c r="K835" i="26"/>
  <c r="L835" i="26"/>
  <c r="J835" i="26"/>
  <c r="K827" i="26"/>
  <c r="L827" i="26"/>
  <c r="J827" i="26"/>
  <c r="K815" i="26"/>
  <c r="L815" i="26"/>
  <c r="J815" i="26"/>
  <c r="K795" i="26"/>
  <c r="L795" i="26"/>
  <c r="J795" i="26"/>
  <c r="K787" i="26"/>
  <c r="L787" i="26"/>
  <c r="J787" i="26"/>
  <c r="K909" i="26"/>
  <c r="L909" i="26"/>
  <c r="J909" i="26"/>
  <c r="K36" i="26"/>
  <c r="L36" i="26"/>
  <c r="J36" i="26"/>
  <c r="K32" i="26"/>
  <c r="L32" i="26"/>
  <c r="J32" i="26"/>
  <c r="K28" i="26"/>
  <c r="L28" i="26"/>
  <c r="J28" i="26"/>
  <c r="K24" i="26"/>
  <c r="L24" i="26"/>
  <c r="J24" i="26"/>
  <c r="K20" i="26"/>
  <c r="L20" i="26"/>
  <c r="J20" i="26"/>
  <c r="K16" i="26"/>
  <c r="L16" i="26"/>
  <c r="J16" i="26"/>
  <c r="K8" i="26"/>
  <c r="L8" i="26"/>
  <c r="J8" i="26"/>
  <c r="K6" i="26"/>
  <c r="L6" i="26"/>
  <c r="J6" i="26"/>
  <c r="K33" i="26"/>
  <c r="L33" i="26"/>
  <c r="J33" i="26"/>
  <c r="K29" i="26"/>
  <c r="L29" i="26"/>
  <c r="J29" i="26"/>
  <c r="K25" i="26"/>
  <c r="L25" i="26"/>
  <c r="J25" i="26"/>
  <c r="K21" i="26"/>
  <c r="L21" i="26"/>
  <c r="J21" i="26"/>
  <c r="K17" i="26"/>
  <c r="L17" i="26"/>
  <c r="J17" i="26"/>
  <c r="K13" i="26"/>
  <c r="L13" i="26"/>
  <c r="J13" i="26"/>
  <c r="K9" i="26"/>
  <c r="L9" i="26"/>
  <c r="J9" i="26"/>
  <c r="K161" i="26"/>
  <c r="L161" i="26"/>
  <c r="J161" i="26"/>
  <c r="K157" i="26"/>
  <c r="L157" i="26"/>
  <c r="J157" i="26"/>
  <c r="K153" i="26"/>
  <c r="L153" i="26"/>
  <c r="J153" i="26"/>
  <c r="K149" i="26"/>
  <c r="L149" i="26"/>
  <c r="J149" i="26"/>
  <c r="K145" i="26"/>
  <c r="L145" i="26"/>
  <c r="J145" i="26"/>
  <c r="K141" i="26"/>
  <c r="L141" i="26"/>
  <c r="J141" i="26"/>
  <c r="K137" i="26"/>
  <c r="L137" i="26"/>
  <c r="J137" i="26"/>
  <c r="K133" i="26"/>
  <c r="L133" i="26"/>
  <c r="J133" i="26"/>
  <c r="K129" i="26"/>
  <c r="L129" i="26"/>
  <c r="J129" i="26"/>
  <c r="K127" i="26"/>
  <c r="L127" i="26"/>
  <c r="J127" i="26"/>
  <c r="K125" i="26"/>
  <c r="L125" i="26"/>
  <c r="J125" i="26"/>
  <c r="K123" i="26"/>
  <c r="L123" i="26"/>
  <c r="J123" i="26"/>
  <c r="K121" i="26"/>
  <c r="L121" i="26"/>
  <c r="J121" i="26"/>
  <c r="K119" i="26"/>
  <c r="L119" i="26"/>
  <c r="J119" i="26"/>
  <c r="K117" i="26"/>
  <c r="L117" i="26"/>
  <c r="J117" i="26"/>
  <c r="K115" i="26"/>
  <c r="L115" i="26"/>
  <c r="J115" i="26"/>
  <c r="K113" i="26"/>
  <c r="L113" i="26"/>
  <c r="J113" i="26"/>
  <c r="K111" i="26"/>
  <c r="L111" i="26"/>
  <c r="J111" i="26"/>
  <c r="K109" i="26"/>
  <c r="L109" i="26"/>
  <c r="J109" i="26"/>
  <c r="K107" i="26"/>
  <c r="L107" i="26"/>
  <c r="J107" i="26"/>
  <c r="K105" i="26"/>
  <c r="L105" i="26"/>
  <c r="J105" i="26"/>
  <c r="K103" i="26"/>
  <c r="L103" i="26"/>
  <c r="J103" i="26"/>
  <c r="K101" i="26"/>
  <c r="L101" i="26"/>
  <c r="J101" i="26"/>
  <c r="K99" i="26"/>
  <c r="L99" i="26"/>
  <c r="J99" i="26"/>
  <c r="K97" i="26"/>
  <c r="L97" i="26"/>
  <c r="J97" i="26"/>
  <c r="K95" i="26"/>
  <c r="L95" i="26"/>
  <c r="J95" i="26"/>
  <c r="K93" i="26"/>
  <c r="L93" i="26"/>
  <c r="J93" i="26"/>
  <c r="K91" i="26"/>
  <c r="L91" i="26"/>
  <c r="J91" i="26"/>
  <c r="K89" i="26"/>
  <c r="L89" i="26"/>
  <c r="J89" i="26"/>
  <c r="K87" i="26"/>
  <c r="L87" i="26"/>
  <c r="J87" i="26"/>
  <c r="K165" i="26"/>
  <c r="L165" i="26"/>
  <c r="J165" i="26"/>
  <c r="K169" i="26"/>
  <c r="L169" i="26"/>
  <c r="J169" i="26"/>
  <c r="K173" i="26"/>
  <c r="L173" i="26"/>
  <c r="J173" i="26"/>
  <c r="K177" i="26"/>
  <c r="L177" i="26"/>
  <c r="J177" i="26"/>
  <c r="K181" i="26"/>
  <c r="L181" i="26"/>
  <c r="J181" i="26"/>
  <c r="K185" i="26"/>
  <c r="L185" i="26"/>
  <c r="J185" i="26"/>
  <c r="K189" i="26"/>
  <c r="L189" i="26"/>
  <c r="J189" i="26"/>
  <c r="K193" i="26"/>
  <c r="L193" i="26"/>
  <c r="J193" i="26"/>
  <c r="K197" i="26"/>
  <c r="L197" i="26"/>
  <c r="J197" i="26"/>
  <c r="K201" i="26"/>
  <c r="L201" i="26"/>
  <c r="J201" i="26"/>
  <c r="K205" i="26"/>
  <c r="L205" i="26"/>
  <c r="J205" i="26"/>
  <c r="K209" i="26"/>
  <c r="L209" i="26"/>
  <c r="J209" i="26"/>
  <c r="K213" i="26"/>
  <c r="L213" i="26"/>
  <c r="J213" i="26"/>
  <c r="K217" i="26"/>
  <c r="L217" i="26"/>
  <c r="J217" i="26"/>
  <c r="K221" i="26"/>
  <c r="L221" i="26"/>
  <c r="J221" i="26"/>
  <c r="K225" i="26"/>
  <c r="L225" i="26"/>
  <c r="J225" i="26"/>
  <c r="K229" i="26"/>
  <c r="L229" i="26"/>
  <c r="J229" i="26"/>
  <c r="K233" i="26"/>
  <c r="L233" i="26"/>
  <c r="J233" i="26"/>
  <c r="K237" i="26"/>
  <c r="L237" i="26"/>
  <c r="J237" i="26"/>
  <c r="K317" i="26"/>
  <c r="L317" i="26"/>
  <c r="J317" i="26"/>
  <c r="K313" i="26"/>
  <c r="L313" i="26"/>
  <c r="J313" i="26"/>
  <c r="K309" i="26"/>
  <c r="L309" i="26"/>
  <c r="J309" i="26"/>
  <c r="K305" i="26"/>
  <c r="L305" i="26"/>
  <c r="J305" i="26"/>
  <c r="K301" i="26"/>
  <c r="L301" i="26"/>
  <c r="J301" i="26"/>
  <c r="K297" i="26"/>
  <c r="L297" i="26"/>
  <c r="J297" i="26"/>
  <c r="K293" i="26"/>
  <c r="L293" i="26"/>
  <c r="J293" i="26"/>
  <c r="K289" i="26"/>
  <c r="L289" i="26"/>
  <c r="J289" i="26"/>
  <c r="K285" i="26"/>
  <c r="L285" i="26"/>
  <c r="J285" i="26"/>
  <c r="K281" i="26"/>
  <c r="L281" i="26"/>
  <c r="J281" i="26"/>
  <c r="K277" i="26"/>
  <c r="L277" i="26"/>
  <c r="J277" i="26"/>
  <c r="K273" i="26"/>
  <c r="L273" i="26"/>
  <c r="J273" i="26"/>
  <c r="K269" i="26"/>
  <c r="L269" i="26"/>
  <c r="J269" i="26"/>
  <c r="K265" i="26"/>
  <c r="L265" i="26"/>
  <c r="J265" i="26"/>
  <c r="K261" i="26"/>
  <c r="L261" i="26"/>
  <c r="J261" i="26"/>
  <c r="K257" i="26"/>
  <c r="L257" i="26"/>
  <c r="J257" i="26"/>
  <c r="K253" i="26"/>
  <c r="L253" i="26"/>
  <c r="J253" i="26"/>
  <c r="K249" i="26"/>
  <c r="L249" i="26"/>
  <c r="J249" i="26"/>
  <c r="K245" i="26"/>
  <c r="L245" i="26"/>
  <c r="J245" i="26"/>
  <c r="K241" i="26"/>
  <c r="L241" i="26"/>
  <c r="J241" i="26"/>
  <c r="K393" i="26"/>
  <c r="L393" i="26"/>
  <c r="J393" i="26"/>
  <c r="K389" i="26"/>
  <c r="L389" i="26"/>
  <c r="J389" i="26"/>
  <c r="K385" i="26"/>
  <c r="L385" i="26"/>
  <c r="J385" i="26"/>
  <c r="K381" i="26"/>
  <c r="L381" i="26"/>
  <c r="J381" i="26"/>
  <c r="K377" i="26"/>
  <c r="L377" i="26"/>
  <c r="J377" i="26"/>
  <c r="K373" i="26"/>
  <c r="L373" i="26"/>
  <c r="J373" i="26"/>
  <c r="K369" i="26"/>
  <c r="L369" i="26"/>
  <c r="J369" i="26"/>
  <c r="K365" i="26"/>
  <c r="L365" i="26"/>
  <c r="J365" i="26"/>
  <c r="K361" i="26"/>
  <c r="L361" i="26"/>
  <c r="J361" i="26"/>
  <c r="K357" i="26"/>
  <c r="L357" i="26"/>
  <c r="J357" i="26"/>
  <c r="K353" i="26"/>
  <c r="L353" i="26"/>
  <c r="J353" i="26"/>
  <c r="K349" i="26"/>
  <c r="L349" i="26"/>
  <c r="J349" i="26"/>
  <c r="K345" i="26"/>
  <c r="L345" i="26"/>
  <c r="J345" i="26"/>
  <c r="K341" i="26"/>
  <c r="L341" i="26"/>
  <c r="J341" i="26"/>
  <c r="K337" i="26"/>
  <c r="L337" i="26"/>
  <c r="J337" i="26"/>
  <c r="K333" i="26"/>
  <c r="L333" i="26"/>
  <c r="J333" i="26"/>
  <c r="K329" i="26"/>
  <c r="L329" i="26"/>
  <c r="J329" i="26"/>
  <c r="K325" i="26"/>
  <c r="L325" i="26"/>
  <c r="J325" i="26"/>
  <c r="K321" i="26"/>
  <c r="L321" i="26"/>
  <c r="J321" i="26"/>
  <c r="K473" i="26"/>
  <c r="L473" i="26"/>
  <c r="J473" i="26"/>
  <c r="K469" i="26"/>
  <c r="L469" i="26"/>
  <c r="J469" i="26"/>
  <c r="K465" i="26"/>
  <c r="L465" i="26"/>
  <c r="J465" i="26"/>
  <c r="K461" i="26"/>
  <c r="L461" i="26"/>
  <c r="J461" i="26"/>
  <c r="K457" i="26"/>
  <c r="L457" i="26"/>
  <c r="J457" i="26"/>
  <c r="K453" i="26"/>
  <c r="L453" i="26"/>
  <c r="J453" i="26"/>
  <c r="K449" i="26"/>
  <c r="L449" i="26"/>
  <c r="J449" i="26"/>
  <c r="K445" i="26"/>
  <c r="L445" i="26"/>
  <c r="J445" i="26"/>
  <c r="K441" i="26"/>
  <c r="L441" i="26"/>
  <c r="J441" i="26"/>
  <c r="K437" i="26"/>
  <c r="L437" i="26"/>
  <c r="J437" i="26"/>
  <c r="K433" i="26"/>
  <c r="L433" i="26"/>
  <c r="J433" i="26"/>
  <c r="K429" i="26"/>
  <c r="L429" i="26"/>
  <c r="J429" i="26"/>
  <c r="K425" i="26"/>
  <c r="L425" i="26"/>
  <c r="J425" i="26"/>
  <c r="K421" i="26"/>
  <c r="L421" i="26"/>
  <c r="J421" i="26"/>
  <c r="K417" i="26"/>
  <c r="L417" i="26"/>
  <c r="J417" i="26"/>
  <c r="K413" i="26"/>
  <c r="L413" i="26"/>
  <c r="J413" i="26"/>
  <c r="K409" i="26"/>
  <c r="L409" i="26"/>
  <c r="J409" i="26"/>
  <c r="K405" i="26"/>
  <c r="L405" i="26"/>
  <c r="J405" i="26"/>
  <c r="K401" i="26"/>
  <c r="L401" i="26"/>
  <c r="J401" i="26"/>
  <c r="K397" i="26"/>
  <c r="L397" i="26"/>
  <c r="J397" i="26"/>
  <c r="K549" i="26"/>
  <c r="L549" i="26"/>
  <c r="J549" i="26"/>
  <c r="K545" i="26"/>
  <c r="L545" i="26"/>
  <c r="J545" i="26"/>
  <c r="K541" i="26"/>
  <c r="L541" i="26"/>
  <c r="J541" i="26"/>
  <c r="K537" i="26"/>
  <c r="L537" i="26"/>
  <c r="J537" i="26"/>
  <c r="K533" i="26"/>
  <c r="L533" i="26"/>
  <c r="J533" i="26"/>
  <c r="K529" i="26"/>
  <c r="L529" i="26"/>
  <c r="J529" i="26"/>
  <c r="K525" i="26"/>
  <c r="L525" i="26"/>
  <c r="J525" i="26"/>
  <c r="K521" i="26"/>
  <c r="L521" i="26"/>
  <c r="J521" i="26"/>
  <c r="K517" i="26"/>
  <c r="L517" i="26"/>
  <c r="J517" i="26"/>
  <c r="K513" i="26"/>
  <c r="L513" i="26"/>
  <c r="J513" i="26"/>
  <c r="K509" i="26"/>
  <c r="L509" i="26"/>
  <c r="J509" i="26"/>
  <c r="K505" i="26"/>
  <c r="L505" i="26"/>
  <c r="J505" i="26"/>
  <c r="K501" i="26"/>
  <c r="L501" i="26"/>
  <c r="J501" i="26"/>
  <c r="K497" i="26"/>
  <c r="L497" i="26"/>
  <c r="J497" i="26"/>
  <c r="K493" i="26"/>
  <c r="L493" i="26"/>
  <c r="J493" i="26"/>
  <c r="K489" i="26"/>
  <c r="L489" i="26"/>
  <c r="J489" i="26"/>
  <c r="K485" i="26"/>
  <c r="L485" i="26"/>
  <c r="J485" i="26"/>
  <c r="K481" i="26"/>
  <c r="L481" i="26"/>
  <c r="J481" i="26"/>
  <c r="K477" i="26"/>
  <c r="L477" i="26"/>
  <c r="J477" i="26"/>
  <c r="K705" i="26"/>
  <c r="L705" i="26"/>
  <c r="J705" i="26"/>
  <c r="K701" i="26"/>
  <c r="L701" i="26"/>
  <c r="J701" i="26"/>
  <c r="K697" i="26"/>
  <c r="L697" i="26"/>
  <c r="J697" i="26"/>
  <c r="K693" i="26"/>
  <c r="L693" i="26"/>
  <c r="J693" i="26"/>
  <c r="K689" i="26"/>
  <c r="L689" i="26"/>
  <c r="J689" i="26"/>
  <c r="K685" i="26"/>
  <c r="L685" i="26"/>
  <c r="J685" i="26"/>
  <c r="K681" i="26"/>
  <c r="L681" i="26"/>
  <c r="J681" i="26"/>
  <c r="K677" i="26"/>
  <c r="L677" i="26"/>
  <c r="J677" i="26"/>
  <c r="K673" i="26"/>
  <c r="L673" i="26"/>
  <c r="J673" i="26"/>
  <c r="K669" i="26"/>
  <c r="L669" i="26"/>
  <c r="J669" i="26"/>
  <c r="K665" i="26"/>
  <c r="L665" i="26"/>
  <c r="J665" i="26"/>
  <c r="K661" i="26"/>
  <c r="L661" i="26"/>
  <c r="J661" i="26"/>
  <c r="K657" i="26"/>
  <c r="L657" i="26"/>
  <c r="J657" i="26"/>
  <c r="K653" i="26"/>
  <c r="L653" i="26"/>
  <c r="J653" i="26"/>
  <c r="K649" i="26"/>
  <c r="L649" i="26"/>
  <c r="J649" i="26"/>
  <c r="K645" i="26"/>
  <c r="L645" i="26"/>
  <c r="J645" i="26"/>
  <c r="K641" i="26"/>
  <c r="L641" i="26"/>
  <c r="J641" i="26"/>
  <c r="K637" i="26"/>
  <c r="L637" i="26"/>
  <c r="J637" i="26"/>
  <c r="K633" i="26"/>
  <c r="L633" i="26"/>
  <c r="J633" i="26"/>
  <c r="K785" i="26"/>
  <c r="L785" i="26"/>
  <c r="J785" i="26"/>
  <c r="K781" i="26"/>
  <c r="L781" i="26"/>
  <c r="J781" i="26"/>
  <c r="K777" i="26"/>
  <c r="L777" i="26"/>
  <c r="J777" i="26"/>
  <c r="K773" i="26"/>
  <c r="L773" i="26"/>
  <c r="J773" i="26"/>
  <c r="K769" i="26"/>
  <c r="L769" i="26"/>
  <c r="J769" i="26"/>
  <c r="K765" i="26"/>
  <c r="L765" i="26"/>
  <c r="J765" i="26"/>
  <c r="K761" i="26"/>
  <c r="L761" i="26"/>
  <c r="J761" i="26"/>
  <c r="K757" i="26"/>
  <c r="L757" i="26"/>
  <c r="J757" i="26"/>
  <c r="K753" i="26"/>
  <c r="L753" i="26"/>
  <c r="J753" i="26"/>
  <c r="K749" i="26"/>
  <c r="L749" i="26"/>
  <c r="J749" i="26"/>
  <c r="K745" i="26"/>
  <c r="L745" i="26"/>
  <c r="J745" i="26"/>
  <c r="K741" i="26"/>
  <c r="L741" i="26"/>
  <c r="J741" i="26"/>
  <c r="K737" i="26"/>
  <c r="L737" i="26"/>
  <c r="J737" i="26"/>
  <c r="K733" i="26"/>
  <c r="L733" i="26"/>
  <c r="J733" i="26"/>
  <c r="K729" i="26"/>
  <c r="L729" i="26"/>
  <c r="J729" i="26"/>
  <c r="K725" i="26"/>
  <c r="L725" i="26"/>
  <c r="J725" i="26"/>
  <c r="K721" i="26"/>
  <c r="L721" i="26"/>
  <c r="J721" i="26"/>
  <c r="K717" i="26"/>
  <c r="L717" i="26"/>
  <c r="J717" i="26"/>
  <c r="K713" i="26"/>
  <c r="L713" i="26"/>
  <c r="J713" i="26"/>
  <c r="K709" i="26"/>
  <c r="L709" i="26"/>
  <c r="J709" i="26"/>
  <c r="K836" i="26"/>
  <c r="L836" i="26"/>
  <c r="J836" i="26"/>
  <c r="K832" i="26"/>
  <c r="L832" i="26"/>
  <c r="J832" i="26"/>
  <c r="K828" i="26"/>
  <c r="L828" i="26"/>
  <c r="J828" i="26"/>
  <c r="K824" i="26"/>
  <c r="L824" i="26"/>
  <c r="J824" i="26"/>
  <c r="K820" i="26"/>
  <c r="L820" i="26"/>
  <c r="J820" i="26"/>
  <c r="K816" i="26"/>
  <c r="L816" i="26"/>
  <c r="J816" i="26"/>
  <c r="K812" i="26"/>
  <c r="L812" i="26"/>
  <c r="J812" i="26"/>
  <c r="K808" i="26"/>
  <c r="L808" i="26"/>
  <c r="J808" i="26"/>
  <c r="K804" i="26"/>
  <c r="L804" i="26"/>
  <c r="J804" i="26"/>
  <c r="K800" i="26"/>
  <c r="L800" i="26"/>
  <c r="J800" i="26"/>
  <c r="K796" i="26"/>
  <c r="L796" i="26"/>
  <c r="J796" i="26"/>
  <c r="K792" i="26"/>
  <c r="L792" i="26"/>
  <c r="J792" i="26"/>
  <c r="K788" i="26"/>
  <c r="L788" i="26"/>
  <c r="J788" i="26"/>
  <c r="K847" i="26"/>
  <c r="L847" i="26"/>
  <c r="J847" i="26"/>
  <c r="K843" i="26"/>
  <c r="L843" i="26"/>
  <c r="J843" i="26"/>
  <c r="K839" i="26"/>
  <c r="L839" i="26"/>
  <c r="J839" i="26"/>
  <c r="K859" i="26"/>
  <c r="L859" i="26"/>
  <c r="J859" i="26"/>
  <c r="K855" i="26"/>
  <c r="L855" i="26"/>
  <c r="J855" i="26"/>
  <c r="K851" i="26"/>
  <c r="L851" i="26"/>
  <c r="J851" i="26"/>
  <c r="K934" i="26"/>
  <c r="L934" i="26"/>
  <c r="J934" i="26"/>
  <c r="K930" i="26"/>
  <c r="L930" i="26"/>
  <c r="J930" i="26"/>
  <c r="K926" i="26"/>
  <c r="L926" i="26"/>
  <c r="J926" i="26"/>
  <c r="K922" i="26"/>
  <c r="L922" i="26"/>
  <c r="J922" i="26"/>
  <c r="K918" i="26"/>
  <c r="L918" i="26"/>
  <c r="J918" i="26"/>
  <c r="K914" i="26"/>
  <c r="L914" i="26"/>
  <c r="J914" i="26"/>
  <c r="K910" i="26"/>
  <c r="L910" i="26"/>
  <c r="J910" i="26"/>
  <c r="K906" i="26"/>
  <c r="L906" i="26"/>
  <c r="J906" i="26"/>
  <c r="K902" i="26"/>
  <c r="L902" i="26"/>
  <c r="J902" i="26"/>
  <c r="K898" i="26"/>
  <c r="L898" i="26"/>
  <c r="J898" i="26"/>
  <c r="K894" i="26"/>
  <c r="L894" i="26"/>
  <c r="J894" i="26"/>
  <c r="K890" i="26"/>
  <c r="L890" i="26"/>
  <c r="J890" i="26"/>
  <c r="K886" i="26"/>
  <c r="L886" i="26"/>
  <c r="J886" i="26"/>
  <c r="K882" i="26"/>
  <c r="L882" i="26"/>
  <c r="J882" i="26"/>
  <c r="K878" i="26"/>
  <c r="L878" i="26"/>
  <c r="J878" i="26"/>
  <c r="K874" i="26"/>
  <c r="L874" i="26"/>
  <c r="J874" i="26"/>
  <c r="K870" i="26"/>
  <c r="L870" i="26"/>
  <c r="J870" i="26"/>
  <c r="K866" i="26"/>
  <c r="L866" i="26"/>
  <c r="J866" i="26"/>
  <c r="K939" i="26"/>
  <c r="L939" i="26"/>
  <c r="J939" i="26"/>
  <c r="K935" i="26"/>
  <c r="L935" i="26"/>
  <c r="J935" i="26"/>
  <c r="J628" i="26"/>
  <c r="K628" i="26"/>
  <c r="L628" i="26"/>
  <c r="J616" i="26"/>
  <c r="K616" i="26"/>
  <c r="L616" i="26"/>
  <c r="J608" i="26"/>
  <c r="K608" i="26"/>
  <c r="L608" i="26"/>
  <c r="J600" i="26"/>
  <c r="K600" i="26"/>
  <c r="L600" i="26"/>
  <c r="J592" i="26"/>
  <c r="K592" i="26"/>
  <c r="L592" i="26"/>
  <c r="J588" i="26"/>
  <c r="K588" i="26"/>
  <c r="L588" i="26"/>
  <c r="J627" i="26"/>
  <c r="K627" i="26"/>
  <c r="L627" i="26"/>
  <c r="J623" i="26"/>
  <c r="K623" i="26"/>
  <c r="L623" i="26"/>
  <c r="J615" i="26"/>
  <c r="K615" i="26"/>
  <c r="L615" i="26"/>
  <c r="J603" i="26"/>
  <c r="K603" i="26"/>
  <c r="L603" i="26"/>
  <c r="J595" i="26"/>
  <c r="K595" i="26"/>
  <c r="L595" i="26"/>
  <c r="J591" i="26"/>
  <c r="K591" i="26"/>
  <c r="L591" i="26"/>
  <c r="K626" i="26"/>
  <c r="L626" i="26"/>
  <c r="J626" i="26"/>
  <c r="K622" i="26"/>
  <c r="L622" i="26"/>
  <c r="J622" i="26"/>
  <c r="K618" i="26"/>
  <c r="L618" i="26"/>
  <c r="J618" i="26"/>
  <c r="K614" i="26"/>
  <c r="L614" i="26"/>
  <c r="J614" i="26"/>
  <c r="K610" i="26"/>
  <c r="L610" i="26"/>
  <c r="J610" i="26"/>
  <c r="K606" i="26"/>
  <c r="L606" i="26"/>
  <c r="J606" i="26"/>
  <c r="K602" i="26"/>
  <c r="L602" i="26"/>
  <c r="J602" i="26"/>
  <c r="K598" i="26"/>
  <c r="L598" i="26"/>
  <c r="J598" i="26"/>
  <c r="K594" i="26"/>
  <c r="L594" i="26"/>
  <c r="J594" i="26"/>
  <c r="K590" i="26"/>
  <c r="L590" i="26"/>
  <c r="J590" i="26"/>
  <c r="K586" i="26"/>
  <c r="L586" i="26"/>
  <c r="J586" i="26"/>
  <c r="J624" i="26"/>
  <c r="K624" i="26"/>
  <c r="L624" i="26"/>
  <c r="J620" i="26"/>
  <c r="K620" i="26"/>
  <c r="L620" i="26"/>
  <c r="J612" i="26"/>
  <c r="K612" i="26"/>
  <c r="L612" i="26"/>
  <c r="J604" i="26"/>
  <c r="K604" i="26"/>
  <c r="L604" i="26"/>
  <c r="J596" i="26"/>
  <c r="K596" i="26"/>
  <c r="L596" i="26"/>
  <c r="J584" i="26"/>
  <c r="K584" i="26"/>
  <c r="L584" i="26"/>
  <c r="J619" i="26"/>
  <c r="K619" i="26"/>
  <c r="L619" i="26"/>
  <c r="J611" i="26"/>
  <c r="K611" i="26"/>
  <c r="L611" i="26"/>
  <c r="J607" i="26"/>
  <c r="K607" i="26"/>
  <c r="L607" i="26"/>
  <c r="J599" i="26"/>
  <c r="K599" i="26"/>
  <c r="L599" i="26"/>
  <c r="J587" i="26"/>
  <c r="K587" i="26"/>
  <c r="L587" i="26"/>
  <c r="K629" i="26"/>
  <c r="L629" i="26"/>
  <c r="J629" i="26"/>
  <c r="K625" i="26"/>
  <c r="L625" i="26"/>
  <c r="J625" i="26"/>
  <c r="K621" i="26"/>
  <c r="L621" i="26"/>
  <c r="J621" i="26"/>
  <c r="K617" i="26"/>
  <c r="L617" i="26"/>
  <c r="J617" i="26"/>
  <c r="K613" i="26"/>
  <c r="L613" i="26"/>
  <c r="J613" i="26"/>
  <c r="K609" i="26"/>
  <c r="L609" i="26"/>
  <c r="J609" i="26"/>
  <c r="K605" i="26"/>
  <c r="L605" i="26"/>
  <c r="J605" i="26"/>
  <c r="K601" i="26"/>
  <c r="L601" i="26"/>
  <c r="J601" i="26"/>
  <c r="K597" i="26"/>
  <c r="L597" i="26"/>
  <c r="J597" i="26"/>
  <c r="K593" i="26"/>
  <c r="L593" i="26"/>
  <c r="J593" i="26"/>
  <c r="K589" i="26"/>
  <c r="L589" i="26"/>
  <c r="J589" i="26"/>
  <c r="K585" i="26"/>
  <c r="L585" i="26"/>
  <c r="J585" i="26"/>
  <c r="K583" i="26"/>
  <c r="L583" i="26"/>
  <c r="J583" i="26"/>
  <c r="P624" i="26"/>
  <c r="N624" i="26"/>
  <c r="O624" i="26"/>
  <c r="M624" i="26"/>
  <c r="P612" i="26"/>
  <c r="N612" i="26"/>
  <c r="O612" i="26"/>
  <c r="M612" i="26"/>
  <c r="P604" i="26"/>
  <c r="N604" i="26"/>
  <c r="O604" i="26"/>
  <c r="M604" i="26"/>
  <c r="P596" i="26"/>
  <c r="N596" i="26"/>
  <c r="O596" i="26"/>
  <c r="M596" i="26"/>
  <c r="P592" i="26"/>
  <c r="N592" i="26"/>
  <c r="O592" i="26"/>
  <c r="M592" i="26"/>
  <c r="P580" i="26"/>
  <c r="N580" i="26"/>
  <c r="O580" i="26"/>
  <c r="M580" i="26"/>
  <c r="P568" i="26"/>
  <c r="N568" i="26"/>
  <c r="O568" i="26"/>
  <c r="M568" i="26"/>
  <c r="P564" i="26"/>
  <c r="N564" i="26"/>
  <c r="O564" i="26"/>
  <c r="M564" i="26"/>
  <c r="P627" i="26"/>
  <c r="N627" i="26"/>
  <c r="O627" i="26"/>
  <c r="M627" i="26"/>
  <c r="P623" i="26"/>
  <c r="N623" i="26"/>
  <c r="O623" i="26"/>
  <c r="M623" i="26"/>
  <c r="P619" i="26"/>
  <c r="N619" i="26"/>
  <c r="O619" i="26"/>
  <c r="M619" i="26"/>
  <c r="P615" i="26"/>
  <c r="N615" i="26"/>
  <c r="O615" i="26"/>
  <c r="M615" i="26"/>
  <c r="P611" i="26"/>
  <c r="N611" i="26"/>
  <c r="O611" i="26"/>
  <c r="M611" i="26"/>
  <c r="P607" i="26"/>
  <c r="N607" i="26"/>
  <c r="O607" i="26"/>
  <c r="M607" i="26"/>
  <c r="P603" i="26"/>
  <c r="N603" i="26"/>
  <c r="O603" i="26"/>
  <c r="M603" i="26"/>
  <c r="P599" i="26"/>
  <c r="N599" i="26"/>
  <c r="O599" i="26"/>
  <c r="M599" i="26"/>
  <c r="P595" i="26"/>
  <c r="N595" i="26"/>
  <c r="O595" i="26"/>
  <c r="M595" i="26"/>
  <c r="P591" i="26"/>
  <c r="N591" i="26"/>
  <c r="O591" i="26"/>
  <c r="M591" i="26"/>
  <c r="P587" i="26"/>
  <c r="N587" i="26"/>
  <c r="O587" i="26"/>
  <c r="M587" i="26"/>
  <c r="P583" i="26"/>
  <c r="N583" i="26"/>
  <c r="O583" i="26"/>
  <c r="M583" i="26"/>
  <c r="P579" i="26"/>
  <c r="N579" i="26"/>
  <c r="O579" i="26"/>
  <c r="M579" i="26"/>
  <c r="P575" i="26"/>
  <c r="N575" i="26"/>
  <c r="O575" i="26"/>
  <c r="M575" i="26"/>
  <c r="P571" i="26"/>
  <c r="N571" i="26"/>
  <c r="O571" i="26"/>
  <c r="M571" i="26"/>
  <c r="P567" i="26"/>
  <c r="N567" i="26"/>
  <c r="O567" i="26"/>
  <c r="M567" i="26"/>
  <c r="P563" i="26"/>
  <c r="N563" i="26"/>
  <c r="O563" i="26"/>
  <c r="M563" i="26"/>
  <c r="P559" i="26"/>
  <c r="N559" i="26"/>
  <c r="O559" i="26"/>
  <c r="M559" i="26"/>
  <c r="P555" i="26"/>
  <c r="N555" i="26"/>
  <c r="O555" i="26"/>
  <c r="M555" i="26"/>
  <c r="P620" i="26"/>
  <c r="N620" i="26"/>
  <c r="O620" i="26"/>
  <c r="M620" i="26"/>
  <c r="P584" i="26"/>
  <c r="N584" i="26"/>
  <c r="O584" i="26"/>
  <c r="M584" i="26"/>
  <c r="P576" i="26"/>
  <c r="N576" i="26"/>
  <c r="O576" i="26"/>
  <c r="M576" i="26"/>
  <c r="P556" i="26"/>
  <c r="N556" i="26"/>
  <c r="O556" i="26"/>
  <c r="M556" i="26"/>
  <c r="M626" i="26"/>
  <c r="P626" i="26"/>
  <c r="N626" i="26"/>
  <c r="O626" i="26"/>
  <c r="M622" i="26"/>
  <c r="P622" i="26"/>
  <c r="N622" i="26"/>
  <c r="O622" i="26"/>
  <c r="M618" i="26"/>
  <c r="P618" i="26"/>
  <c r="N618" i="26"/>
  <c r="O618" i="26"/>
  <c r="M614" i="26"/>
  <c r="P614" i="26"/>
  <c r="N614" i="26"/>
  <c r="O614" i="26"/>
  <c r="M610" i="26"/>
  <c r="P610" i="26"/>
  <c r="N610" i="26"/>
  <c r="O610" i="26"/>
  <c r="M606" i="26"/>
  <c r="P606" i="26"/>
  <c r="N606" i="26"/>
  <c r="O606" i="26"/>
  <c r="M602" i="26"/>
  <c r="P602" i="26"/>
  <c r="N602" i="26"/>
  <c r="O602" i="26"/>
  <c r="M598" i="26"/>
  <c r="P598" i="26"/>
  <c r="N598" i="26"/>
  <c r="O598" i="26"/>
  <c r="M594" i="26"/>
  <c r="P594" i="26"/>
  <c r="N594" i="26"/>
  <c r="O594" i="26"/>
  <c r="M590" i="26"/>
  <c r="P590" i="26"/>
  <c r="N590" i="26"/>
  <c r="O590" i="26"/>
  <c r="M586" i="26"/>
  <c r="P586" i="26"/>
  <c r="N586" i="26"/>
  <c r="O586" i="26"/>
  <c r="M582" i="26"/>
  <c r="P582" i="26"/>
  <c r="N582" i="26"/>
  <c r="O582" i="26"/>
  <c r="M578" i="26"/>
  <c r="P578" i="26"/>
  <c r="N578" i="26"/>
  <c r="O578" i="26"/>
  <c r="M574" i="26"/>
  <c r="P574" i="26"/>
  <c r="N574" i="26"/>
  <c r="O574" i="26"/>
  <c r="M570" i="26"/>
  <c r="P570" i="26"/>
  <c r="N570" i="26"/>
  <c r="O570" i="26"/>
  <c r="M566" i="26"/>
  <c r="P566" i="26"/>
  <c r="N566" i="26"/>
  <c r="O566" i="26"/>
  <c r="P562" i="26"/>
  <c r="M562" i="26"/>
  <c r="N562" i="26"/>
  <c r="O562" i="26"/>
  <c r="M558" i="26"/>
  <c r="P558" i="26"/>
  <c r="N558" i="26"/>
  <c r="O558" i="26"/>
  <c r="P628" i="26"/>
  <c r="N628" i="26"/>
  <c r="O628" i="26"/>
  <c r="M628" i="26"/>
  <c r="P616" i="26"/>
  <c r="N616" i="26"/>
  <c r="O616" i="26"/>
  <c r="M616" i="26"/>
  <c r="P608" i="26"/>
  <c r="N608" i="26"/>
  <c r="O608" i="26"/>
  <c r="M608" i="26"/>
  <c r="P600" i="26"/>
  <c r="N600" i="26"/>
  <c r="O600" i="26"/>
  <c r="M600" i="26"/>
  <c r="P588" i="26"/>
  <c r="N588" i="26"/>
  <c r="O588" i="26"/>
  <c r="M588" i="26"/>
  <c r="P572" i="26"/>
  <c r="N572" i="26"/>
  <c r="O572" i="26"/>
  <c r="M572" i="26"/>
  <c r="P560" i="26"/>
  <c r="N560" i="26"/>
  <c r="O560" i="26"/>
  <c r="M560" i="26"/>
  <c r="M629" i="26"/>
  <c r="P629" i="26"/>
  <c r="N629" i="26"/>
  <c r="O629" i="26"/>
  <c r="M625" i="26"/>
  <c r="P625" i="26"/>
  <c r="N625" i="26"/>
  <c r="O625" i="26"/>
  <c r="M621" i="26"/>
  <c r="P621" i="26"/>
  <c r="N621" i="26"/>
  <c r="O621" i="26"/>
  <c r="M617" i="26"/>
  <c r="P617" i="26"/>
  <c r="N617" i="26"/>
  <c r="O617" i="26"/>
  <c r="M613" i="26"/>
  <c r="P613" i="26"/>
  <c r="N613" i="26"/>
  <c r="O613" i="26"/>
  <c r="M609" i="26"/>
  <c r="P609" i="26"/>
  <c r="N609" i="26"/>
  <c r="O609" i="26"/>
  <c r="M605" i="26"/>
  <c r="P605" i="26"/>
  <c r="N605" i="26"/>
  <c r="O605" i="26"/>
  <c r="M601" i="26"/>
  <c r="P601" i="26"/>
  <c r="N601" i="26"/>
  <c r="O601" i="26"/>
  <c r="M597" i="26"/>
  <c r="P597" i="26"/>
  <c r="N597" i="26"/>
  <c r="O597" i="26"/>
  <c r="M593" i="26"/>
  <c r="P593" i="26"/>
  <c r="N593" i="26"/>
  <c r="O593" i="26"/>
  <c r="M589" i="26"/>
  <c r="P589" i="26"/>
  <c r="N589" i="26"/>
  <c r="O589" i="26"/>
  <c r="M585" i="26"/>
  <c r="P585" i="26"/>
  <c r="N585" i="26"/>
  <c r="O585" i="26"/>
  <c r="M581" i="26"/>
  <c r="P581" i="26"/>
  <c r="N581" i="26"/>
  <c r="O581" i="26"/>
  <c r="M577" i="26"/>
  <c r="P577" i="26"/>
  <c r="N577" i="26"/>
  <c r="O577" i="26"/>
  <c r="M573" i="26"/>
  <c r="P573" i="26"/>
  <c r="N573" i="26"/>
  <c r="O573" i="26"/>
  <c r="M569" i="26"/>
  <c r="P569" i="26"/>
  <c r="N569" i="26"/>
  <c r="O569" i="26"/>
  <c r="M565" i="26"/>
  <c r="P565" i="26"/>
  <c r="N565" i="26"/>
  <c r="O565" i="26"/>
  <c r="M561" i="26"/>
  <c r="P561" i="26"/>
  <c r="N561" i="26"/>
  <c r="O561" i="26"/>
  <c r="M557" i="26"/>
  <c r="P557" i="26"/>
  <c r="N557" i="26"/>
  <c r="O557" i="26"/>
  <c r="P554" i="26"/>
  <c r="N554" i="26"/>
  <c r="O554" i="26"/>
  <c r="M554" i="26"/>
  <c r="P553" i="26"/>
  <c r="N553" i="26"/>
  <c r="O553" i="26"/>
  <c r="M553" i="26"/>
  <c r="P552" i="26"/>
  <c r="N552" i="26"/>
  <c r="O552" i="26"/>
  <c r="M552" i="26"/>
  <c r="P704" i="26"/>
  <c r="N704" i="26"/>
  <c r="O704" i="26"/>
  <c r="M704" i="26"/>
  <c r="P700" i="26"/>
  <c r="N700" i="26"/>
  <c r="O700" i="26"/>
  <c r="M700" i="26"/>
  <c r="P696" i="26"/>
  <c r="N696" i="26"/>
  <c r="O696" i="26"/>
  <c r="M696" i="26"/>
  <c r="P692" i="26"/>
  <c r="N692" i="26"/>
  <c r="O692" i="26"/>
  <c r="M692" i="26"/>
  <c r="P688" i="26"/>
  <c r="N688" i="26"/>
  <c r="O688" i="26"/>
  <c r="M688" i="26"/>
  <c r="P684" i="26"/>
  <c r="N684" i="26"/>
  <c r="O684" i="26"/>
  <c r="M684" i="26"/>
  <c r="P680" i="26"/>
  <c r="N680" i="26"/>
  <c r="O680" i="26"/>
  <c r="M680" i="26"/>
  <c r="P676" i="26"/>
  <c r="N676" i="26"/>
  <c r="O676" i="26"/>
  <c r="M676" i="26"/>
  <c r="P672" i="26"/>
  <c r="N672" i="26"/>
  <c r="O672" i="26"/>
  <c r="M672" i="26"/>
  <c r="P668" i="26"/>
  <c r="N668" i="26"/>
  <c r="O668" i="26"/>
  <c r="M668" i="26"/>
  <c r="P664" i="26"/>
  <c r="N664" i="26"/>
  <c r="O664" i="26"/>
  <c r="M664" i="26"/>
  <c r="P660" i="26"/>
  <c r="N660" i="26"/>
  <c r="O660" i="26"/>
  <c r="M660" i="26"/>
  <c r="P656" i="26"/>
  <c r="N656" i="26"/>
  <c r="O656" i="26"/>
  <c r="M656" i="26"/>
  <c r="P652" i="26"/>
  <c r="N652" i="26"/>
  <c r="O652" i="26"/>
  <c r="M652" i="26"/>
  <c r="P648" i="26"/>
  <c r="N648" i="26"/>
  <c r="O648" i="26"/>
  <c r="M648" i="26"/>
  <c r="P644" i="26"/>
  <c r="N644" i="26"/>
  <c r="O644" i="26"/>
  <c r="M644" i="26"/>
  <c r="P640" i="26"/>
  <c r="N640" i="26"/>
  <c r="O640" i="26"/>
  <c r="M640" i="26"/>
  <c r="P636" i="26"/>
  <c r="N636" i="26"/>
  <c r="O636" i="26"/>
  <c r="M636" i="26"/>
  <c r="P707" i="26"/>
  <c r="N707" i="26"/>
  <c r="O707" i="26"/>
  <c r="M707" i="26"/>
  <c r="P703" i="26"/>
  <c r="N703" i="26"/>
  <c r="O703" i="26"/>
  <c r="M703" i="26"/>
  <c r="P699" i="26"/>
  <c r="N699" i="26"/>
  <c r="O699" i="26"/>
  <c r="M699" i="26"/>
  <c r="P695" i="26"/>
  <c r="N695" i="26"/>
  <c r="O695" i="26"/>
  <c r="M695" i="26"/>
  <c r="P691" i="26"/>
  <c r="N691" i="26"/>
  <c r="O691" i="26"/>
  <c r="M691" i="26"/>
  <c r="P687" i="26"/>
  <c r="N687" i="26"/>
  <c r="O687" i="26"/>
  <c r="M687" i="26"/>
  <c r="P683" i="26"/>
  <c r="N683" i="26"/>
  <c r="O683" i="26"/>
  <c r="M683" i="26"/>
  <c r="P679" i="26"/>
  <c r="N679" i="26"/>
  <c r="O679" i="26"/>
  <c r="M679" i="26"/>
  <c r="P675" i="26"/>
  <c r="N675" i="26"/>
  <c r="O675" i="26"/>
  <c r="M675" i="26"/>
  <c r="P671" i="26"/>
  <c r="N671" i="26"/>
  <c r="O671" i="26"/>
  <c r="M671" i="26"/>
  <c r="P667" i="26"/>
  <c r="N667" i="26"/>
  <c r="O667" i="26"/>
  <c r="M667" i="26"/>
  <c r="P663" i="26"/>
  <c r="N663" i="26"/>
  <c r="O663" i="26"/>
  <c r="M663" i="26"/>
  <c r="P659" i="26"/>
  <c r="N659" i="26"/>
  <c r="O659" i="26"/>
  <c r="M659" i="26"/>
  <c r="P655" i="26"/>
  <c r="N655" i="26"/>
  <c r="O655" i="26"/>
  <c r="M655" i="26"/>
  <c r="P651" i="26"/>
  <c r="N651" i="26"/>
  <c r="O651" i="26"/>
  <c r="M651" i="26"/>
  <c r="P647" i="26"/>
  <c r="N647" i="26"/>
  <c r="O647" i="26"/>
  <c r="M647" i="26"/>
  <c r="P643" i="26"/>
  <c r="N643" i="26"/>
  <c r="O643" i="26"/>
  <c r="M643" i="26"/>
  <c r="P639" i="26"/>
  <c r="N639" i="26"/>
  <c r="O639" i="26"/>
  <c r="M639" i="26"/>
  <c r="P635" i="26"/>
  <c r="N635" i="26"/>
  <c r="O635" i="26"/>
  <c r="M635" i="26"/>
  <c r="P706" i="26"/>
  <c r="N706" i="26"/>
  <c r="O706" i="26"/>
  <c r="M706" i="26"/>
  <c r="P702" i="26"/>
  <c r="N702" i="26"/>
  <c r="O702" i="26"/>
  <c r="M702" i="26"/>
  <c r="P698" i="26"/>
  <c r="N698" i="26"/>
  <c r="O698" i="26"/>
  <c r="M698" i="26"/>
  <c r="P694" i="26"/>
  <c r="N694" i="26"/>
  <c r="O694" i="26"/>
  <c r="M694" i="26"/>
  <c r="P690" i="26"/>
  <c r="N690" i="26"/>
  <c r="O690" i="26"/>
  <c r="M690" i="26"/>
  <c r="P686" i="26"/>
  <c r="N686" i="26"/>
  <c r="O686" i="26"/>
  <c r="M686" i="26"/>
  <c r="P682" i="26"/>
  <c r="N682" i="26"/>
  <c r="O682" i="26"/>
  <c r="M682" i="26"/>
  <c r="P678" i="26"/>
  <c r="N678" i="26"/>
  <c r="O678" i="26"/>
  <c r="M678" i="26"/>
  <c r="P674" i="26"/>
  <c r="N674" i="26"/>
  <c r="O674" i="26"/>
  <c r="M674" i="26"/>
  <c r="P670" i="26"/>
  <c r="N670" i="26"/>
  <c r="O670" i="26"/>
  <c r="M670" i="26"/>
  <c r="P666" i="26"/>
  <c r="N666" i="26"/>
  <c r="O666" i="26"/>
  <c r="M666" i="26"/>
  <c r="P662" i="26"/>
  <c r="N662" i="26"/>
  <c r="O662" i="26"/>
  <c r="M662" i="26"/>
  <c r="P658" i="26"/>
  <c r="N658" i="26"/>
  <c r="O658" i="26"/>
  <c r="M658" i="26"/>
  <c r="P654" i="26"/>
  <c r="N654" i="26"/>
  <c r="O654" i="26"/>
  <c r="M654" i="26"/>
  <c r="P650" i="26"/>
  <c r="N650" i="26"/>
  <c r="O650" i="26"/>
  <c r="M650" i="26"/>
  <c r="P646" i="26"/>
  <c r="N646" i="26"/>
  <c r="O646" i="26"/>
  <c r="M646" i="26"/>
  <c r="P642" i="26"/>
  <c r="N642" i="26"/>
  <c r="O642" i="26"/>
  <c r="M642" i="26"/>
  <c r="P638" i="26"/>
  <c r="N638" i="26"/>
  <c r="O638" i="26"/>
  <c r="M638" i="26"/>
  <c r="P634" i="26"/>
  <c r="N634" i="26"/>
  <c r="O634" i="26"/>
  <c r="M634" i="26"/>
  <c r="P705" i="26"/>
  <c r="N705" i="26"/>
  <c r="O705" i="26"/>
  <c r="M705" i="26"/>
  <c r="P701" i="26"/>
  <c r="N701" i="26"/>
  <c r="O701" i="26"/>
  <c r="M701" i="26"/>
  <c r="P697" i="26"/>
  <c r="N697" i="26"/>
  <c r="O697" i="26"/>
  <c r="M697" i="26"/>
  <c r="P693" i="26"/>
  <c r="N693" i="26"/>
  <c r="O693" i="26"/>
  <c r="M693" i="26"/>
  <c r="P689" i="26"/>
  <c r="N689" i="26"/>
  <c r="O689" i="26"/>
  <c r="M689" i="26"/>
  <c r="P685" i="26"/>
  <c r="N685" i="26"/>
  <c r="O685" i="26"/>
  <c r="M685" i="26"/>
  <c r="P681" i="26"/>
  <c r="N681" i="26"/>
  <c r="O681" i="26"/>
  <c r="M681" i="26"/>
  <c r="P677" i="26"/>
  <c r="N677" i="26"/>
  <c r="O677" i="26"/>
  <c r="M677" i="26"/>
  <c r="P673" i="26"/>
  <c r="N673" i="26"/>
  <c r="O673" i="26"/>
  <c r="M673" i="26"/>
  <c r="P669" i="26"/>
  <c r="N669" i="26"/>
  <c r="O669" i="26"/>
  <c r="M669" i="26"/>
  <c r="P665" i="26"/>
  <c r="N665" i="26"/>
  <c r="O665" i="26"/>
  <c r="M665" i="26"/>
  <c r="P661" i="26"/>
  <c r="N661" i="26"/>
  <c r="O661" i="26"/>
  <c r="M661" i="26"/>
  <c r="P657" i="26"/>
  <c r="N657" i="26"/>
  <c r="O657" i="26"/>
  <c r="M657" i="26"/>
  <c r="P653" i="26"/>
  <c r="N653" i="26"/>
  <c r="O653" i="26"/>
  <c r="M653" i="26"/>
  <c r="P649" i="26"/>
  <c r="N649" i="26"/>
  <c r="O649" i="26"/>
  <c r="M649" i="26"/>
  <c r="P645" i="26"/>
  <c r="N645" i="26"/>
  <c r="O645" i="26"/>
  <c r="M645" i="26"/>
  <c r="P641" i="26"/>
  <c r="N641" i="26"/>
  <c r="O641" i="26"/>
  <c r="M641" i="26"/>
  <c r="P637" i="26"/>
  <c r="N637" i="26"/>
  <c r="O637" i="26"/>
  <c r="M637" i="26"/>
  <c r="P633" i="26"/>
  <c r="N633" i="26"/>
  <c r="O633" i="26"/>
  <c r="M633" i="26"/>
  <c r="M632" i="26"/>
  <c r="P632" i="26"/>
  <c r="N632" i="26"/>
  <c r="O632" i="26"/>
  <c r="M631" i="26"/>
  <c r="P631" i="26"/>
  <c r="N631" i="26"/>
  <c r="O631" i="26"/>
  <c r="N630" i="26"/>
  <c r="O630" i="26"/>
  <c r="P630" i="26"/>
  <c r="M630" i="26"/>
  <c r="K70" i="26"/>
  <c r="L70" i="26"/>
  <c r="J70" i="26"/>
  <c r="K66" i="26"/>
  <c r="L66" i="26"/>
  <c r="J66" i="26"/>
  <c r="K62" i="26"/>
  <c r="L62" i="26"/>
  <c r="J62" i="26"/>
  <c r="K58" i="26"/>
  <c r="L58" i="26"/>
  <c r="J58" i="26"/>
  <c r="K54" i="26"/>
  <c r="L54" i="26"/>
  <c r="J54" i="26"/>
  <c r="K50" i="26"/>
  <c r="L50" i="26"/>
  <c r="J50" i="26"/>
  <c r="K46" i="26"/>
  <c r="L46" i="26"/>
  <c r="J46" i="26"/>
  <c r="K42" i="26"/>
  <c r="L42" i="26"/>
  <c r="J42" i="26"/>
  <c r="K38" i="26"/>
  <c r="L38" i="26"/>
  <c r="J38" i="26"/>
  <c r="K83" i="26"/>
  <c r="L83" i="26"/>
  <c r="J83" i="26"/>
  <c r="K79" i="26"/>
  <c r="L79" i="26"/>
  <c r="J79" i="26"/>
  <c r="K75" i="26"/>
  <c r="L75" i="26"/>
  <c r="J75" i="26"/>
  <c r="K71" i="26"/>
  <c r="L71" i="26"/>
  <c r="J71" i="26"/>
  <c r="K67" i="26"/>
  <c r="L67" i="26"/>
  <c r="J67" i="26"/>
  <c r="K63" i="26"/>
  <c r="L63" i="26"/>
  <c r="J63" i="26"/>
  <c r="K59" i="26"/>
  <c r="L59" i="26"/>
  <c r="J59" i="26"/>
  <c r="K55" i="26"/>
  <c r="L55" i="26"/>
  <c r="J55" i="26"/>
  <c r="K51" i="26"/>
  <c r="L51" i="26"/>
  <c r="J51" i="26"/>
  <c r="K47" i="26"/>
  <c r="L47" i="26"/>
  <c r="J47" i="26"/>
  <c r="K43" i="26"/>
  <c r="L43" i="26"/>
  <c r="J43" i="26"/>
  <c r="K39" i="26"/>
  <c r="L39" i="26"/>
  <c r="J39" i="26"/>
  <c r="K80" i="26"/>
  <c r="L80" i="26"/>
  <c r="J80" i="26"/>
  <c r="K76" i="26"/>
  <c r="L76" i="26"/>
  <c r="J76" i="26"/>
  <c r="K72" i="26"/>
  <c r="L72" i="26"/>
  <c r="J72" i="26"/>
  <c r="K68" i="26"/>
  <c r="L68" i="26"/>
  <c r="J68" i="26"/>
  <c r="K64" i="26"/>
  <c r="L64" i="26"/>
  <c r="J64" i="26"/>
  <c r="K60" i="26"/>
  <c r="L60" i="26"/>
  <c r="J60" i="26"/>
  <c r="K56" i="26"/>
  <c r="L56" i="26"/>
  <c r="J56" i="26"/>
  <c r="K52" i="26"/>
  <c r="L52" i="26"/>
  <c r="J52" i="26"/>
  <c r="J48" i="26"/>
  <c r="K48" i="26"/>
  <c r="L48" i="26"/>
  <c r="K44" i="26"/>
  <c r="L44" i="26"/>
  <c r="J44" i="26"/>
  <c r="K40" i="26"/>
  <c r="L40" i="26"/>
  <c r="J40" i="26"/>
  <c r="K81" i="26"/>
  <c r="L81" i="26"/>
  <c r="J81" i="26"/>
  <c r="K77" i="26"/>
  <c r="L77" i="26"/>
  <c r="J77" i="26"/>
  <c r="K73" i="26"/>
  <c r="L73" i="26"/>
  <c r="J73" i="26"/>
  <c r="K69" i="26"/>
  <c r="L69" i="26"/>
  <c r="J69" i="26"/>
  <c r="K65" i="26"/>
  <c r="L65" i="26"/>
  <c r="J65" i="26"/>
  <c r="K61" i="26"/>
  <c r="L61" i="26"/>
  <c r="J61" i="26"/>
  <c r="K57" i="26"/>
  <c r="L57" i="26"/>
  <c r="J57" i="26"/>
  <c r="K53" i="26"/>
  <c r="L53" i="26"/>
  <c r="J53" i="26"/>
  <c r="K49" i="26"/>
  <c r="L49" i="26"/>
  <c r="J49" i="26"/>
  <c r="K45" i="26"/>
  <c r="L45" i="26"/>
  <c r="J45" i="26"/>
  <c r="K41" i="26"/>
  <c r="L41" i="26"/>
  <c r="J41" i="26"/>
  <c r="K82" i="26"/>
  <c r="L82" i="26"/>
  <c r="J82" i="26"/>
  <c r="K78" i="26"/>
  <c r="L78" i="26"/>
  <c r="J78" i="26"/>
  <c r="K74" i="26"/>
  <c r="L74" i="26"/>
  <c r="J74" i="26"/>
  <c r="K37" i="26"/>
  <c r="L37" i="26"/>
  <c r="J37" i="26"/>
  <c r="P160" i="26"/>
  <c r="N160" i="26"/>
  <c r="O160" i="26"/>
  <c r="M160" i="26"/>
  <c r="N136" i="26"/>
  <c r="O136" i="26"/>
  <c r="M136" i="26"/>
  <c r="P136" i="26"/>
  <c r="N159" i="26"/>
  <c r="O159" i="26"/>
  <c r="M159" i="26"/>
  <c r="P159" i="26"/>
  <c r="N151" i="26"/>
  <c r="O151" i="26"/>
  <c r="M151" i="26"/>
  <c r="P151" i="26"/>
  <c r="N143" i="26"/>
  <c r="O143" i="26"/>
  <c r="M143" i="26"/>
  <c r="P143" i="26"/>
  <c r="P128" i="26"/>
  <c r="M128" i="26"/>
  <c r="N128" i="26"/>
  <c r="O128" i="26"/>
  <c r="M126" i="26"/>
  <c r="P126" i="26"/>
  <c r="N126" i="26"/>
  <c r="O126" i="26"/>
  <c r="N124" i="26"/>
  <c r="O124" i="26"/>
  <c r="M124" i="26"/>
  <c r="P124" i="26"/>
  <c r="P118" i="26"/>
  <c r="N118" i="26"/>
  <c r="O118" i="26"/>
  <c r="M118" i="26"/>
  <c r="P116" i="26"/>
  <c r="N116" i="26"/>
  <c r="O116" i="26"/>
  <c r="M116" i="26"/>
  <c r="P114" i="26"/>
  <c r="M114" i="26"/>
  <c r="N114" i="26"/>
  <c r="O114" i="26"/>
  <c r="P112" i="26"/>
  <c r="M112" i="26"/>
  <c r="N112" i="26"/>
  <c r="O112" i="26"/>
  <c r="P110" i="26"/>
  <c r="M110" i="26"/>
  <c r="N110" i="26"/>
  <c r="O110" i="26"/>
  <c r="N108" i="26"/>
  <c r="O108" i="26"/>
  <c r="M108" i="26"/>
  <c r="P108" i="26"/>
  <c r="P106" i="26"/>
  <c r="M106" i="26"/>
  <c r="N106" i="26"/>
  <c r="O106" i="26"/>
  <c r="N104" i="26"/>
  <c r="O104" i="26"/>
  <c r="M104" i="26"/>
  <c r="P104" i="26"/>
  <c r="P102" i="26"/>
  <c r="N102" i="26"/>
  <c r="O102" i="26"/>
  <c r="M102" i="26"/>
  <c r="P100" i="26"/>
  <c r="N100" i="26"/>
  <c r="O100" i="26"/>
  <c r="M100" i="26"/>
  <c r="P98" i="26"/>
  <c r="M98" i="26"/>
  <c r="N98" i="26"/>
  <c r="O98" i="26"/>
  <c r="P96" i="26"/>
  <c r="N96" i="26"/>
  <c r="O96" i="26"/>
  <c r="M96" i="26"/>
  <c r="P94" i="26"/>
  <c r="M94" i="26"/>
  <c r="N94" i="26"/>
  <c r="O94" i="26"/>
  <c r="N92" i="26"/>
  <c r="O92" i="26"/>
  <c r="M92" i="26"/>
  <c r="P92" i="26"/>
  <c r="P90" i="26"/>
  <c r="M90" i="26"/>
  <c r="N90" i="26"/>
  <c r="O90" i="26"/>
  <c r="N88" i="26"/>
  <c r="O88" i="26"/>
  <c r="M88" i="26"/>
  <c r="P88" i="26"/>
  <c r="N156" i="26"/>
  <c r="O156" i="26"/>
  <c r="M156" i="26"/>
  <c r="P156" i="26"/>
  <c r="P144" i="26"/>
  <c r="M144" i="26"/>
  <c r="N144" i="26"/>
  <c r="O144" i="26"/>
  <c r="N140" i="26"/>
  <c r="O140" i="26"/>
  <c r="M140" i="26"/>
  <c r="P140" i="26"/>
  <c r="N155" i="26"/>
  <c r="O155" i="26"/>
  <c r="P155" i="26"/>
  <c r="M155" i="26"/>
  <c r="N147" i="26"/>
  <c r="O147" i="26"/>
  <c r="M147" i="26"/>
  <c r="P147" i="26"/>
  <c r="N135" i="26"/>
  <c r="O135" i="26"/>
  <c r="M135" i="26"/>
  <c r="P135" i="26"/>
  <c r="N131" i="26"/>
  <c r="O131" i="26"/>
  <c r="M131" i="26"/>
  <c r="P131" i="26"/>
  <c r="P122" i="26"/>
  <c r="M122" i="26"/>
  <c r="N122" i="26"/>
  <c r="O122" i="26"/>
  <c r="M158" i="26"/>
  <c r="P158" i="26"/>
  <c r="N158" i="26"/>
  <c r="O158" i="26"/>
  <c r="M154" i="26"/>
  <c r="N154" i="26"/>
  <c r="O154" i="26"/>
  <c r="P154" i="26"/>
  <c r="P150" i="26"/>
  <c r="N150" i="26"/>
  <c r="O150" i="26"/>
  <c r="M150" i="26"/>
  <c r="M146" i="26"/>
  <c r="P146" i="26"/>
  <c r="N146" i="26"/>
  <c r="O146" i="26"/>
  <c r="M142" i="26"/>
  <c r="P142" i="26"/>
  <c r="N142" i="26"/>
  <c r="O142" i="26"/>
  <c r="M138" i="26"/>
  <c r="P138" i="26"/>
  <c r="N138" i="26"/>
  <c r="O138" i="26"/>
  <c r="P134" i="26"/>
  <c r="N134" i="26"/>
  <c r="O134" i="26"/>
  <c r="M134" i="26"/>
  <c r="M130" i="26"/>
  <c r="P130" i="26"/>
  <c r="N130" i="26"/>
  <c r="O130" i="26"/>
  <c r="N152" i="26"/>
  <c r="O152" i="26"/>
  <c r="M152" i="26"/>
  <c r="P152" i="26"/>
  <c r="N148" i="26"/>
  <c r="O148" i="26"/>
  <c r="M148" i="26"/>
  <c r="P148" i="26"/>
  <c r="N132" i="26"/>
  <c r="O132" i="26"/>
  <c r="M132" i="26"/>
  <c r="P132" i="26"/>
  <c r="N139" i="26"/>
  <c r="O139" i="26"/>
  <c r="P139" i="26"/>
  <c r="M139" i="26"/>
  <c r="N120" i="26"/>
  <c r="O120" i="26"/>
  <c r="M120" i="26"/>
  <c r="P120" i="26"/>
  <c r="P161" i="26"/>
  <c r="M161" i="26"/>
  <c r="N161" i="26"/>
  <c r="O161" i="26"/>
  <c r="P157" i="26"/>
  <c r="M157" i="26"/>
  <c r="N157" i="26"/>
  <c r="O157" i="26"/>
  <c r="P153" i="26"/>
  <c r="M153" i="26"/>
  <c r="N153" i="26"/>
  <c r="O153" i="26"/>
  <c r="P149" i="26"/>
  <c r="M149" i="26"/>
  <c r="N149" i="26"/>
  <c r="O149" i="26"/>
  <c r="P145" i="26"/>
  <c r="M145" i="26"/>
  <c r="N145" i="26"/>
  <c r="O145" i="26"/>
  <c r="P141" i="26"/>
  <c r="M141" i="26"/>
  <c r="N141" i="26"/>
  <c r="O141" i="26"/>
  <c r="P137" i="26"/>
  <c r="M137" i="26"/>
  <c r="N137" i="26"/>
  <c r="O137" i="26"/>
  <c r="P133" i="26"/>
  <c r="M133" i="26"/>
  <c r="N133" i="26"/>
  <c r="O133" i="26"/>
  <c r="P129" i="26"/>
  <c r="M129" i="26"/>
  <c r="N129" i="26"/>
  <c r="O129" i="26"/>
  <c r="N127" i="26"/>
  <c r="O127" i="26"/>
  <c r="M127" i="26"/>
  <c r="P127" i="26"/>
  <c r="P125" i="26"/>
  <c r="M125" i="26"/>
  <c r="N125" i="26"/>
  <c r="O125" i="26"/>
  <c r="N123" i="26"/>
  <c r="O123" i="26"/>
  <c r="P123" i="26"/>
  <c r="M123" i="26"/>
  <c r="P121" i="26"/>
  <c r="M121" i="26"/>
  <c r="N121" i="26"/>
  <c r="O121" i="26"/>
  <c r="N119" i="26"/>
  <c r="O119" i="26"/>
  <c r="M119" i="26"/>
  <c r="P119" i="26"/>
  <c r="P117" i="26"/>
  <c r="M117" i="26"/>
  <c r="N117" i="26"/>
  <c r="O117" i="26"/>
  <c r="N115" i="26"/>
  <c r="O115" i="26"/>
  <c r="P115" i="26"/>
  <c r="M115" i="26"/>
  <c r="P113" i="26"/>
  <c r="M113" i="26"/>
  <c r="N113" i="26"/>
  <c r="O113" i="26"/>
  <c r="N111" i="26"/>
  <c r="O111" i="26"/>
  <c r="P111" i="26"/>
  <c r="M111" i="26"/>
  <c r="P109" i="26"/>
  <c r="M109" i="26"/>
  <c r="N109" i="26"/>
  <c r="O109" i="26"/>
  <c r="N107" i="26"/>
  <c r="O107" i="26"/>
  <c r="P107" i="26"/>
  <c r="M107" i="26"/>
  <c r="P105" i="26"/>
  <c r="M105" i="26"/>
  <c r="N105" i="26"/>
  <c r="O105" i="26"/>
  <c r="N103" i="26"/>
  <c r="O103" i="26"/>
  <c r="M103" i="26"/>
  <c r="P103" i="26"/>
  <c r="P101" i="26"/>
  <c r="M101" i="26"/>
  <c r="N101" i="26"/>
  <c r="O101" i="26"/>
  <c r="N99" i="26"/>
  <c r="O99" i="26"/>
  <c r="P99" i="26"/>
  <c r="M99" i="26"/>
  <c r="P97" i="26"/>
  <c r="M97" i="26"/>
  <c r="N97" i="26"/>
  <c r="O97" i="26"/>
  <c r="N95" i="26"/>
  <c r="O95" i="26"/>
  <c r="P95" i="26"/>
  <c r="M95" i="26"/>
  <c r="P93" i="26"/>
  <c r="M93" i="26"/>
  <c r="N93" i="26"/>
  <c r="O93" i="26"/>
  <c r="N91" i="26"/>
  <c r="O91" i="26"/>
  <c r="P91" i="26"/>
  <c r="M91" i="26"/>
  <c r="P89" i="26"/>
  <c r="M89" i="26"/>
  <c r="N89" i="26"/>
  <c r="O89" i="26"/>
  <c r="N87" i="26"/>
  <c r="O87" i="26"/>
  <c r="M87" i="26"/>
  <c r="P87" i="26"/>
  <c r="P170" i="26"/>
  <c r="N170" i="26"/>
  <c r="O170" i="26"/>
  <c r="M170" i="26"/>
  <c r="P182" i="26"/>
  <c r="M182" i="26"/>
  <c r="N182" i="26"/>
  <c r="O182" i="26"/>
  <c r="P190" i="26"/>
  <c r="M190" i="26"/>
  <c r="N190" i="26"/>
  <c r="O190" i="26"/>
  <c r="P194" i="26"/>
  <c r="N194" i="26"/>
  <c r="O194" i="26"/>
  <c r="M194" i="26"/>
  <c r="P202" i="26"/>
  <c r="N202" i="26"/>
  <c r="O202" i="26"/>
  <c r="M202" i="26"/>
  <c r="P206" i="26"/>
  <c r="M206" i="26"/>
  <c r="N206" i="26"/>
  <c r="O206" i="26"/>
  <c r="M214" i="26"/>
  <c r="P214" i="26"/>
  <c r="N214" i="26"/>
  <c r="O214" i="26"/>
  <c r="M222" i="26"/>
  <c r="P222" i="26"/>
  <c r="N222" i="26"/>
  <c r="O222" i="26"/>
  <c r="P226" i="26"/>
  <c r="N226" i="26"/>
  <c r="O226" i="26"/>
  <c r="M226" i="26"/>
  <c r="M238" i="26"/>
  <c r="P238" i="26"/>
  <c r="N238" i="26"/>
  <c r="O238" i="26"/>
  <c r="M167" i="26"/>
  <c r="N167" i="26"/>
  <c r="O167" i="26"/>
  <c r="P167" i="26"/>
  <c r="M179" i="26"/>
  <c r="P179" i="26"/>
  <c r="N179" i="26"/>
  <c r="O179" i="26"/>
  <c r="M183" i="26"/>
  <c r="N183" i="26"/>
  <c r="O183" i="26"/>
  <c r="P183" i="26"/>
  <c r="M187" i="26"/>
  <c r="P187" i="26"/>
  <c r="N187" i="26"/>
  <c r="O187" i="26"/>
  <c r="M195" i="26"/>
  <c r="P195" i="26"/>
  <c r="N195" i="26"/>
  <c r="O195" i="26"/>
  <c r="M203" i="26"/>
  <c r="P203" i="26"/>
  <c r="N203" i="26"/>
  <c r="O203" i="26"/>
  <c r="M211" i="26"/>
  <c r="N211" i="26"/>
  <c r="O211" i="26"/>
  <c r="P211" i="26"/>
  <c r="M219" i="26"/>
  <c r="N219" i="26"/>
  <c r="O219" i="26"/>
  <c r="P219" i="26"/>
  <c r="M231" i="26"/>
  <c r="N231" i="26"/>
  <c r="O231" i="26"/>
  <c r="P231" i="26"/>
  <c r="M235" i="26"/>
  <c r="N235" i="26"/>
  <c r="O235" i="26"/>
  <c r="P235" i="26"/>
  <c r="P168" i="26"/>
  <c r="N168" i="26"/>
  <c r="O168" i="26"/>
  <c r="M168" i="26"/>
  <c r="P172" i="26"/>
  <c r="N172" i="26"/>
  <c r="O172" i="26"/>
  <c r="M172" i="26"/>
  <c r="P176" i="26"/>
  <c r="N176" i="26"/>
  <c r="O176" i="26"/>
  <c r="M176" i="26"/>
  <c r="P180" i="26"/>
  <c r="N180" i="26"/>
  <c r="O180" i="26"/>
  <c r="M180" i="26"/>
  <c r="P184" i="26"/>
  <c r="N184" i="26"/>
  <c r="O184" i="26"/>
  <c r="M184" i="26"/>
  <c r="P188" i="26"/>
  <c r="N188" i="26"/>
  <c r="O188" i="26"/>
  <c r="M188" i="26"/>
  <c r="P192" i="26"/>
  <c r="N192" i="26"/>
  <c r="O192" i="26"/>
  <c r="M192" i="26"/>
  <c r="P196" i="26"/>
  <c r="N196" i="26"/>
  <c r="O196" i="26"/>
  <c r="M196" i="26"/>
  <c r="P200" i="26"/>
  <c r="N200" i="26"/>
  <c r="O200" i="26"/>
  <c r="M200" i="26"/>
  <c r="P204" i="26"/>
  <c r="N204" i="26"/>
  <c r="O204" i="26"/>
  <c r="M204" i="26"/>
  <c r="P208" i="26"/>
  <c r="N208" i="26"/>
  <c r="O208" i="26"/>
  <c r="M208" i="26"/>
  <c r="P212" i="26"/>
  <c r="N212" i="26"/>
  <c r="O212" i="26"/>
  <c r="M212" i="26"/>
  <c r="P216" i="26"/>
  <c r="N216" i="26"/>
  <c r="O216" i="26"/>
  <c r="M216" i="26"/>
  <c r="P220" i="26"/>
  <c r="N220" i="26"/>
  <c r="O220" i="26"/>
  <c r="M220" i="26"/>
  <c r="P224" i="26"/>
  <c r="N224" i="26"/>
  <c r="O224" i="26"/>
  <c r="M224" i="26"/>
  <c r="P228" i="26"/>
  <c r="N228" i="26"/>
  <c r="O228" i="26"/>
  <c r="M228" i="26"/>
  <c r="P232" i="26"/>
  <c r="N232" i="26"/>
  <c r="O232" i="26"/>
  <c r="M232" i="26"/>
  <c r="P236" i="26"/>
  <c r="N236" i="26"/>
  <c r="O236" i="26"/>
  <c r="M236" i="26"/>
  <c r="P166" i="26"/>
  <c r="M166" i="26"/>
  <c r="N166" i="26"/>
  <c r="O166" i="26"/>
  <c r="P174" i="26"/>
  <c r="M174" i="26"/>
  <c r="N174" i="26"/>
  <c r="O174" i="26"/>
  <c r="P178" i="26"/>
  <c r="N178" i="26"/>
  <c r="O178" i="26"/>
  <c r="M178" i="26"/>
  <c r="P186" i="26"/>
  <c r="N186" i="26"/>
  <c r="O186" i="26"/>
  <c r="M186" i="26"/>
  <c r="P198" i="26"/>
  <c r="M198" i="26"/>
  <c r="N198" i="26"/>
  <c r="O198" i="26"/>
  <c r="P210" i="26"/>
  <c r="N210" i="26"/>
  <c r="O210" i="26"/>
  <c r="M210" i="26"/>
  <c r="P218" i="26"/>
  <c r="N218" i="26"/>
  <c r="O218" i="26"/>
  <c r="M218" i="26"/>
  <c r="M230" i="26"/>
  <c r="P230" i="26"/>
  <c r="N230" i="26"/>
  <c r="O230" i="26"/>
  <c r="P234" i="26"/>
  <c r="N234" i="26"/>
  <c r="O234" i="26"/>
  <c r="M234" i="26"/>
  <c r="M171" i="26"/>
  <c r="P171" i="26"/>
  <c r="N171" i="26"/>
  <c r="O171" i="26"/>
  <c r="M175" i="26"/>
  <c r="N175" i="26"/>
  <c r="O175" i="26"/>
  <c r="P175" i="26"/>
  <c r="M191" i="26"/>
  <c r="N191" i="26"/>
  <c r="O191" i="26"/>
  <c r="P191" i="26"/>
  <c r="M199" i="26"/>
  <c r="N199" i="26"/>
  <c r="O199" i="26"/>
  <c r="P199" i="26"/>
  <c r="M207" i="26"/>
  <c r="N207" i="26"/>
  <c r="O207" i="26"/>
  <c r="P207" i="26"/>
  <c r="M215" i="26"/>
  <c r="N215" i="26"/>
  <c r="O215" i="26"/>
  <c r="P215" i="26"/>
  <c r="M223" i="26"/>
  <c r="N223" i="26"/>
  <c r="O223" i="26"/>
  <c r="P223" i="26"/>
  <c r="M227" i="26"/>
  <c r="N227" i="26"/>
  <c r="O227" i="26"/>
  <c r="P227" i="26"/>
  <c r="M239" i="26"/>
  <c r="N239" i="26"/>
  <c r="O239" i="26"/>
  <c r="P239" i="26"/>
  <c r="P165" i="26"/>
  <c r="N165" i="26"/>
  <c r="O165" i="26"/>
  <c r="M165" i="26"/>
  <c r="P169" i="26"/>
  <c r="N169" i="26"/>
  <c r="O169" i="26"/>
  <c r="M169" i="26"/>
  <c r="P173" i="26"/>
  <c r="N173" i="26"/>
  <c r="O173" i="26"/>
  <c r="M173" i="26"/>
  <c r="P177" i="26"/>
  <c r="N177" i="26"/>
  <c r="O177" i="26"/>
  <c r="M177" i="26"/>
  <c r="P181" i="26"/>
  <c r="N181" i="26"/>
  <c r="O181" i="26"/>
  <c r="M181" i="26"/>
  <c r="P185" i="26"/>
  <c r="N185" i="26"/>
  <c r="O185" i="26"/>
  <c r="M185" i="26"/>
  <c r="P189" i="26"/>
  <c r="N189" i="26"/>
  <c r="O189" i="26"/>
  <c r="M189" i="26"/>
  <c r="P193" i="26"/>
  <c r="N193" i="26"/>
  <c r="O193" i="26"/>
  <c r="M193" i="26"/>
  <c r="P197" i="26"/>
  <c r="N197" i="26"/>
  <c r="O197" i="26"/>
  <c r="M197" i="26"/>
  <c r="P201" i="26"/>
  <c r="N201" i="26"/>
  <c r="O201" i="26"/>
  <c r="M201" i="26"/>
  <c r="P205" i="26"/>
  <c r="N205" i="26"/>
  <c r="O205" i="26"/>
  <c r="M205" i="26"/>
  <c r="P209" i="26"/>
  <c r="N209" i="26"/>
  <c r="O209" i="26"/>
  <c r="M209" i="26"/>
  <c r="P213" i="26"/>
  <c r="N213" i="26"/>
  <c r="O213" i="26"/>
  <c r="M213" i="26"/>
  <c r="P217" i="26"/>
  <c r="N217" i="26"/>
  <c r="O217" i="26"/>
  <c r="M217" i="26"/>
  <c r="P221" i="26"/>
  <c r="N221" i="26"/>
  <c r="O221" i="26"/>
  <c r="M221" i="26"/>
  <c r="P225" i="26"/>
  <c r="N225" i="26"/>
  <c r="O225" i="26"/>
  <c r="M225" i="26"/>
  <c r="P229" i="26"/>
  <c r="N229" i="26"/>
  <c r="O229" i="26"/>
  <c r="M229" i="26"/>
  <c r="P233" i="26"/>
  <c r="N233" i="26"/>
  <c r="O233" i="26"/>
  <c r="M233" i="26"/>
  <c r="P237" i="26"/>
  <c r="N237" i="26"/>
  <c r="O237" i="26"/>
  <c r="M237" i="26"/>
  <c r="M163" i="26"/>
  <c r="P163" i="26"/>
  <c r="N163" i="26"/>
  <c r="O163" i="26"/>
  <c r="M164" i="26"/>
  <c r="P164" i="26"/>
  <c r="N164" i="26"/>
  <c r="O164" i="26"/>
  <c r="M162" i="26"/>
  <c r="P162" i="26"/>
  <c r="N162" i="26"/>
  <c r="O162" i="26"/>
  <c r="P315" i="26"/>
  <c r="N315" i="26"/>
  <c r="O315" i="26"/>
  <c r="M315" i="26"/>
  <c r="P311" i="26"/>
  <c r="N311" i="26"/>
  <c r="O311" i="26"/>
  <c r="M311" i="26"/>
  <c r="P307" i="26"/>
  <c r="N307" i="26"/>
  <c r="O307" i="26"/>
  <c r="M307" i="26"/>
  <c r="P303" i="26"/>
  <c r="N303" i="26"/>
  <c r="O303" i="26"/>
  <c r="M303" i="26"/>
  <c r="P299" i="26"/>
  <c r="N299" i="26"/>
  <c r="O299" i="26"/>
  <c r="M299" i="26"/>
  <c r="P295" i="26"/>
  <c r="N295" i="26"/>
  <c r="O295" i="26"/>
  <c r="M295" i="26"/>
  <c r="P291" i="26"/>
  <c r="N291" i="26"/>
  <c r="O291" i="26"/>
  <c r="M291" i="26"/>
  <c r="P287" i="26"/>
  <c r="N287" i="26"/>
  <c r="O287" i="26"/>
  <c r="M287" i="26"/>
  <c r="P283" i="26"/>
  <c r="N283" i="26"/>
  <c r="O283" i="26"/>
  <c r="M283" i="26"/>
  <c r="P279" i="26"/>
  <c r="N279" i="26"/>
  <c r="O279" i="26"/>
  <c r="M279" i="26"/>
  <c r="P275" i="26"/>
  <c r="N275" i="26"/>
  <c r="O275" i="26"/>
  <c r="M275" i="26"/>
  <c r="P271" i="26"/>
  <c r="N271" i="26"/>
  <c r="O271" i="26"/>
  <c r="M271" i="26"/>
  <c r="P267" i="26"/>
  <c r="N267" i="26"/>
  <c r="O267" i="26"/>
  <c r="M267" i="26"/>
  <c r="P263" i="26"/>
  <c r="N263" i="26"/>
  <c r="O263" i="26"/>
  <c r="M263" i="26"/>
  <c r="P259" i="26"/>
  <c r="N259" i="26"/>
  <c r="O259" i="26"/>
  <c r="M259" i="26"/>
  <c r="P255" i="26"/>
  <c r="N255" i="26"/>
  <c r="O255" i="26"/>
  <c r="M255" i="26"/>
  <c r="P251" i="26"/>
  <c r="N251" i="26"/>
  <c r="O251" i="26"/>
  <c r="M251" i="26"/>
  <c r="P247" i="26"/>
  <c r="N247" i="26"/>
  <c r="O247" i="26"/>
  <c r="M247" i="26"/>
  <c r="P243" i="26"/>
  <c r="N243" i="26"/>
  <c r="O243" i="26"/>
  <c r="M243" i="26"/>
  <c r="M316" i="26"/>
  <c r="P316" i="26"/>
  <c r="N316" i="26"/>
  <c r="O316" i="26"/>
  <c r="M308" i="26"/>
  <c r="P308" i="26"/>
  <c r="N308" i="26"/>
  <c r="O308" i="26"/>
  <c r="M300" i="26"/>
  <c r="P300" i="26"/>
  <c r="N300" i="26"/>
  <c r="O300" i="26"/>
  <c r="M296" i="26"/>
  <c r="P296" i="26"/>
  <c r="N296" i="26"/>
  <c r="O296" i="26"/>
  <c r="M288" i="26"/>
  <c r="P288" i="26"/>
  <c r="N288" i="26"/>
  <c r="O288" i="26"/>
  <c r="M280" i="26"/>
  <c r="P280" i="26"/>
  <c r="N280" i="26"/>
  <c r="O280" i="26"/>
  <c r="M272" i="26"/>
  <c r="P272" i="26"/>
  <c r="N272" i="26"/>
  <c r="O272" i="26"/>
  <c r="M268" i="26"/>
  <c r="P268" i="26"/>
  <c r="N268" i="26"/>
  <c r="O268" i="26"/>
  <c r="M260" i="26"/>
  <c r="P260" i="26"/>
  <c r="N260" i="26"/>
  <c r="O260" i="26"/>
  <c r="M252" i="26"/>
  <c r="P252" i="26"/>
  <c r="N252" i="26"/>
  <c r="O252" i="26"/>
  <c r="M244" i="26"/>
  <c r="P244" i="26"/>
  <c r="N244" i="26"/>
  <c r="O244" i="26"/>
  <c r="M314" i="26"/>
  <c r="P314" i="26"/>
  <c r="N314" i="26"/>
  <c r="O314" i="26"/>
  <c r="M310" i="26"/>
  <c r="N310" i="26"/>
  <c r="O310" i="26"/>
  <c r="P310" i="26"/>
  <c r="M306" i="26"/>
  <c r="N306" i="26"/>
  <c r="O306" i="26"/>
  <c r="P306" i="26"/>
  <c r="M302" i="26"/>
  <c r="P302" i="26"/>
  <c r="N302" i="26"/>
  <c r="O302" i="26"/>
  <c r="M298" i="26"/>
  <c r="P298" i="26"/>
  <c r="N298" i="26"/>
  <c r="O298" i="26"/>
  <c r="P294" i="26"/>
  <c r="M294" i="26"/>
  <c r="N294" i="26"/>
  <c r="O294" i="26"/>
  <c r="M290" i="26"/>
  <c r="P290" i="26"/>
  <c r="N290" i="26"/>
  <c r="O290" i="26"/>
  <c r="P286" i="26"/>
  <c r="M286" i="26"/>
  <c r="N286" i="26"/>
  <c r="O286" i="26"/>
  <c r="P282" i="26"/>
  <c r="M282" i="26"/>
  <c r="N282" i="26"/>
  <c r="O282" i="26"/>
  <c r="P278" i="26"/>
  <c r="M278" i="26"/>
  <c r="N278" i="26"/>
  <c r="O278" i="26"/>
  <c r="P274" i="26"/>
  <c r="M274" i="26"/>
  <c r="N274" i="26"/>
  <c r="O274" i="26"/>
  <c r="P270" i="26"/>
  <c r="M270" i="26"/>
  <c r="N270" i="26"/>
  <c r="O270" i="26"/>
  <c r="P266" i="26"/>
  <c r="M266" i="26"/>
  <c r="N266" i="26"/>
  <c r="O266" i="26"/>
  <c r="P262" i="26"/>
  <c r="M262" i="26"/>
  <c r="N262" i="26"/>
  <c r="O262" i="26"/>
  <c r="P258" i="26"/>
  <c r="M258" i="26"/>
  <c r="N258" i="26"/>
  <c r="O258" i="26"/>
  <c r="P254" i="26"/>
  <c r="M254" i="26"/>
  <c r="N254" i="26"/>
  <c r="O254" i="26"/>
  <c r="P250" i="26"/>
  <c r="M250" i="26"/>
  <c r="N250" i="26"/>
  <c r="O250" i="26"/>
  <c r="P246" i="26"/>
  <c r="M246" i="26"/>
  <c r="N246" i="26"/>
  <c r="O246" i="26"/>
  <c r="M312" i="26"/>
  <c r="P312" i="26"/>
  <c r="N312" i="26"/>
  <c r="O312" i="26"/>
  <c r="M304" i="26"/>
  <c r="P304" i="26"/>
  <c r="N304" i="26"/>
  <c r="O304" i="26"/>
  <c r="M292" i="26"/>
  <c r="P292" i="26"/>
  <c r="N292" i="26"/>
  <c r="O292" i="26"/>
  <c r="M284" i="26"/>
  <c r="P284" i="26"/>
  <c r="N284" i="26"/>
  <c r="O284" i="26"/>
  <c r="M276" i="26"/>
  <c r="P276" i="26"/>
  <c r="N276" i="26"/>
  <c r="O276" i="26"/>
  <c r="M264" i="26"/>
  <c r="P264" i="26"/>
  <c r="N264" i="26"/>
  <c r="O264" i="26"/>
  <c r="M256" i="26"/>
  <c r="P256" i="26"/>
  <c r="N256" i="26"/>
  <c r="O256" i="26"/>
  <c r="M248" i="26"/>
  <c r="P248" i="26"/>
  <c r="N248" i="26"/>
  <c r="O248" i="26"/>
  <c r="M317" i="26"/>
  <c r="P317" i="26"/>
  <c r="N317" i="26"/>
  <c r="O317" i="26"/>
  <c r="M313" i="26"/>
  <c r="P313" i="26"/>
  <c r="N313" i="26"/>
  <c r="O313" i="26"/>
  <c r="M309" i="26"/>
  <c r="P309" i="26"/>
  <c r="N309" i="26"/>
  <c r="O309" i="26"/>
  <c r="M305" i="26"/>
  <c r="P305" i="26"/>
  <c r="N305" i="26"/>
  <c r="O305" i="26"/>
  <c r="M301" i="26"/>
  <c r="P301" i="26"/>
  <c r="N301" i="26"/>
  <c r="O301" i="26"/>
  <c r="M297" i="26"/>
  <c r="P297" i="26"/>
  <c r="N297" i="26"/>
  <c r="O297" i="26"/>
  <c r="M293" i="26"/>
  <c r="P293" i="26"/>
  <c r="N293" i="26"/>
  <c r="O293" i="26"/>
  <c r="M289" i="26"/>
  <c r="P289" i="26"/>
  <c r="N289" i="26"/>
  <c r="O289" i="26"/>
  <c r="M285" i="26"/>
  <c r="P285" i="26"/>
  <c r="N285" i="26"/>
  <c r="O285" i="26"/>
  <c r="M281" i="26"/>
  <c r="P281" i="26"/>
  <c r="N281" i="26"/>
  <c r="O281" i="26"/>
  <c r="M277" i="26"/>
  <c r="P277" i="26"/>
  <c r="N277" i="26"/>
  <c r="O277" i="26"/>
  <c r="M273" i="26"/>
  <c r="P273" i="26"/>
  <c r="N273" i="26"/>
  <c r="O273" i="26"/>
  <c r="M269" i="26"/>
  <c r="P269" i="26"/>
  <c r="N269" i="26"/>
  <c r="O269" i="26"/>
  <c r="M265" i="26"/>
  <c r="P265" i="26"/>
  <c r="N265" i="26"/>
  <c r="O265" i="26"/>
  <c r="M261" i="26"/>
  <c r="P261" i="26"/>
  <c r="N261" i="26"/>
  <c r="O261" i="26"/>
  <c r="M257" i="26"/>
  <c r="P257" i="26"/>
  <c r="N257" i="26"/>
  <c r="O257" i="26"/>
  <c r="M253" i="26"/>
  <c r="P253" i="26"/>
  <c r="N253" i="26"/>
  <c r="O253" i="26"/>
  <c r="M249" i="26"/>
  <c r="P249" i="26"/>
  <c r="N249" i="26"/>
  <c r="O249" i="26"/>
  <c r="M245" i="26"/>
  <c r="P245" i="26"/>
  <c r="N245" i="26"/>
  <c r="O245" i="26"/>
  <c r="P242" i="26"/>
  <c r="N242" i="26"/>
  <c r="O242" i="26"/>
  <c r="M242" i="26"/>
  <c r="P241" i="26"/>
  <c r="N241" i="26"/>
  <c r="O241" i="26"/>
  <c r="M241" i="26"/>
  <c r="M395" i="26"/>
  <c r="N395" i="26"/>
  <c r="O395" i="26"/>
  <c r="P395" i="26"/>
  <c r="P383" i="26"/>
  <c r="N383" i="26"/>
  <c r="O383" i="26"/>
  <c r="M383" i="26"/>
  <c r="P371" i="26"/>
  <c r="N371" i="26"/>
  <c r="O371" i="26"/>
  <c r="M371" i="26"/>
  <c r="M363" i="26"/>
  <c r="P363" i="26"/>
  <c r="N363" i="26"/>
  <c r="O363" i="26"/>
  <c r="P359" i="26"/>
  <c r="N359" i="26"/>
  <c r="O359" i="26"/>
  <c r="M359" i="26"/>
  <c r="M347" i="26"/>
  <c r="P347" i="26"/>
  <c r="N347" i="26"/>
  <c r="O347" i="26"/>
  <c r="P335" i="26"/>
  <c r="N335" i="26"/>
  <c r="O335" i="26"/>
  <c r="M335" i="26"/>
  <c r="N323" i="26"/>
  <c r="O323" i="26"/>
  <c r="P323" i="26"/>
  <c r="M323" i="26"/>
  <c r="P392" i="26"/>
  <c r="N392" i="26"/>
  <c r="O392" i="26"/>
  <c r="M392" i="26"/>
  <c r="P388" i="26"/>
  <c r="N388" i="26"/>
  <c r="O388" i="26"/>
  <c r="M388" i="26"/>
  <c r="P384" i="26"/>
  <c r="M384" i="26"/>
  <c r="N384" i="26"/>
  <c r="O384" i="26"/>
  <c r="P380" i="26"/>
  <c r="N380" i="26"/>
  <c r="O380" i="26"/>
  <c r="M380" i="26"/>
  <c r="P376" i="26"/>
  <c r="N376" i="26"/>
  <c r="O376" i="26"/>
  <c r="M376" i="26"/>
  <c r="P372" i="26"/>
  <c r="N372" i="26"/>
  <c r="O372" i="26"/>
  <c r="M372" i="26"/>
  <c r="P368" i="26"/>
  <c r="M368" i="26"/>
  <c r="N368" i="26"/>
  <c r="O368" i="26"/>
  <c r="P364" i="26"/>
  <c r="N364" i="26"/>
  <c r="O364" i="26"/>
  <c r="M364" i="26"/>
  <c r="P360" i="26"/>
  <c r="N360" i="26"/>
  <c r="O360" i="26"/>
  <c r="M360" i="26"/>
  <c r="P356" i="26"/>
  <c r="N356" i="26"/>
  <c r="O356" i="26"/>
  <c r="M356" i="26"/>
  <c r="P352" i="26"/>
  <c r="M352" i="26"/>
  <c r="N352" i="26"/>
  <c r="O352" i="26"/>
  <c r="P348" i="26"/>
  <c r="N348" i="26"/>
  <c r="O348" i="26"/>
  <c r="M348" i="26"/>
  <c r="P344" i="26"/>
  <c r="N344" i="26"/>
  <c r="O344" i="26"/>
  <c r="M344" i="26"/>
  <c r="P340" i="26"/>
  <c r="N340" i="26"/>
  <c r="O340" i="26"/>
  <c r="M340" i="26"/>
  <c r="P336" i="26"/>
  <c r="M336" i="26"/>
  <c r="N336" i="26"/>
  <c r="O336" i="26"/>
  <c r="P332" i="26"/>
  <c r="N332" i="26"/>
  <c r="O332" i="26"/>
  <c r="M332" i="26"/>
  <c r="P328" i="26"/>
  <c r="N328" i="26"/>
  <c r="O328" i="26"/>
  <c r="M328" i="26"/>
  <c r="P324" i="26"/>
  <c r="N324" i="26"/>
  <c r="O324" i="26"/>
  <c r="M324" i="26"/>
  <c r="P391" i="26"/>
  <c r="N391" i="26"/>
  <c r="O391" i="26"/>
  <c r="M391" i="26"/>
  <c r="M379" i="26"/>
  <c r="P379" i="26"/>
  <c r="N379" i="26"/>
  <c r="O379" i="26"/>
  <c r="P367" i="26"/>
  <c r="N367" i="26"/>
  <c r="O367" i="26"/>
  <c r="M367" i="26"/>
  <c r="N355" i="26"/>
  <c r="O355" i="26"/>
  <c r="P355" i="26"/>
  <c r="M355" i="26"/>
  <c r="P343" i="26"/>
  <c r="N343" i="26"/>
  <c r="O343" i="26"/>
  <c r="M343" i="26"/>
  <c r="N339" i="26"/>
  <c r="O339" i="26"/>
  <c r="P339" i="26"/>
  <c r="M339" i="26"/>
  <c r="P327" i="26"/>
  <c r="N327" i="26"/>
  <c r="O327" i="26"/>
  <c r="M327" i="26"/>
  <c r="N394" i="26"/>
  <c r="O394" i="26"/>
  <c r="M394" i="26"/>
  <c r="P394" i="26"/>
  <c r="N390" i="26"/>
  <c r="O390" i="26"/>
  <c r="M390" i="26"/>
  <c r="P390" i="26"/>
  <c r="N386" i="26"/>
  <c r="O386" i="26"/>
  <c r="M386" i="26"/>
  <c r="P386" i="26"/>
  <c r="N382" i="26"/>
  <c r="O382" i="26"/>
  <c r="M382" i="26"/>
  <c r="P382" i="26"/>
  <c r="N378" i="26"/>
  <c r="O378" i="26"/>
  <c r="M378" i="26"/>
  <c r="P378" i="26"/>
  <c r="N374" i="26"/>
  <c r="O374" i="26"/>
  <c r="M374" i="26"/>
  <c r="P374" i="26"/>
  <c r="N370" i="26"/>
  <c r="O370" i="26"/>
  <c r="M370" i="26"/>
  <c r="P370" i="26"/>
  <c r="N366" i="26"/>
  <c r="O366" i="26"/>
  <c r="M366" i="26"/>
  <c r="P366" i="26"/>
  <c r="N362" i="26"/>
  <c r="O362" i="26"/>
  <c r="M362" i="26"/>
  <c r="P362" i="26"/>
  <c r="N358" i="26"/>
  <c r="O358" i="26"/>
  <c r="M358" i="26"/>
  <c r="P358" i="26"/>
  <c r="N354" i="26"/>
  <c r="O354" i="26"/>
  <c r="M354" i="26"/>
  <c r="P354" i="26"/>
  <c r="N350" i="26"/>
  <c r="O350" i="26"/>
  <c r="M350" i="26"/>
  <c r="P350" i="26"/>
  <c r="N346" i="26"/>
  <c r="O346" i="26"/>
  <c r="M346" i="26"/>
  <c r="P346" i="26"/>
  <c r="N342" i="26"/>
  <c r="O342" i="26"/>
  <c r="M342" i="26"/>
  <c r="P342" i="26"/>
  <c r="N338" i="26"/>
  <c r="O338" i="26"/>
  <c r="M338" i="26"/>
  <c r="P338" i="26"/>
  <c r="N334" i="26"/>
  <c r="O334" i="26"/>
  <c r="M334" i="26"/>
  <c r="P334" i="26"/>
  <c r="N330" i="26"/>
  <c r="O330" i="26"/>
  <c r="M330" i="26"/>
  <c r="P330" i="26"/>
  <c r="N326" i="26"/>
  <c r="O326" i="26"/>
  <c r="M326" i="26"/>
  <c r="P326" i="26"/>
  <c r="N322" i="26"/>
  <c r="O322" i="26"/>
  <c r="M322" i="26"/>
  <c r="P322" i="26"/>
  <c r="P387" i="26"/>
  <c r="N387" i="26"/>
  <c r="O387" i="26"/>
  <c r="M387" i="26"/>
  <c r="P375" i="26"/>
  <c r="N375" i="26"/>
  <c r="O375" i="26"/>
  <c r="M375" i="26"/>
  <c r="P351" i="26"/>
  <c r="N351" i="26"/>
  <c r="O351" i="26"/>
  <c r="M351" i="26"/>
  <c r="M331" i="26"/>
  <c r="P331" i="26"/>
  <c r="N331" i="26"/>
  <c r="O331" i="26"/>
  <c r="P393" i="26"/>
  <c r="N393" i="26"/>
  <c r="O393" i="26"/>
  <c r="M393" i="26"/>
  <c r="M389" i="26"/>
  <c r="P389" i="26"/>
  <c r="N389" i="26"/>
  <c r="O389" i="26"/>
  <c r="N385" i="26"/>
  <c r="O385" i="26"/>
  <c r="M385" i="26"/>
  <c r="P385" i="26"/>
  <c r="P381" i="26"/>
  <c r="N381" i="26"/>
  <c r="O381" i="26"/>
  <c r="M381" i="26"/>
  <c r="P377" i="26"/>
  <c r="N377" i="26"/>
  <c r="O377" i="26"/>
  <c r="M377" i="26"/>
  <c r="M373" i="26"/>
  <c r="P373" i="26"/>
  <c r="N373" i="26"/>
  <c r="O373" i="26"/>
  <c r="N369" i="26"/>
  <c r="O369" i="26"/>
  <c r="M369" i="26"/>
  <c r="P369" i="26"/>
  <c r="P365" i="26"/>
  <c r="N365" i="26"/>
  <c r="O365" i="26"/>
  <c r="M365" i="26"/>
  <c r="P361" i="26"/>
  <c r="N361" i="26"/>
  <c r="O361" i="26"/>
  <c r="M361" i="26"/>
  <c r="P357" i="26"/>
  <c r="M357" i="26"/>
  <c r="N357" i="26"/>
  <c r="O357" i="26"/>
  <c r="P353" i="26"/>
  <c r="N353" i="26"/>
  <c r="O353" i="26"/>
  <c r="M353" i="26"/>
  <c r="P349" i="26"/>
  <c r="N349" i="26"/>
  <c r="O349" i="26"/>
  <c r="M349" i="26"/>
  <c r="P345" i="26"/>
  <c r="N345" i="26"/>
  <c r="O345" i="26"/>
  <c r="M345" i="26"/>
  <c r="P341" i="26"/>
  <c r="M341" i="26"/>
  <c r="N341" i="26"/>
  <c r="O341" i="26"/>
  <c r="P337" i="26"/>
  <c r="N337" i="26"/>
  <c r="O337" i="26"/>
  <c r="M337" i="26"/>
  <c r="P333" i="26"/>
  <c r="N333" i="26"/>
  <c r="O333" i="26"/>
  <c r="M333" i="26"/>
  <c r="P329" i="26"/>
  <c r="N329" i="26"/>
  <c r="O329" i="26"/>
  <c r="M329" i="26"/>
  <c r="P325" i="26"/>
  <c r="M325" i="26"/>
  <c r="N325" i="26"/>
  <c r="O325" i="26"/>
  <c r="P321" i="26"/>
  <c r="N321" i="26"/>
  <c r="O321" i="26"/>
  <c r="M321" i="26"/>
  <c r="N320" i="26"/>
  <c r="O320" i="26"/>
  <c r="P320" i="26"/>
  <c r="M320" i="26"/>
  <c r="P319" i="26"/>
  <c r="M319" i="26"/>
  <c r="N319" i="26"/>
  <c r="O319" i="26"/>
  <c r="P468" i="26"/>
  <c r="N468" i="26"/>
  <c r="O468" i="26"/>
  <c r="M468" i="26"/>
  <c r="P452" i="26"/>
  <c r="N452" i="26"/>
  <c r="O452" i="26"/>
  <c r="M452" i="26"/>
  <c r="P436" i="26"/>
  <c r="N436" i="26"/>
  <c r="O436" i="26"/>
  <c r="M436" i="26"/>
  <c r="P424" i="26"/>
  <c r="N424" i="26"/>
  <c r="O424" i="26"/>
  <c r="M424" i="26"/>
  <c r="P412" i="26"/>
  <c r="N412" i="26"/>
  <c r="O412" i="26"/>
  <c r="M412" i="26"/>
  <c r="P404" i="26"/>
  <c r="N404" i="26"/>
  <c r="O404" i="26"/>
  <c r="M404" i="26"/>
  <c r="M471" i="26"/>
  <c r="N471" i="26"/>
  <c r="O471" i="26"/>
  <c r="P471" i="26"/>
  <c r="M467" i="26"/>
  <c r="N467" i="26"/>
  <c r="O467" i="26"/>
  <c r="P467" i="26"/>
  <c r="M463" i="26"/>
  <c r="P463" i="26"/>
  <c r="N463" i="26"/>
  <c r="O463" i="26"/>
  <c r="M459" i="26"/>
  <c r="N459" i="26"/>
  <c r="O459" i="26"/>
  <c r="P459" i="26"/>
  <c r="M455" i="26"/>
  <c r="N455" i="26"/>
  <c r="O455" i="26"/>
  <c r="P455" i="26"/>
  <c r="M451" i="26"/>
  <c r="N451" i="26"/>
  <c r="O451" i="26"/>
  <c r="P451" i="26"/>
  <c r="M447" i="26"/>
  <c r="N447" i="26"/>
  <c r="O447" i="26"/>
  <c r="P447" i="26"/>
  <c r="M443" i="26"/>
  <c r="N443" i="26"/>
  <c r="O443" i="26"/>
  <c r="P443" i="26"/>
  <c r="M439" i="26"/>
  <c r="P439" i="26"/>
  <c r="N439" i="26"/>
  <c r="O439" i="26"/>
  <c r="M435" i="26"/>
  <c r="P435" i="26"/>
  <c r="N435" i="26"/>
  <c r="O435" i="26"/>
  <c r="M431" i="26"/>
  <c r="N431" i="26"/>
  <c r="O431" i="26"/>
  <c r="P431" i="26"/>
  <c r="M427" i="26"/>
  <c r="N427" i="26"/>
  <c r="O427" i="26"/>
  <c r="P427" i="26"/>
  <c r="M423" i="26"/>
  <c r="P423" i="26"/>
  <c r="N423" i="26"/>
  <c r="O423" i="26"/>
  <c r="M419" i="26"/>
  <c r="P419" i="26"/>
  <c r="N419" i="26"/>
  <c r="O419" i="26"/>
  <c r="M415" i="26"/>
  <c r="N415" i="26"/>
  <c r="O415" i="26"/>
  <c r="P415" i="26"/>
  <c r="M411" i="26"/>
  <c r="N411" i="26"/>
  <c r="O411" i="26"/>
  <c r="P411" i="26"/>
  <c r="M407" i="26"/>
  <c r="N407" i="26"/>
  <c r="O407" i="26"/>
  <c r="P407" i="26"/>
  <c r="M403" i="26"/>
  <c r="P403" i="26"/>
  <c r="N403" i="26"/>
  <c r="O403" i="26"/>
  <c r="M399" i="26"/>
  <c r="P399" i="26"/>
  <c r="N399" i="26"/>
  <c r="O399" i="26"/>
  <c r="P472" i="26"/>
  <c r="N472" i="26"/>
  <c r="O472" i="26"/>
  <c r="M472" i="26"/>
  <c r="P460" i="26"/>
  <c r="N460" i="26"/>
  <c r="O460" i="26"/>
  <c r="M460" i="26"/>
  <c r="P456" i="26"/>
  <c r="N456" i="26"/>
  <c r="O456" i="26"/>
  <c r="M456" i="26"/>
  <c r="P444" i="26"/>
  <c r="N444" i="26"/>
  <c r="O444" i="26"/>
  <c r="M444" i="26"/>
  <c r="P432" i="26"/>
  <c r="N432" i="26"/>
  <c r="O432" i="26"/>
  <c r="M432" i="26"/>
  <c r="P428" i="26"/>
  <c r="N428" i="26"/>
  <c r="O428" i="26"/>
  <c r="M428" i="26"/>
  <c r="P416" i="26"/>
  <c r="N416" i="26"/>
  <c r="O416" i="26"/>
  <c r="M416" i="26"/>
  <c r="P400" i="26"/>
  <c r="N400" i="26"/>
  <c r="O400" i="26"/>
  <c r="M400" i="26"/>
  <c r="P470" i="26"/>
  <c r="M470" i="26"/>
  <c r="N470" i="26"/>
  <c r="O470" i="26"/>
  <c r="P466" i="26"/>
  <c r="M466" i="26"/>
  <c r="N466" i="26"/>
  <c r="O466" i="26"/>
  <c r="P462" i="26"/>
  <c r="M462" i="26"/>
  <c r="N462" i="26"/>
  <c r="O462" i="26"/>
  <c r="P458" i="26"/>
  <c r="M458" i="26"/>
  <c r="N458" i="26"/>
  <c r="O458" i="26"/>
  <c r="P454" i="26"/>
  <c r="M454" i="26"/>
  <c r="N454" i="26"/>
  <c r="O454" i="26"/>
  <c r="N450" i="26"/>
  <c r="O450" i="26"/>
  <c r="P450" i="26"/>
  <c r="M450" i="26"/>
  <c r="P446" i="26"/>
  <c r="M446" i="26"/>
  <c r="N446" i="26"/>
  <c r="O446" i="26"/>
  <c r="P442" i="26"/>
  <c r="M442" i="26"/>
  <c r="N442" i="26"/>
  <c r="O442" i="26"/>
  <c r="P438" i="26"/>
  <c r="M438" i="26"/>
  <c r="N438" i="26"/>
  <c r="O438" i="26"/>
  <c r="P434" i="26"/>
  <c r="N434" i="26"/>
  <c r="O434" i="26"/>
  <c r="M434" i="26"/>
  <c r="P430" i="26"/>
  <c r="M430" i="26"/>
  <c r="N430" i="26"/>
  <c r="O430" i="26"/>
  <c r="P426" i="26"/>
  <c r="M426" i="26"/>
  <c r="N426" i="26"/>
  <c r="O426" i="26"/>
  <c r="P422" i="26"/>
  <c r="M422" i="26"/>
  <c r="N422" i="26"/>
  <c r="O422" i="26"/>
  <c r="P418" i="26"/>
  <c r="N418" i="26"/>
  <c r="O418" i="26"/>
  <c r="M418" i="26"/>
  <c r="P414" i="26"/>
  <c r="M414" i="26"/>
  <c r="N414" i="26"/>
  <c r="O414" i="26"/>
  <c r="P410" i="26"/>
  <c r="M410" i="26"/>
  <c r="N410" i="26"/>
  <c r="O410" i="26"/>
  <c r="P406" i="26"/>
  <c r="M406" i="26"/>
  <c r="N406" i="26"/>
  <c r="O406" i="26"/>
  <c r="P402" i="26"/>
  <c r="N402" i="26"/>
  <c r="O402" i="26"/>
  <c r="M402" i="26"/>
  <c r="P464" i="26"/>
  <c r="N464" i="26"/>
  <c r="O464" i="26"/>
  <c r="M464" i="26"/>
  <c r="P448" i="26"/>
  <c r="N448" i="26"/>
  <c r="O448" i="26"/>
  <c r="M448" i="26"/>
  <c r="P440" i="26"/>
  <c r="N440" i="26"/>
  <c r="O440" i="26"/>
  <c r="M440" i="26"/>
  <c r="P420" i="26"/>
  <c r="N420" i="26"/>
  <c r="O420" i="26"/>
  <c r="M420" i="26"/>
  <c r="P408" i="26"/>
  <c r="N408" i="26"/>
  <c r="O408" i="26"/>
  <c r="M408" i="26"/>
  <c r="P473" i="26"/>
  <c r="N473" i="26"/>
  <c r="O473" i="26"/>
  <c r="M473" i="26"/>
  <c r="P469" i="26"/>
  <c r="N469" i="26"/>
  <c r="O469" i="26"/>
  <c r="M469" i="26"/>
  <c r="P465" i="26"/>
  <c r="N465" i="26"/>
  <c r="O465" i="26"/>
  <c r="M465" i="26"/>
  <c r="P461" i="26"/>
  <c r="N461" i="26"/>
  <c r="O461" i="26"/>
  <c r="M461" i="26"/>
  <c r="P457" i="26"/>
  <c r="N457" i="26"/>
  <c r="O457" i="26"/>
  <c r="M457" i="26"/>
  <c r="P453" i="26"/>
  <c r="N453" i="26"/>
  <c r="O453" i="26"/>
  <c r="M453" i="26"/>
  <c r="P449" i="26"/>
  <c r="N449" i="26"/>
  <c r="O449" i="26"/>
  <c r="M449" i="26"/>
  <c r="P445" i="26"/>
  <c r="N445" i="26"/>
  <c r="O445" i="26"/>
  <c r="M445" i="26"/>
  <c r="P441" i="26"/>
  <c r="N441" i="26"/>
  <c r="O441" i="26"/>
  <c r="M441" i="26"/>
  <c r="P437" i="26"/>
  <c r="N437" i="26"/>
  <c r="O437" i="26"/>
  <c r="M437" i="26"/>
  <c r="P433" i="26"/>
  <c r="N433" i="26"/>
  <c r="O433" i="26"/>
  <c r="M433" i="26"/>
  <c r="P429" i="26"/>
  <c r="N429" i="26"/>
  <c r="O429" i="26"/>
  <c r="M429" i="26"/>
  <c r="P425" i="26"/>
  <c r="N425" i="26"/>
  <c r="O425" i="26"/>
  <c r="M425" i="26"/>
  <c r="P421" i="26"/>
  <c r="N421" i="26"/>
  <c r="O421" i="26"/>
  <c r="M421" i="26"/>
  <c r="P417" i="26"/>
  <c r="N417" i="26"/>
  <c r="O417" i="26"/>
  <c r="M417" i="26"/>
  <c r="P413" i="26"/>
  <c r="N413" i="26"/>
  <c r="O413" i="26"/>
  <c r="M413" i="26"/>
  <c r="P409" i="26"/>
  <c r="N409" i="26"/>
  <c r="O409" i="26"/>
  <c r="M409" i="26"/>
  <c r="P405" i="26"/>
  <c r="N405" i="26"/>
  <c r="O405" i="26"/>
  <c r="M405" i="26"/>
  <c r="P401" i="26"/>
  <c r="N401" i="26"/>
  <c r="O401" i="26"/>
  <c r="M401" i="26"/>
  <c r="P398" i="26"/>
  <c r="N398" i="26"/>
  <c r="O398" i="26"/>
  <c r="M398" i="26"/>
  <c r="M397" i="26"/>
  <c r="P397" i="26"/>
  <c r="N397" i="26"/>
  <c r="O397" i="26"/>
  <c r="N550" i="26"/>
  <c r="O550" i="26"/>
  <c r="P550" i="26"/>
  <c r="M550" i="26"/>
  <c r="N546" i="26"/>
  <c r="O546" i="26"/>
  <c r="P546" i="26"/>
  <c r="M546" i="26"/>
  <c r="N542" i="26"/>
  <c r="O542" i="26"/>
  <c r="M542" i="26"/>
  <c r="P542" i="26"/>
  <c r="N538" i="26"/>
  <c r="O538" i="26"/>
  <c r="P538" i="26"/>
  <c r="M538" i="26"/>
  <c r="N534" i="26"/>
  <c r="O534" i="26"/>
  <c r="P534" i="26"/>
  <c r="M534" i="26"/>
  <c r="N530" i="26"/>
  <c r="O530" i="26"/>
  <c r="M530" i="26"/>
  <c r="P530" i="26"/>
  <c r="N526" i="26"/>
  <c r="O526" i="26"/>
  <c r="M526" i="26"/>
  <c r="P526" i="26"/>
  <c r="N522" i="26"/>
  <c r="O522" i="26"/>
  <c r="P522" i="26"/>
  <c r="M522" i="26"/>
  <c r="N518" i="26"/>
  <c r="O518" i="26"/>
  <c r="M518" i="26"/>
  <c r="P518" i="26"/>
  <c r="N514" i="26"/>
  <c r="O514" i="26"/>
  <c r="P514" i="26"/>
  <c r="M514" i="26"/>
  <c r="N510" i="26"/>
  <c r="O510" i="26"/>
  <c r="M510" i="26"/>
  <c r="P510" i="26"/>
  <c r="N506" i="26"/>
  <c r="O506" i="26"/>
  <c r="P506" i="26"/>
  <c r="M506" i="26"/>
  <c r="N502" i="26"/>
  <c r="O502" i="26"/>
  <c r="M502" i="26"/>
  <c r="P502" i="26"/>
  <c r="N498" i="26"/>
  <c r="O498" i="26"/>
  <c r="P498" i="26"/>
  <c r="M498" i="26"/>
  <c r="N494" i="26"/>
  <c r="O494" i="26"/>
  <c r="M494" i="26"/>
  <c r="P494" i="26"/>
  <c r="N490" i="26"/>
  <c r="O490" i="26"/>
  <c r="P490" i="26"/>
  <c r="M490" i="26"/>
  <c r="N486" i="26"/>
  <c r="O486" i="26"/>
  <c r="M486" i="26"/>
  <c r="P486" i="26"/>
  <c r="N482" i="26"/>
  <c r="O482" i="26"/>
  <c r="P482" i="26"/>
  <c r="M482" i="26"/>
  <c r="N478" i="26"/>
  <c r="O478" i="26"/>
  <c r="M478" i="26"/>
  <c r="P478" i="26"/>
  <c r="P548" i="26"/>
  <c r="M548" i="26"/>
  <c r="N548" i="26"/>
  <c r="O548" i="26"/>
  <c r="P544" i="26"/>
  <c r="M544" i="26"/>
  <c r="N544" i="26"/>
  <c r="O544" i="26"/>
  <c r="P540" i="26"/>
  <c r="M540" i="26"/>
  <c r="N540" i="26"/>
  <c r="O540" i="26"/>
  <c r="P536" i="26"/>
  <c r="M536" i="26"/>
  <c r="N536" i="26"/>
  <c r="O536" i="26"/>
  <c r="P532" i="26"/>
  <c r="M532" i="26"/>
  <c r="N532" i="26"/>
  <c r="O532" i="26"/>
  <c r="P528" i="26"/>
  <c r="M528" i="26"/>
  <c r="N528" i="26"/>
  <c r="O528" i="26"/>
  <c r="P524" i="26"/>
  <c r="M524" i="26"/>
  <c r="N524" i="26"/>
  <c r="O524" i="26"/>
  <c r="P520" i="26"/>
  <c r="M520" i="26"/>
  <c r="N520" i="26"/>
  <c r="O520" i="26"/>
  <c r="P516" i="26"/>
  <c r="M516" i="26"/>
  <c r="N516" i="26"/>
  <c r="O516" i="26"/>
  <c r="P512" i="26"/>
  <c r="M512" i="26"/>
  <c r="N512" i="26"/>
  <c r="O512" i="26"/>
  <c r="P508" i="26"/>
  <c r="M508" i="26"/>
  <c r="N508" i="26"/>
  <c r="O508" i="26"/>
  <c r="P504" i="26"/>
  <c r="M504" i="26"/>
  <c r="N504" i="26"/>
  <c r="O504" i="26"/>
  <c r="P500" i="26"/>
  <c r="M500" i="26"/>
  <c r="N500" i="26"/>
  <c r="O500" i="26"/>
  <c r="P496" i="26"/>
  <c r="M496" i="26"/>
  <c r="N496" i="26"/>
  <c r="O496" i="26"/>
  <c r="P492" i="26"/>
  <c r="M492" i="26"/>
  <c r="N492" i="26"/>
  <c r="O492" i="26"/>
  <c r="P488" i="26"/>
  <c r="M488" i="26"/>
  <c r="N488" i="26"/>
  <c r="O488" i="26"/>
  <c r="P484" i="26"/>
  <c r="M484" i="26"/>
  <c r="N484" i="26"/>
  <c r="O484" i="26"/>
  <c r="P480" i="26"/>
  <c r="M480" i="26"/>
  <c r="N480" i="26"/>
  <c r="O480" i="26"/>
  <c r="M551" i="26"/>
  <c r="P551" i="26"/>
  <c r="N551" i="26"/>
  <c r="O551" i="26"/>
  <c r="N547" i="26"/>
  <c r="O547" i="26"/>
  <c r="M547" i="26"/>
  <c r="P547" i="26"/>
  <c r="P543" i="26"/>
  <c r="M543" i="26"/>
  <c r="N543" i="26"/>
  <c r="O543" i="26"/>
  <c r="P539" i="26"/>
  <c r="N539" i="26"/>
  <c r="O539" i="26"/>
  <c r="M539" i="26"/>
  <c r="M535" i="26"/>
  <c r="P535" i="26"/>
  <c r="N535" i="26"/>
  <c r="O535" i="26"/>
  <c r="N531" i="26"/>
  <c r="O531" i="26"/>
  <c r="M531" i="26"/>
  <c r="P531" i="26"/>
  <c r="P527" i="26"/>
  <c r="N527" i="26"/>
  <c r="O527" i="26"/>
  <c r="M527" i="26"/>
  <c r="P523" i="26"/>
  <c r="M523" i="26"/>
  <c r="N523" i="26"/>
  <c r="O523" i="26"/>
  <c r="P519" i="26"/>
  <c r="N519" i="26"/>
  <c r="O519" i="26"/>
  <c r="M519" i="26"/>
  <c r="N515" i="26"/>
  <c r="O515" i="26"/>
  <c r="M515" i="26"/>
  <c r="P515" i="26"/>
  <c r="N511" i="26"/>
  <c r="O511" i="26"/>
  <c r="P511" i="26"/>
  <c r="M511" i="26"/>
  <c r="P507" i="26"/>
  <c r="M507" i="26"/>
  <c r="N507" i="26"/>
  <c r="O507" i="26"/>
  <c r="P503" i="26"/>
  <c r="N503" i="26"/>
  <c r="O503" i="26"/>
  <c r="M503" i="26"/>
  <c r="N499" i="26"/>
  <c r="O499" i="26"/>
  <c r="M499" i="26"/>
  <c r="P499" i="26"/>
  <c r="N495" i="26"/>
  <c r="O495" i="26"/>
  <c r="M495" i="26"/>
  <c r="P495" i="26"/>
  <c r="P491" i="26"/>
  <c r="N491" i="26"/>
  <c r="O491" i="26"/>
  <c r="M491" i="26"/>
  <c r="P487" i="26"/>
  <c r="M487" i="26"/>
  <c r="N487" i="26"/>
  <c r="O487" i="26"/>
  <c r="N483" i="26"/>
  <c r="O483" i="26"/>
  <c r="M483" i="26"/>
  <c r="P483" i="26"/>
  <c r="N479" i="26"/>
  <c r="O479" i="26"/>
  <c r="M479" i="26"/>
  <c r="P479" i="26"/>
  <c r="P549" i="26"/>
  <c r="N549" i="26"/>
  <c r="O549" i="26"/>
  <c r="M549" i="26"/>
  <c r="P545" i="26"/>
  <c r="N545" i="26"/>
  <c r="O545" i="26"/>
  <c r="M545" i="26"/>
  <c r="N541" i="26"/>
  <c r="O541" i="26"/>
  <c r="P541" i="26"/>
  <c r="M541" i="26"/>
  <c r="M537" i="26"/>
  <c r="N537" i="26"/>
  <c r="O537" i="26"/>
  <c r="P537" i="26"/>
  <c r="P533" i="26"/>
  <c r="N533" i="26"/>
  <c r="O533" i="26"/>
  <c r="M533" i="26"/>
  <c r="P529" i="26"/>
  <c r="M529" i="26"/>
  <c r="N529" i="26"/>
  <c r="O529" i="26"/>
  <c r="N525" i="26"/>
  <c r="O525" i="26"/>
  <c r="P525" i="26"/>
  <c r="M525" i="26"/>
  <c r="P521" i="26"/>
  <c r="M521" i="26"/>
  <c r="N521" i="26"/>
  <c r="O521" i="26"/>
  <c r="P517" i="26"/>
  <c r="N517" i="26"/>
  <c r="O517" i="26"/>
  <c r="M517" i="26"/>
  <c r="P513" i="26"/>
  <c r="N513" i="26"/>
  <c r="O513" i="26"/>
  <c r="M513" i="26"/>
  <c r="P509" i="26"/>
  <c r="N509" i="26"/>
  <c r="O509" i="26"/>
  <c r="M509" i="26"/>
  <c r="P505" i="26"/>
  <c r="M505" i="26"/>
  <c r="N505" i="26"/>
  <c r="O505" i="26"/>
  <c r="P501" i="26"/>
  <c r="N501" i="26"/>
  <c r="O501" i="26"/>
  <c r="M501" i="26"/>
  <c r="P497" i="26"/>
  <c r="M497" i="26"/>
  <c r="N497" i="26"/>
  <c r="O497" i="26"/>
  <c r="P493" i="26"/>
  <c r="N493" i="26"/>
  <c r="O493" i="26"/>
  <c r="M493" i="26"/>
  <c r="P489" i="26"/>
  <c r="M489" i="26"/>
  <c r="N489" i="26"/>
  <c r="O489" i="26"/>
  <c r="P485" i="26"/>
  <c r="N485" i="26"/>
  <c r="O485" i="26"/>
  <c r="M485" i="26"/>
  <c r="P481" i="26"/>
  <c r="N481" i="26"/>
  <c r="O481" i="26"/>
  <c r="M481" i="26"/>
  <c r="P477" i="26"/>
  <c r="N477" i="26"/>
  <c r="O477" i="26"/>
  <c r="M477" i="26"/>
  <c r="P475" i="26"/>
  <c r="N475" i="26"/>
  <c r="O475" i="26"/>
  <c r="M475" i="26"/>
  <c r="P476" i="26"/>
  <c r="N476" i="26"/>
  <c r="O476" i="26"/>
  <c r="M476" i="26"/>
  <c r="P474" i="26"/>
  <c r="N474" i="26"/>
  <c r="O474" i="26"/>
  <c r="M474" i="26"/>
  <c r="M76" i="26"/>
  <c r="P76" i="26"/>
  <c r="N76" i="26"/>
  <c r="O76" i="26"/>
  <c r="M68" i="26"/>
  <c r="P68" i="26"/>
  <c r="N68" i="26"/>
  <c r="O68" i="26"/>
  <c r="M60" i="26"/>
  <c r="P60" i="26"/>
  <c r="N60" i="26"/>
  <c r="O60" i="26"/>
  <c r="M52" i="26"/>
  <c r="P52" i="26"/>
  <c r="N52" i="26"/>
  <c r="O52" i="26"/>
  <c r="N48" i="26"/>
  <c r="O48" i="26"/>
  <c r="P48" i="26"/>
  <c r="M48" i="26"/>
  <c r="M36" i="26"/>
  <c r="P36" i="26"/>
  <c r="N36" i="26"/>
  <c r="O36" i="26"/>
  <c r="P28" i="26"/>
  <c r="M28" i="26"/>
  <c r="N28" i="26"/>
  <c r="O28" i="26"/>
  <c r="P24" i="26"/>
  <c r="N24" i="26"/>
  <c r="O24" i="26"/>
  <c r="M24" i="26"/>
  <c r="N16" i="26"/>
  <c r="O16" i="26"/>
  <c r="P16" i="26"/>
  <c r="M16" i="26"/>
  <c r="P77" i="26"/>
  <c r="N77" i="26"/>
  <c r="O77" i="26"/>
  <c r="M77" i="26"/>
  <c r="P69" i="26"/>
  <c r="N69" i="26"/>
  <c r="O69" i="26"/>
  <c r="M69" i="26"/>
  <c r="P61" i="26"/>
  <c r="N61" i="26"/>
  <c r="O61" i="26"/>
  <c r="M61" i="26"/>
  <c r="P49" i="26"/>
  <c r="M49" i="26"/>
  <c r="N49" i="26"/>
  <c r="O49" i="26"/>
  <c r="P29" i="26"/>
  <c r="N29" i="26"/>
  <c r="O29" i="26"/>
  <c r="M29" i="26"/>
  <c r="P13" i="26"/>
  <c r="N13" i="26"/>
  <c r="O13" i="26"/>
  <c r="M13" i="26"/>
  <c r="P65" i="26"/>
  <c r="M65" i="26"/>
  <c r="N65" i="26"/>
  <c r="O65" i="26"/>
  <c r="P53" i="26"/>
  <c r="N53" i="26"/>
  <c r="O53" i="26"/>
  <c r="M53" i="26"/>
  <c r="P45" i="26"/>
  <c r="N45" i="26"/>
  <c r="O45" i="26"/>
  <c r="M45" i="26"/>
  <c r="P41" i="26"/>
  <c r="M41" i="26"/>
  <c r="N41" i="26"/>
  <c r="O41" i="26"/>
  <c r="P37" i="26"/>
  <c r="N37" i="26"/>
  <c r="O37" i="26"/>
  <c r="M37" i="26"/>
  <c r="P33" i="26"/>
  <c r="M33" i="26"/>
  <c r="N33" i="26"/>
  <c r="O33" i="26"/>
  <c r="P25" i="26"/>
  <c r="M25" i="26"/>
  <c r="N25" i="26"/>
  <c r="O25" i="26"/>
  <c r="P21" i="26"/>
  <c r="N21" i="26"/>
  <c r="O21" i="26"/>
  <c r="M21" i="26"/>
  <c r="P17" i="26"/>
  <c r="M17" i="26"/>
  <c r="N17" i="26"/>
  <c r="O17" i="26"/>
  <c r="P9" i="26"/>
  <c r="M9" i="26"/>
  <c r="N9" i="26"/>
  <c r="O9" i="26"/>
  <c r="N82" i="26"/>
  <c r="O82" i="26"/>
  <c r="M82" i="26"/>
  <c r="P82" i="26"/>
  <c r="N78" i="26"/>
  <c r="O78" i="26"/>
  <c r="M78" i="26"/>
  <c r="P78" i="26"/>
  <c r="N74" i="26"/>
  <c r="O74" i="26"/>
  <c r="M74" i="26"/>
  <c r="P74" i="26"/>
  <c r="N70" i="26"/>
  <c r="O70" i="26"/>
  <c r="M70" i="26"/>
  <c r="P70" i="26"/>
  <c r="N66" i="26"/>
  <c r="O66" i="26"/>
  <c r="M66" i="26"/>
  <c r="P66" i="26"/>
  <c r="N62" i="26"/>
  <c r="O62" i="26"/>
  <c r="M62" i="26"/>
  <c r="P62" i="26"/>
  <c r="N58" i="26"/>
  <c r="O58" i="26"/>
  <c r="M58" i="26"/>
  <c r="P58" i="26"/>
  <c r="N54" i="26"/>
  <c r="O54" i="26"/>
  <c r="M54" i="26"/>
  <c r="P54" i="26"/>
  <c r="N50" i="26"/>
  <c r="O50" i="26"/>
  <c r="M50" i="26"/>
  <c r="P50" i="26"/>
  <c r="N46" i="26"/>
  <c r="O46" i="26"/>
  <c r="M46" i="26"/>
  <c r="P46" i="26"/>
  <c r="N42" i="26"/>
  <c r="O42" i="26"/>
  <c r="M42" i="26"/>
  <c r="P42" i="26"/>
  <c r="N38" i="26"/>
  <c r="O38" i="26"/>
  <c r="M38" i="26"/>
  <c r="P38" i="26"/>
  <c r="N34" i="26"/>
  <c r="O34" i="26"/>
  <c r="M34" i="26"/>
  <c r="P34" i="26"/>
  <c r="N30" i="26"/>
  <c r="O30" i="26"/>
  <c r="M30" i="26"/>
  <c r="P30" i="26"/>
  <c r="N26" i="26"/>
  <c r="O26" i="26"/>
  <c r="M26" i="26"/>
  <c r="P26" i="26"/>
  <c r="N22" i="26"/>
  <c r="O22" i="26"/>
  <c r="M22" i="26"/>
  <c r="P22" i="26"/>
  <c r="N18" i="26"/>
  <c r="O18" i="26"/>
  <c r="M18" i="26"/>
  <c r="P18" i="26"/>
  <c r="N14" i="26"/>
  <c r="O14" i="26"/>
  <c r="M14" i="26"/>
  <c r="P14" i="26"/>
  <c r="N10" i="26"/>
  <c r="O10" i="26"/>
  <c r="M10" i="26"/>
  <c r="P10" i="26"/>
  <c r="P80" i="26"/>
  <c r="N80" i="26"/>
  <c r="O80" i="26"/>
  <c r="M80" i="26"/>
  <c r="P72" i="26"/>
  <c r="N72" i="26"/>
  <c r="O72" i="26"/>
  <c r="M72" i="26"/>
  <c r="P64" i="26"/>
  <c r="N64" i="26"/>
  <c r="O64" i="26"/>
  <c r="M64" i="26"/>
  <c r="P56" i="26"/>
  <c r="N56" i="26"/>
  <c r="O56" i="26"/>
  <c r="M56" i="26"/>
  <c r="P44" i="26"/>
  <c r="M44" i="26"/>
  <c r="N44" i="26"/>
  <c r="O44" i="26"/>
  <c r="P40" i="26"/>
  <c r="N40" i="26"/>
  <c r="O40" i="26"/>
  <c r="M40" i="26"/>
  <c r="N32" i="26"/>
  <c r="O32" i="26"/>
  <c r="P32" i="26"/>
  <c r="M32" i="26"/>
  <c r="M20" i="26"/>
  <c r="P20" i="26"/>
  <c r="N20" i="26"/>
  <c r="O20" i="26"/>
  <c r="P12" i="26"/>
  <c r="M12" i="26"/>
  <c r="N12" i="26"/>
  <c r="O12" i="26"/>
  <c r="P81" i="26"/>
  <c r="M81" i="26"/>
  <c r="N81" i="26"/>
  <c r="O81" i="26"/>
  <c r="P73" i="26"/>
  <c r="M73" i="26"/>
  <c r="N73" i="26"/>
  <c r="O73" i="26"/>
  <c r="P57" i="26"/>
  <c r="M57" i="26"/>
  <c r="N57" i="26"/>
  <c r="O57" i="26"/>
  <c r="N83" i="26"/>
  <c r="O83" i="26"/>
  <c r="M83" i="26"/>
  <c r="P83" i="26"/>
  <c r="N79" i="26"/>
  <c r="O79" i="26"/>
  <c r="M79" i="26"/>
  <c r="P79" i="26"/>
  <c r="N75" i="26"/>
  <c r="O75" i="26"/>
  <c r="M75" i="26"/>
  <c r="P75" i="26"/>
  <c r="N71" i="26"/>
  <c r="O71" i="26"/>
  <c r="M71" i="26"/>
  <c r="P71" i="26"/>
  <c r="N67" i="26"/>
  <c r="O67" i="26"/>
  <c r="M67" i="26"/>
  <c r="P67" i="26"/>
  <c r="N63" i="26"/>
  <c r="O63" i="26"/>
  <c r="M63" i="26"/>
  <c r="P63" i="26"/>
  <c r="N59" i="26"/>
  <c r="O59" i="26"/>
  <c r="M59" i="26"/>
  <c r="P59" i="26"/>
  <c r="N55" i="26"/>
  <c r="O55" i="26"/>
  <c r="M55" i="26"/>
  <c r="P55" i="26"/>
  <c r="N51" i="26"/>
  <c r="O51" i="26"/>
  <c r="M51" i="26"/>
  <c r="P51" i="26"/>
  <c r="N47" i="26"/>
  <c r="O47" i="26"/>
  <c r="M47" i="26"/>
  <c r="P47" i="26"/>
  <c r="N43" i="26"/>
  <c r="O43" i="26"/>
  <c r="M43" i="26"/>
  <c r="P43" i="26"/>
  <c r="N39" i="26"/>
  <c r="O39" i="26"/>
  <c r="M39" i="26"/>
  <c r="P39" i="26"/>
  <c r="N35" i="26"/>
  <c r="O35" i="26"/>
  <c r="M35" i="26"/>
  <c r="P35" i="26"/>
  <c r="N31" i="26"/>
  <c r="O31" i="26"/>
  <c r="M31" i="26"/>
  <c r="P31" i="26"/>
  <c r="N27" i="26"/>
  <c r="O27" i="26"/>
  <c r="M27" i="26"/>
  <c r="P27" i="26"/>
  <c r="N23" i="26"/>
  <c r="O23" i="26"/>
  <c r="M23" i="26"/>
  <c r="P23" i="26"/>
  <c r="N19" i="26"/>
  <c r="O19" i="26"/>
  <c r="M19" i="26"/>
  <c r="P19" i="26"/>
  <c r="N15" i="26"/>
  <c r="O15" i="26"/>
  <c r="M15" i="26"/>
  <c r="P15" i="26"/>
  <c r="N11" i="26"/>
  <c r="O11" i="26"/>
  <c r="M11" i="26"/>
  <c r="P11" i="26"/>
  <c r="M7" i="26"/>
  <c r="P7" i="26"/>
  <c r="N7" i="26"/>
  <c r="O7" i="26"/>
  <c r="N6" i="26"/>
  <c r="O6" i="26"/>
  <c r="M6" i="26"/>
  <c r="P6" i="26"/>
  <c r="M929" i="26"/>
  <c r="P929" i="26"/>
  <c r="N929" i="26"/>
  <c r="O929" i="26"/>
  <c r="N932" i="26"/>
  <c r="O932" i="26"/>
  <c r="P932" i="26"/>
  <c r="M932" i="26"/>
  <c r="N928" i="26"/>
  <c r="O928" i="26"/>
  <c r="P928" i="26"/>
  <c r="M928" i="26"/>
  <c r="N924" i="26"/>
  <c r="O924" i="26"/>
  <c r="M924" i="26"/>
  <c r="P924" i="26"/>
  <c r="N920" i="26"/>
  <c r="O920" i="26"/>
  <c r="M920" i="26"/>
  <c r="P920" i="26"/>
  <c r="N916" i="26"/>
  <c r="O916" i="26"/>
  <c r="M916" i="26"/>
  <c r="P916" i="26"/>
  <c r="N912" i="26"/>
  <c r="O912" i="26"/>
  <c r="P912" i="26"/>
  <c r="M912" i="26"/>
  <c r="N908" i="26"/>
  <c r="O908" i="26"/>
  <c r="M908" i="26"/>
  <c r="P908" i="26"/>
  <c r="N904" i="26"/>
  <c r="O904" i="26"/>
  <c r="P904" i="26"/>
  <c r="M904" i="26"/>
  <c r="N900" i="26"/>
  <c r="O900" i="26"/>
  <c r="M900" i="26"/>
  <c r="P900" i="26"/>
  <c r="N896" i="26"/>
  <c r="O896" i="26"/>
  <c r="P896" i="26"/>
  <c r="M896" i="26"/>
  <c r="N892" i="26"/>
  <c r="O892" i="26"/>
  <c r="M892" i="26"/>
  <c r="P892" i="26"/>
  <c r="N888" i="26"/>
  <c r="O888" i="26"/>
  <c r="P888" i="26"/>
  <c r="M888" i="26"/>
  <c r="N884" i="26"/>
  <c r="O884" i="26"/>
  <c r="M884" i="26"/>
  <c r="P884" i="26"/>
  <c r="N880" i="26"/>
  <c r="O880" i="26"/>
  <c r="P880" i="26"/>
  <c r="M880" i="26"/>
  <c r="N876" i="26"/>
  <c r="O876" i="26"/>
  <c r="M876" i="26"/>
  <c r="P876" i="26"/>
  <c r="N872" i="26"/>
  <c r="O872" i="26"/>
  <c r="P872" i="26"/>
  <c r="M872" i="26"/>
  <c r="N868" i="26"/>
  <c r="O868" i="26"/>
  <c r="M868" i="26"/>
  <c r="P868" i="26"/>
  <c r="M941" i="26"/>
  <c r="N941" i="26"/>
  <c r="O941" i="26"/>
  <c r="P941" i="26"/>
  <c r="M937" i="26"/>
  <c r="N937" i="26"/>
  <c r="O937" i="26"/>
  <c r="P937" i="26"/>
  <c r="M921" i="26"/>
  <c r="N921" i="26"/>
  <c r="O921" i="26"/>
  <c r="P921" i="26"/>
  <c r="M913" i="26"/>
  <c r="P913" i="26"/>
  <c r="N913" i="26"/>
  <c r="O913" i="26"/>
  <c r="M905" i="26"/>
  <c r="N905" i="26"/>
  <c r="O905" i="26"/>
  <c r="P905" i="26"/>
  <c r="M897" i="26"/>
  <c r="P897" i="26"/>
  <c r="N897" i="26"/>
  <c r="O897" i="26"/>
  <c r="M889" i="26"/>
  <c r="N889" i="26"/>
  <c r="O889" i="26"/>
  <c r="P889" i="26"/>
  <c r="M881" i="26"/>
  <c r="P881" i="26"/>
  <c r="N881" i="26"/>
  <c r="O881" i="26"/>
  <c r="M873" i="26"/>
  <c r="N873" i="26"/>
  <c r="O873" i="26"/>
  <c r="P873" i="26"/>
  <c r="P938" i="26"/>
  <c r="N938" i="26"/>
  <c r="O938" i="26"/>
  <c r="M938" i="26"/>
  <c r="N931" i="26"/>
  <c r="O931" i="26"/>
  <c r="M931" i="26"/>
  <c r="P931" i="26"/>
  <c r="N927" i="26"/>
  <c r="O927" i="26"/>
  <c r="M927" i="26"/>
  <c r="P927" i="26"/>
  <c r="P923" i="26"/>
  <c r="M923" i="26"/>
  <c r="N923" i="26"/>
  <c r="O923" i="26"/>
  <c r="N919" i="26"/>
  <c r="O919" i="26"/>
  <c r="M919" i="26"/>
  <c r="P919" i="26"/>
  <c r="N915" i="26"/>
  <c r="O915" i="26"/>
  <c r="M915" i="26"/>
  <c r="P915" i="26"/>
  <c r="P911" i="26"/>
  <c r="N911" i="26"/>
  <c r="O911" i="26"/>
  <c r="M911" i="26"/>
  <c r="P907" i="26"/>
  <c r="N907" i="26"/>
  <c r="O907" i="26"/>
  <c r="M907" i="26"/>
  <c r="P903" i="26"/>
  <c r="N903" i="26"/>
  <c r="O903" i="26"/>
  <c r="M903" i="26"/>
  <c r="P899" i="26"/>
  <c r="N899" i="26"/>
  <c r="O899" i="26"/>
  <c r="M899" i="26"/>
  <c r="P895" i="26"/>
  <c r="N895" i="26"/>
  <c r="O895" i="26"/>
  <c r="M895" i="26"/>
  <c r="P891" i="26"/>
  <c r="M891" i="26"/>
  <c r="N891" i="26"/>
  <c r="O891" i="26"/>
  <c r="P887" i="26"/>
  <c r="N887" i="26"/>
  <c r="O887" i="26"/>
  <c r="M887" i="26"/>
  <c r="P883" i="26"/>
  <c r="N883" i="26"/>
  <c r="O883" i="26"/>
  <c r="M883" i="26"/>
  <c r="P879" i="26"/>
  <c r="N879" i="26"/>
  <c r="O879" i="26"/>
  <c r="M879" i="26"/>
  <c r="P875" i="26"/>
  <c r="M875" i="26"/>
  <c r="N875" i="26"/>
  <c r="O875" i="26"/>
  <c r="P871" i="26"/>
  <c r="N871" i="26"/>
  <c r="O871" i="26"/>
  <c r="M871" i="26"/>
  <c r="N940" i="26"/>
  <c r="O940" i="26"/>
  <c r="P940" i="26"/>
  <c r="M940" i="26"/>
  <c r="N936" i="26"/>
  <c r="O936" i="26"/>
  <c r="M936" i="26"/>
  <c r="P936" i="26"/>
  <c r="M933" i="26"/>
  <c r="P933" i="26"/>
  <c r="N933" i="26"/>
  <c r="O933" i="26"/>
  <c r="M925" i="26"/>
  <c r="N925" i="26"/>
  <c r="O925" i="26"/>
  <c r="P925" i="26"/>
  <c r="M917" i="26"/>
  <c r="P917" i="26"/>
  <c r="N917" i="26"/>
  <c r="O917" i="26"/>
  <c r="M909" i="26"/>
  <c r="P909" i="26"/>
  <c r="N909" i="26"/>
  <c r="O909" i="26"/>
  <c r="M901" i="26"/>
  <c r="P901" i="26"/>
  <c r="N901" i="26"/>
  <c r="O901" i="26"/>
  <c r="M893" i="26"/>
  <c r="P893" i="26"/>
  <c r="N893" i="26"/>
  <c r="O893" i="26"/>
  <c r="M885" i="26"/>
  <c r="N885" i="26"/>
  <c r="O885" i="26"/>
  <c r="P885" i="26"/>
  <c r="M877" i="26"/>
  <c r="P877" i="26"/>
  <c r="N877" i="26"/>
  <c r="O877" i="26"/>
  <c r="M869" i="26"/>
  <c r="N869" i="26"/>
  <c r="O869" i="26"/>
  <c r="P869" i="26"/>
  <c r="P934" i="26"/>
  <c r="M934" i="26"/>
  <c r="N934" i="26"/>
  <c r="O934" i="26"/>
  <c r="P930" i="26"/>
  <c r="N930" i="26"/>
  <c r="O930" i="26"/>
  <c r="M930" i="26"/>
  <c r="P926" i="26"/>
  <c r="N926" i="26"/>
  <c r="O926" i="26"/>
  <c r="M926" i="26"/>
  <c r="P922" i="26"/>
  <c r="N922" i="26"/>
  <c r="O922" i="26"/>
  <c r="M922" i="26"/>
  <c r="P918" i="26"/>
  <c r="M918" i="26"/>
  <c r="N918" i="26"/>
  <c r="O918" i="26"/>
  <c r="P914" i="26"/>
  <c r="N914" i="26"/>
  <c r="O914" i="26"/>
  <c r="M914" i="26"/>
  <c r="P910" i="26"/>
  <c r="N910" i="26"/>
  <c r="O910" i="26"/>
  <c r="M910" i="26"/>
  <c r="P906" i="26"/>
  <c r="N906" i="26"/>
  <c r="O906" i="26"/>
  <c r="M906" i="26"/>
  <c r="P902" i="26"/>
  <c r="M902" i="26"/>
  <c r="N902" i="26"/>
  <c r="O902" i="26"/>
  <c r="P898" i="26"/>
  <c r="N898" i="26"/>
  <c r="O898" i="26"/>
  <c r="M898" i="26"/>
  <c r="P894" i="26"/>
  <c r="N894" i="26"/>
  <c r="O894" i="26"/>
  <c r="M894" i="26"/>
  <c r="P890" i="26"/>
  <c r="N890" i="26"/>
  <c r="O890" i="26"/>
  <c r="M890" i="26"/>
  <c r="P886" i="26"/>
  <c r="N886" i="26"/>
  <c r="O886" i="26"/>
  <c r="M886" i="26"/>
  <c r="P882" i="26"/>
  <c r="N882" i="26"/>
  <c r="O882" i="26"/>
  <c r="M882" i="26"/>
  <c r="P878" i="26"/>
  <c r="N878" i="26"/>
  <c r="O878" i="26"/>
  <c r="M878" i="26"/>
  <c r="P874" i="26"/>
  <c r="M874" i="26"/>
  <c r="N874" i="26"/>
  <c r="O874" i="26"/>
  <c r="P870" i="26"/>
  <c r="M870" i="26"/>
  <c r="N870" i="26"/>
  <c r="O870" i="26"/>
  <c r="P939" i="26"/>
  <c r="N939" i="26"/>
  <c r="O939" i="26"/>
  <c r="M939" i="26"/>
  <c r="N935" i="26"/>
  <c r="O935" i="26"/>
  <c r="M935" i="26"/>
  <c r="P935" i="26"/>
  <c r="P865" i="26"/>
  <c r="N865" i="26"/>
  <c r="O865" i="26"/>
  <c r="M865" i="26"/>
  <c r="N864" i="26"/>
  <c r="O864" i="26"/>
  <c r="M864" i="26"/>
  <c r="P864" i="26"/>
  <c r="M784" i="26"/>
  <c r="P784" i="26"/>
  <c r="N784" i="26"/>
  <c r="O784" i="26"/>
  <c r="P780" i="26"/>
  <c r="M780" i="26"/>
  <c r="N780" i="26"/>
  <c r="O780" i="26"/>
  <c r="P772" i="26"/>
  <c r="N772" i="26"/>
  <c r="O772" i="26"/>
  <c r="M772" i="26"/>
  <c r="P764" i="26"/>
  <c r="N764" i="26"/>
  <c r="O764" i="26"/>
  <c r="M764" i="26"/>
  <c r="P752" i="26"/>
  <c r="N752" i="26"/>
  <c r="O752" i="26"/>
  <c r="M752" i="26"/>
  <c r="P744" i="26"/>
  <c r="N744" i="26"/>
  <c r="O744" i="26"/>
  <c r="M744" i="26"/>
  <c r="P740" i="26"/>
  <c r="N740" i="26"/>
  <c r="O740" i="26"/>
  <c r="M740" i="26"/>
  <c r="P732" i="26"/>
  <c r="N732" i="26"/>
  <c r="O732" i="26"/>
  <c r="M732" i="26"/>
  <c r="P724" i="26"/>
  <c r="N724" i="26"/>
  <c r="O724" i="26"/>
  <c r="M724" i="26"/>
  <c r="P712" i="26"/>
  <c r="N712" i="26"/>
  <c r="O712" i="26"/>
  <c r="M712" i="26"/>
  <c r="P783" i="26"/>
  <c r="N783" i="26"/>
  <c r="O783" i="26"/>
  <c r="M783" i="26"/>
  <c r="P779" i="26"/>
  <c r="N779" i="26"/>
  <c r="O779" i="26"/>
  <c r="M779" i="26"/>
  <c r="P775" i="26"/>
  <c r="N775" i="26"/>
  <c r="O775" i="26"/>
  <c r="M775" i="26"/>
  <c r="P771" i="26"/>
  <c r="N771" i="26"/>
  <c r="O771" i="26"/>
  <c r="M771" i="26"/>
  <c r="P767" i="26"/>
  <c r="N767" i="26"/>
  <c r="O767" i="26"/>
  <c r="M767" i="26"/>
  <c r="P763" i="26"/>
  <c r="M763" i="26"/>
  <c r="N763" i="26"/>
  <c r="O763" i="26"/>
  <c r="P759" i="26"/>
  <c r="N759" i="26"/>
  <c r="O759" i="26"/>
  <c r="M759" i="26"/>
  <c r="P755" i="26"/>
  <c r="N755" i="26"/>
  <c r="O755" i="26"/>
  <c r="M755" i="26"/>
  <c r="P751" i="26"/>
  <c r="N751" i="26"/>
  <c r="O751" i="26"/>
  <c r="M751" i="26"/>
  <c r="P747" i="26"/>
  <c r="N747" i="26"/>
  <c r="O747" i="26"/>
  <c r="M747" i="26"/>
  <c r="P743" i="26"/>
  <c r="N743" i="26"/>
  <c r="O743" i="26"/>
  <c r="M743" i="26"/>
  <c r="P739" i="26"/>
  <c r="N739" i="26"/>
  <c r="O739" i="26"/>
  <c r="M739" i="26"/>
  <c r="P735" i="26"/>
  <c r="N735" i="26"/>
  <c r="O735" i="26"/>
  <c r="M735" i="26"/>
  <c r="P731" i="26"/>
  <c r="N731" i="26"/>
  <c r="O731" i="26"/>
  <c r="M731" i="26"/>
  <c r="P727" i="26"/>
  <c r="N727" i="26"/>
  <c r="O727" i="26"/>
  <c r="M727" i="26"/>
  <c r="P723" i="26"/>
  <c r="N723" i="26"/>
  <c r="O723" i="26"/>
  <c r="M723" i="26"/>
  <c r="P719" i="26"/>
  <c r="N719" i="26"/>
  <c r="O719" i="26"/>
  <c r="M719" i="26"/>
  <c r="P715" i="26"/>
  <c r="N715" i="26"/>
  <c r="O715" i="26"/>
  <c r="M715" i="26"/>
  <c r="N776" i="26"/>
  <c r="O776" i="26"/>
  <c r="M776" i="26"/>
  <c r="P776" i="26"/>
  <c r="N768" i="26"/>
  <c r="O768" i="26"/>
  <c r="M768" i="26"/>
  <c r="P768" i="26"/>
  <c r="P756" i="26"/>
  <c r="N756" i="26"/>
  <c r="O756" i="26"/>
  <c r="M756" i="26"/>
  <c r="P748" i="26"/>
  <c r="N748" i="26"/>
  <c r="O748" i="26"/>
  <c r="M748" i="26"/>
  <c r="P736" i="26"/>
  <c r="N736" i="26"/>
  <c r="O736" i="26"/>
  <c r="M736" i="26"/>
  <c r="P728" i="26"/>
  <c r="N728" i="26"/>
  <c r="O728" i="26"/>
  <c r="M728" i="26"/>
  <c r="P720" i="26"/>
  <c r="M720" i="26"/>
  <c r="N720" i="26"/>
  <c r="O720" i="26"/>
  <c r="P716" i="26"/>
  <c r="N716" i="26"/>
  <c r="O716" i="26"/>
  <c r="M716" i="26"/>
  <c r="P782" i="26"/>
  <c r="M782" i="26"/>
  <c r="N782" i="26"/>
  <c r="O782" i="26"/>
  <c r="P778" i="26"/>
  <c r="M778" i="26"/>
  <c r="N778" i="26"/>
  <c r="O778" i="26"/>
  <c r="P774" i="26"/>
  <c r="M774" i="26"/>
  <c r="N774" i="26"/>
  <c r="O774" i="26"/>
  <c r="P770" i="26"/>
  <c r="M770" i="26"/>
  <c r="N770" i="26"/>
  <c r="O770" i="26"/>
  <c r="P766" i="26"/>
  <c r="M766" i="26"/>
  <c r="N766" i="26"/>
  <c r="O766" i="26"/>
  <c r="P762" i="26"/>
  <c r="M762" i="26"/>
  <c r="N762" i="26"/>
  <c r="O762" i="26"/>
  <c r="P758" i="26"/>
  <c r="M758" i="26"/>
  <c r="N758" i="26"/>
  <c r="O758" i="26"/>
  <c r="P754" i="26"/>
  <c r="M754" i="26"/>
  <c r="N754" i="26"/>
  <c r="O754" i="26"/>
  <c r="P750" i="26"/>
  <c r="M750" i="26"/>
  <c r="N750" i="26"/>
  <c r="O750" i="26"/>
  <c r="P746" i="26"/>
  <c r="M746" i="26"/>
  <c r="N746" i="26"/>
  <c r="O746" i="26"/>
  <c r="P742" i="26"/>
  <c r="M742" i="26"/>
  <c r="N742" i="26"/>
  <c r="O742" i="26"/>
  <c r="P738" i="26"/>
  <c r="M738" i="26"/>
  <c r="N738" i="26"/>
  <c r="O738" i="26"/>
  <c r="P734" i="26"/>
  <c r="M734" i="26"/>
  <c r="N734" i="26"/>
  <c r="O734" i="26"/>
  <c r="P730" i="26"/>
  <c r="M730" i="26"/>
  <c r="N730" i="26"/>
  <c r="O730" i="26"/>
  <c r="P726" i="26"/>
  <c r="M726" i="26"/>
  <c r="N726" i="26"/>
  <c r="O726" i="26"/>
  <c r="P722" i="26"/>
  <c r="M722" i="26"/>
  <c r="N722" i="26"/>
  <c r="O722" i="26"/>
  <c r="P718" i="26"/>
  <c r="M718" i="26"/>
  <c r="N718" i="26"/>
  <c r="O718" i="26"/>
  <c r="P714" i="26"/>
  <c r="M714" i="26"/>
  <c r="N714" i="26"/>
  <c r="O714" i="26"/>
  <c r="N760" i="26"/>
  <c r="O760" i="26"/>
  <c r="M760" i="26"/>
  <c r="P760" i="26"/>
  <c r="N785" i="26"/>
  <c r="O785" i="26"/>
  <c r="P785" i="26"/>
  <c r="M785" i="26"/>
  <c r="N781" i="26"/>
  <c r="O781" i="26"/>
  <c r="M781" i="26"/>
  <c r="P781" i="26"/>
  <c r="N777" i="26"/>
  <c r="O777" i="26"/>
  <c r="P777" i="26"/>
  <c r="M777" i="26"/>
  <c r="N773" i="26"/>
  <c r="O773" i="26"/>
  <c r="P773" i="26"/>
  <c r="M773" i="26"/>
  <c r="N769" i="26"/>
  <c r="O769" i="26"/>
  <c r="P769" i="26"/>
  <c r="M769" i="26"/>
  <c r="N765" i="26"/>
  <c r="O765" i="26"/>
  <c r="M765" i="26"/>
  <c r="P765" i="26"/>
  <c r="N761" i="26"/>
  <c r="O761" i="26"/>
  <c r="P761" i="26"/>
  <c r="M761" i="26"/>
  <c r="N757" i="26"/>
  <c r="O757" i="26"/>
  <c r="P757" i="26"/>
  <c r="M757" i="26"/>
  <c r="N753" i="26"/>
  <c r="O753" i="26"/>
  <c r="P753" i="26"/>
  <c r="M753" i="26"/>
  <c r="N749" i="26"/>
  <c r="O749" i="26"/>
  <c r="M749" i="26"/>
  <c r="P749" i="26"/>
  <c r="N745" i="26"/>
  <c r="O745" i="26"/>
  <c r="M745" i="26"/>
  <c r="P745" i="26"/>
  <c r="N741" i="26"/>
  <c r="O741" i="26"/>
  <c r="P741" i="26"/>
  <c r="M741" i="26"/>
  <c r="N737" i="26"/>
  <c r="O737" i="26"/>
  <c r="P737" i="26"/>
  <c r="M737" i="26"/>
  <c r="N733" i="26"/>
  <c r="O733" i="26"/>
  <c r="M733" i="26"/>
  <c r="P733" i="26"/>
  <c r="N729" i="26"/>
  <c r="O729" i="26"/>
  <c r="M729" i="26"/>
  <c r="P729" i="26"/>
  <c r="N725" i="26"/>
  <c r="O725" i="26"/>
  <c r="P725" i="26"/>
  <c r="M725" i="26"/>
  <c r="N721" i="26"/>
  <c r="O721" i="26"/>
  <c r="P721" i="26"/>
  <c r="M721" i="26"/>
  <c r="N717" i="26"/>
  <c r="O717" i="26"/>
  <c r="M717" i="26"/>
  <c r="P717" i="26"/>
  <c r="N713" i="26"/>
  <c r="O713" i="26"/>
  <c r="M713" i="26"/>
  <c r="P713" i="26"/>
  <c r="M710" i="26"/>
  <c r="P710" i="26"/>
  <c r="N710" i="26"/>
  <c r="O710" i="26"/>
  <c r="N709" i="26"/>
  <c r="O709" i="26"/>
  <c r="M709" i="26"/>
  <c r="P709" i="26"/>
  <c r="M708" i="26"/>
  <c r="P708" i="26"/>
  <c r="N708" i="26"/>
  <c r="O708" i="26"/>
  <c r="P838" i="26"/>
  <c r="M838" i="26"/>
  <c r="N838" i="26"/>
  <c r="O838" i="26"/>
  <c r="P834" i="26"/>
  <c r="M834" i="26"/>
  <c r="N834" i="26"/>
  <c r="O834" i="26"/>
  <c r="P830" i="26"/>
  <c r="N830" i="26"/>
  <c r="O830" i="26"/>
  <c r="M830" i="26"/>
  <c r="P826" i="26"/>
  <c r="M826" i="26"/>
  <c r="N826" i="26"/>
  <c r="O826" i="26"/>
  <c r="P822" i="26"/>
  <c r="M822" i="26"/>
  <c r="N822" i="26"/>
  <c r="O822" i="26"/>
  <c r="P818" i="26"/>
  <c r="M818" i="26"/>
  <c r="N818" i="26"/>
  <c r="O818" i="26"/>
  <c r="P814" i="26"/>
  <c r="N814" i="26"/>
  <c r="O814" i="26"/>
  <c r="M814" i="26"/>
  <c r="P810" i="26"/>
  <c r="M810" i="26"/>
  <c r="N810" i="26"/>
  <c r="O810" i="26"/>
  <c r="P806" i="26"/>
  <c r="M806" i="26"/>
  <c r="N806" i="26"/>
  <c r="O806" i="26"/>
  <c r="P802" i="26"/>
  <c r="M802" i="26"/>
  <c r="N802" i="26"/>
  <c r="O802" i="26"/>
  <c r="P798" i="26"/>
  <c r="N798" i="26"/>
  <c r="O798" i="26"/>
  <c r="M798" i="26"/>
  <c r="P794" i="26"/>
  <c r="M794" i="26"/>
  <c r="N794" i="26"/>
  <c r="O794" i="26"/>
  <c r="P790" i="26"/>
  <c r="M790" i="26"/>
  <c r="N790" i="26"/>
  <c r="O790" i="26"/>
  <c r="M849" i="26"/>
  <c r="P849" i="26"/>
  <c r="N849" i="26"/>
  <c r="O849" i="26"/>
  <c r="M845" i="26"/>
  <c r="P845" i="26"/>
  <c r="N845" i="26"/>
  <c r="O845" i="26"/>
  <c r="P841" i="26"/>
  <c r="N841" i="26"/>
  <c r="O841" i="26"/>
  <c r="M841" i="26"/>
  <c r="M861" i="26"/>
  <c r="P861" i="26"/>
  <c r="N861" i="26"/>
  <c r="O861" i="26"/>
  <c r="P857" i="26"/>
  <c r="N857" i="26"/>
  <c r="O857" i="26"/>
  <c r="M857" i="26"/>
  <c r="M853" i="26"/>
  <c r="P853" i="26"/>
  <c r="N853" i="26"/>
  <c r="O853" i="26"/>
  <c r="M863" i="26"/>
  <c r="P863" i="26"/>
  <c r="N863" i="26"/>
  <c r="O863" i="26"/>
  <c r="M837" i="26"/>
  <c r="P837" i="26"/>
  <c r="N837" i="26"/>
  <c r="O837" i="26"/>
  <c r="M833" i="26"/>
  <c r="P833" i="26"/>
  <c r="N833" i="26"/>
  <c r="O833" i="26"/>
  <c r="M829" i="26"/>
  <c r="P829" i="26"/>
  <c r="N829" i="26"/>
  <c r="O829" i="26"/>
  <c r="N825" i="26"/>
  <c r="O825" i="26"/>
  <c r="P825" i="26"/>
  <c r="M825" i="26"/>
  <c r="M821" i="26"/>
  <c r="N821" i="26"/>
  <c r="O821" i="26"/>
  <c r="P821" i="26"/>
  <c r="P817" i="26"/>
  <c r="M817" i="26"/>
  <c r="N817" i="26"/>
  <c r="O817" i="26"/>
  <c r="M813" i="26"/>
  <c r="P813" i="26"/>
  <c r="N813" i="26"/>
  <c r="O813" i="26"/>
  <c r="N809" i="26"/>
  <c r="O809" i="26"/>
  <c r="P809" i="26"/>
  <c r="M809" i="26"/>
  <c r="M805" i="26"/>
  <c r="N805" i="26"/>
  <c r="O805" i="26"/>
  <c r="P805" i="26"/>
  <c r="P801" i="26"/>
  <c r="M801" i="26"/>
  <c r="N801" i="26"/>
  <c r="O801" i="26"/>
  <c r="M797" i="26"/>
  <c r="P797" i="26"/>
  <c r="N797" i="26"/>
  <c r="O797" i="26"/>
  <c r="N793" i="26"/>
  <c r="O793" i="26"/>
  <c r="P793" i="26"/>
  <c r="M793" i="26"/>
  <c r="M789" i="26"/>
  <c r="N789" i="26"/>
  <c r="O789" i="26"/>
  <c r="P789" i="26"/>
  <c r="N848" i="26"/>
  <c r="O848" i="26"/>
  <c r="M848" i="26"/>
  <c r="P848" i="26"/>
  <c r="N844" i="26"/>
  <c r="O844" i="26"/>
  <c r="M844" i="26"/>
  <c r="P844" i="26"/>
  <c r="N840" i="26"/>
  <c r="O840" i="26"/>
  <c r="M840" i="26"/>
  <c r="P840" i="26"/>
  <c r="N860" i="26"/>
  <c r="O860" i="26"/>
  <c r="M860" i="26"/>
  <c r="P860" i="26"/>
  <c r="N856" i="26"/>
  <c r="O856" i="26"/>
  <c r="M856" i="26"/>
  <c r="P856" i="26"/>
  <c r="N852" i="26"/>
  <c r="O852" i="26"/>
  <c r="P852" i="26"/>
  <c r="M852" i="26"/>
  <c r="M835" i="26"/>
  <c r="N835" i="26"/>
  <c r="O835" i="26"/>
  <c r="P835" i="26"/>
  <c r="M831" i="26"/>
  <c r="P831" i="26"/>
  <c r="N831" i="26"/>
  <c r="O831" i="26"/>
  <c r="M827" i="26"/>
  <c r="P827" i="26"/>
  <c r="N827" i="26"/>
  <c r="O827" i="26"/>
  <c r="M823" i="26"/>
  <c r="P823" i="26"/>
  <c r="N823" i="26"/>
  <c r="O823" i="26"/>
  <c r="M819" i="26"/>
  <c r="P819" i="26"/>
  <c r="N819" i="26"/>
  <c r="O819" i="26"/>
  <c r="M815" i="26"/>
  <c r="P815" i="26"/>
  <c r="N815" i="26"/>
  <c r="O815" i="26"/>
  <c r="M811" i="26"/>
  <c r="P811" i="26"/>
  <c r="N811" i="26"/>
  <c r="O811" i="26"/>
  <c r="M807" i="26"/>
  <c r="P807" i="26"/>
  <c r="N807" i="26"/>
  <c r="O807" i="26"/>
  <c r="M803" i="26"/>
  <c r="P803" i="26"/>
  <c r="N803" i="26"/>
  <c r="O803" i="26"/>
  <c r="M799" i="26"/>
  <c r="P799" i="26"/>
  <c r="N799" i="26"/>
  <c r="O799" i="26"/>
  <c r="M795" i="26"/>
  <c r="P795" i="26"/>
  <c r="N795" i="26"/>
  <c r="O795" i="26"/>
  <c r="M791" i="26"/>
  <c r="P791" i="26"/>
  <c r="N791" i="26"/>
  <c r="O791" i="26"/>
  <c r="P846" i="26"/>
  <c r="N846" i="26"/>
  <c r="O846" i="26"/>
  <c r="M846" i="26"/>
  <c r="P842" i="26"/>
  <c r="M842" i="26"/>
  <c r="N842" i="26"/>
  <c r="O842" i="26"/>
  <c r="P862" i="26"/>
  <c r="N862" i="26"/>
  <c r="O862" i="26"/>
  <c r="M862" i="26"/>
  <c r="P858" i="26"/>
  <c r="M858" i="26"/>
  <c r="N858" i="26"/>
  <c r="O858" i="26"/>
  <c r="P854" i="26"/>
  <c r="M854" i="26"/>
  <c r="N854" i="26"/>
  <c r="O854" i="26"/>
  <c r="P850" i="26"/>
  <c r="M850" i="26"/>
  <c r="N850" i="26"/>
  <c r="O850" i="26"/>
  <c r="N836" i="26"/>
  <c r="O836" i="26"/>
  <c r="P836" i="26"/>
  <c r="M836" i="26"/>
  <c r="N832" i="26"/>
  <c r="O832" i="26"/>
  <c r="M832" i="26"/>
  <c r="P832" i="26"/>
  <c r="N828" i="26"/>
  <c r="O828" i="26"/>
  <c r="M828" i="26"/>
  <c r="P828" i="26"/>
  <c r="N824" i="26"/>
  <c r="O824" i="26"/>
  <c r="P824" i="26"/>
  <c r="M824" i="26"/>
  <c r="N820" i="26"/>
  <c r="O820" i="26"/>
  <c r="P820" i="26"/>
  <c r="M820" i="26"/>
  <c r="N816" i="26"/>
  <c r="O816" i="26"/>
  <c r="P816" i="26"/>
  <c r="M816" i="26"/>
  <c r="N812" i="26"/>
  <c r="O812" i="26"/>
  <c r="M812" i="26"/>
  <c r="P812" i="26"/>
  <c r="N808" i="26"/>
  <c r="O808" i="26"/>
  <c r="P808" i="26"/>
  <c r="M808" i="26"/>
  <c r="N804" i="26"/>
  <c r="O804" i="26"/>
  <c r="P804" i="26"/>
  <c r="M804" i="26"/>
  <c r="N800" i="26"/>
  <c r="O800" i="26"/>
  <c r="P800" i="26"/>
  <c r="M800" i="26"/>
  <c r="N796" i="26"/>
  <c r="O796" i="26"/>
  <c r="M796" i="26"/>
  <c r="P796" i="26"/>
  <c r="N792" i="26"/>
  <c r="O792" i="26"/>
  <c r="P792" i="26"/>
  <c r="M792" i="26"/>
  <c r="M847" i="26"/>
  <c r="P847" i="26"/>
  <c r="N847" i="26"/>
  <c r="O847" i="26"/>
  <c r="M843" i="26"/>
  <c r="P843" i="26"/>
  <c r="N843" i="26"/>
  <c r="O843" i="26"/>
  <c r="M839" i="26"/>
  <c r="P839" i="26"/>
  <c r="N839" i="26"/>
  <c r="O839" i="26"/>
  <c r="M859" i="26"/>
  <c r="P859" i="26"/>
  <c r="N859" i="26"/>
  <c r="O859" i="26"/>
  <c r="M855" i="26"/>
  <c r="P855" i="26"/>
  <c r="N855" i="26"/>
  <c r="O855" i="26"/>
  <c r="M851" i="26"/>
  <c r="N851" i="26"/>
  <c r="O851" i="26"/>
  <c r="P851" i="26"/>
  <c r="M787" i="26"/>
  <c r="N787" i="26"/>
  <c r="O787" i="26"/>
  <c r="P787" i="26"/>
  <c r="P788" i="26"/>
  <c r="M788" i="26"/>
  <c r="N788" i="26"/>
  <c r="O788" i="26"/>
  <c r="P786" i="26"/>
  <c r="N786" i="26"/>
  <c r="O786" i="26"/>
  <c r="M786" i="26"/>
  <c r="J576" i="26"/>
  <c r="K576" i="26"/>
  <c r="L576" i="26"/>
  <c r="J568" i="26"/>
  <c r="K568" i="26"/>
  <c r="L568" i="26"/>
  <c r="K556" i="26"/>
  <c r="L556" i="26"/>
  <c r="J556" i="26"/>
  <c r="J579" i="26"/>
  <c r="K579" i="26"/>
  <c r="L579" i="26"/>
  <c r="K575" i="26"/>
  <c r="L575" i="26"/>
  <c r="J575" i="26"/>
  <c r="J571" i="26"/>
  <c r="K571" i="26"/>
  <c r="L571" i="26"/>
  <c r="K567" i="26"/>
  <c r="L567" i="26"/>
  <c r="J567" i="26"/>
  <c r="J563" i="26"/>
  <c r="K563" i="26"/>
  <c r="L563" i="26"/>
  <c r="J559" i="26"/>
  <c r="K559" i="26"/>
  <c r="L559" i="26"/>
  <c r="K555" i="26"/>
  <c r="L555" i="26"/>
  <c r="J555" i="26"/>
  <c r="K580" i="26"/>
  <c r="L580" i="26"/>
  <c r="J580" i="26"/>
  <c r="K572" i="26"/>
  <c r="L572" i="26"/>
  <c r="J572" i="26"/>
  <c r="K564" i="26"/>
  <c r="L564" i="26"/>
  <c r="J564" i="26"/>
  <c r="J560" i="26"/>
  <c r="K560" i="26"/>
  <c r="L560" i="26"/>
  <c r="J582" i="26"/>
  <c r="K582" i="26"/>
  <c r="L582" i="26"/>
  <c r="J578" i="26"/>
  <c r="K578" i="26"/>
  <c r="L578" i="26"/>
  <c r="J574" i="26"/>
  <c r="K574" i="26"/>
  <c r="L574" i="26"/>
  <c r="J570" i="26"/>
  <c r="K570" i="26"/>
  <c r="L570" i="26"/>
  <c r="J566" i="26"/>
  <c r="K566" i="26"/>
  <c r="L566" i="26"/>
  <c r="J562" i="26"/>
  <c r="K562" i="26"/>
  <c r="L562" i="26"/>
  <c r="J558" i="26"/>
  <c r="K558" i="26"/>
  <c r="L558" i="26"/>
  <c r="J554" i="26"/>
  <c r="K554" i="26"/>
  <c r="L554" i="26"/>
  <c r="K581" i="26"/>
  <c r="L581" i="26"/>
  <c r="J581" i="26"/>
  <c r="K577" i="26"/>
  <c r="L577" i="26"/>
  <c r="J577" i="26"/>
  <c r="K573" i="26"/>
  <c r="L573" i="26"/>
  <c r="J573" i="26"/>
  <c r="K569" i="26"/>
  <c r="L569" i="26"/>
  <c r="J569" i="26"/>
  <c r="K565" i="26"/>
  <c r="L565" i="26"/>
  <c r="J565" i="26"/>
  <c r="K561" i="26"/>
  <c r="L561" i="26"/>
  <c r="J561" i="26"/>
  <c r="K557" i="26"/>
  <c r="L557" i="26"/>
  <c r="J557" i="26"/>
  <c r="K553" i="26"/>
  <c r="L553" i="26"/>
  <c r="J553" i="26"/>
  <c r="K552" i="26"/>
  <c r="L552" i="26"/>
  <c r="J552" i="26"/>
  <c r="P866" i="26"/>
  <c r="N866" i="26"/>
  <c r="O866" i="26"/>
  <c r="M866" i="26"/>
  <c r="N711" i="26"/>
  <c r="O711" i="26"/>
  <c r="P711" i="26"/>
  <c r="M711" i="26"/>
  <c r="M867" i="26"/>
  <c r="P867" i="26"/>
  <c r="N867" i="26"/>
  <c r="O867" i="26"/>
  <c r="N8" i="26"/>
  <c r="O8" i="26"/>
  <c r="M8" i="26"/>
  <c r="P8" i="26"/>
  <c r="P318" i="26"/>
  <c r="N318" i="26"/>
  <c r="O318" i="26"/>
  <c r="M318" i="26"/>
  <c r="P86" i="26"/>
  <c r="M86" i="26"/>
  <c r="N86" i="26"/>
  <c r="O86" i="26"/>
  <c r="M85" i="26"/>
  <c r="N85" i="26"/>
  <c r="O85" i="26"/>
  <c r="D18" i="38"/>
  <c r="H18" i="38"/>
  <c r="M18" i="38"/>
  <c r="E18" i="38"/>
  <c r="I18" i="38"/>
  <c r="N18" i="38"/>
  <c r="F18" i="38"/>
  <c r="J18" i="38"/>
  <c r="C18" i="38"/>
  <c r="G18" i="38"/>
  <c r="K18" i="38"/>
  <c r="L18" i="38"/>
  <c r="F12" i="38"/>
  <c r="D11" i="38"/>
  <c r="M11" i="38"/>
  <c r="G12" i="38"/>
  <c r="L12" i="38"/>
  <c r="E11" i="38"/>
  <c r="I11" i="38"/>
  <c r="N11" i="38"/>
  <c r="D12" i="38"/>
  <c r="H12" i="38"/>
  <c r="N12" i="38"/>
  <c r="F11" i="38"/>
  <c r="J11" i="38"/>
  <c r="E12" i="38"/>
  <c r="I12" i="38"/>
  <c r="C12" i="38"/>
  <c r="G11" i="38"/>
  <c r="L11" i="38"/>
  <c r="J12" i="38"/>
  <c r="H11" i="38"/>
  <c r="C11" i="38"/>
  <c r="M12" i="38"/>
  <c r="K11" i="38"/>
  <c r="K12" i="38"/>
  <c r="D19" i="38"/>
  <c r="D20" i="38"/>
  <c r="H19" i="38"/>
  <c r="H20" i="38"/>
  <c r="M19" i="38"/>
  <c r="E19" i="38"/>
  <c r="I19" i="38"/>
  <c r="I20" i="38"/>
  <c r="N19" i="38"/>
  <c r="N20" i="38"/>
  <c r="F19" i="38"/>
  <c r="F20" i="38"/>
  <c r="J19" i="38"/>
  <c r="C19" i="38"/>
  <c r="C20" i="38"/>
  <c r="G19" i="38"/>
  <c r="G20" i="38"/>
  <c r="K19" i="38"/>
  <c r="K20" i="38"/>
  <c r="L19" i="38"/>
  <c r="M16" i="30"/>
  <c r="F9" i="29"/>
  <c r="H9" i="29"/>
  <c r="L9" i="29"/>
  <c r="I10" i="29"/>
  <c r="N9" i="11"/>
  <c r="M10" i="29"/>
  <c r="N9" i="15"/>
  <c r="C9" i="29"/>
  <c r="N8" i="1"/>
  <c r="I9" i="29"/>
  <c r="N8" i="11"/>
  <c r="M9" i="29"/>
  <c r="N8" i="15"/>
  <c r="F10" i="29"/>
  <c r="N8" i="6"/>
  <c r="J10" i="29"/>
  <c r="N9" i="12"/>
  <c r="N10" i="29"/>
  <c r="N9" i="16"/>
  <c r="G9" i="29"/>
  <c r="H10" i="29"/>
  <c r="N9" i="10"/>
  <c r="J9" i="29"/>
  <c r="N8" i="12"/>
  <c r="N9" i="29"/>
  <c r="N8" i="16"/>
  <c r="G10" i="29"/>
  <c r="K10" i="29"/>
  <c r="N9" i="13"/>
  <c r="C10" i="29"/>
  <c r="N9" i="1"/>
  <c r="K9" i="29"/>
  <c r="N8" i="13"/>
  <c r="L10" i="29"/>
  <c r="N9" i="14"/>
  <c r="M15" i="30"/>
  <c r="N15" i="30"/>
  <c r="N16" i="30"/>
  <c r="M14" i="30"/>
  <c r="N14" i="30"/>
  <c r="N8" i="10"/>
  <c r="N8" i="14"/>
  <c r="G94" i="23"/>
  <c r="K85" i="23"/>
  <c r="C81" i="23"/>
  <c r="H72" i="23"/>
  <c r="K64" i="23"/>
  <c r="N59" i="23"/>
  <c r="I59" i="23"/>
  <c r="C59" i="23"/>
  <c r="N55" i="23"/>
  <c r="C55" i="23"/>
  <c r="K53" i="23"/>
  <c r="N51" i="23"/>
  <c r="I51" i="23"/>
  <c r="C51" i="23"/>
  <c r="N46" i="23"/>
  <c r="H46" i="23"/>
  <c r="C46" i="23"/>
  <c r="N42" i="23"/>
  <c r="C42" i="23"/>
  <c r="N38" i="23"/>
  <c r="H38" i="23"/>
  <c r="C38" i="23"/>
  <c r="M30" i="23"/>
  <c r="I32" i="23"/>
  <c r="H32" i="23"/>
  <c r="G32" i="23"/>
  <c r="C28" i="23"/>
  <c r="B89" i="23"/>
  <c r="B90" i="23"/>
  <c r="F90" i="23"/>
  <c r="B91" i="23"/>
  <c r="J91" i="23"/>
  <c r="B92" i="23"/>
  <c r="N92" i="23"/>
  <c r="B93" i="23"/>
  <c r="B94" i="23"/>
  <c r="K94" i="23"/>
  <c r="B95" i="23"/>
  <c r="K95" i="23"/>
  <c r="B96" i="23"/>
  <c r="G96" i="23"/>
  <c r="B97" i="23"/>
  <c r="B98" i="23"/>
  <c r="G98" i="23"/>
  <c r="B99" i="23"/>
  <c r="N99" i="23"/>
  <c r="B88" i="23"/>
  <c r="B76" i="23"/>
  <c r="B77" i="23"/>
  <c r="C77" i="23"/>
  <c r="B78" i="23"/>
  <c r="J78" i="23"/>
  <c r="B79" i="23"/>
  <c r="K79" i="23"/>
  <c r="B80" i="23"/>
  <c r="B81" i="23"/>
  <c r="K81" i="23"/>
  <c r="B82" i="23"/>
  <c r="K82" i="23"/>
  <c r="B83" i="23"/>
  <c r="C83" i="23"/>
  <c r="B84" i="23"/>
  <c r="B85" i="23"/>
  <c r="C85" i="23"/>
  <c r="B86" i="23"/>
  <c r="B75" i="23"/>
  <c r="B63" i="23"/>
  <c r="B64" i="23"/>
  <c r="N64" i="23"/>
  <c r="B65" i="23"/>
  <c r="N65" i="23"/>
  <c r="B66" i="23"/>
  <c r="B67" i="23"/>
  <c r="B68" i="23"/>
  <c r="H68" i="23"/>
  <c r="B69" i="23"/>
  <c r="B70" i="23"/>
  <c r="B71" i="23"/>
  <c r="B72" i="23"/>
  <c r="L72" i="23"/>
  <c r="B73" i="23"/>
  <c r="G73" i="23"/>
  <c r="B62" i="23"/>
  <c r="B50" i="23"/>
  <c r="B51" i="23"/>
  <c r="K51" i="23"/>
  <c r="B52" i="23"/>
  <c r="F52" i="23"/>
  <c r="B53" i="23"/>
  <c r="F53" i="23"/>
  <c r="B54" i="23"/>
  <c r="K54" i="23"/>
  <c r="B55" i="23"/>
  <c r="K55" i="23"/>
  <c r="B56" i="23"/>
  <c r="N56" i="23"/>
  <c r="B57" i="23"/>
  <c r="B58" i="23"/>
  <c r="B59" i="23"/>
  <c r="K59" i="23"/>
  <c r="B60" i="23"/>
  <c r="K60" i="23"/>
  <c r="B49" i="23"/>
  <c r="B37" i="23"/>
  <c r="B38" i="23"/>
  <c r="K38" i="23"/>
  <c r="B39" i="23"/>
  <c r="F39" i="23"/>
  <c r="B40" i="23"/>
  <c r="F40" i="23"/>
  <c r="B41" i="23"/>
  <c r="B42" i="23"/>
  <c r="K42" i="23"/>
  <c r="B43" i="23"/>
  <c r="D43" i="23"/>
  <c r="B44" i="23"/>
  <c r="B45" i="23"/>
  <c r="B46" i="23"/>
  <c r="K46" i="23"/>
  <c r="B47" i="23"/>
  <c r="K47" i="23"/>
  <c r="B36" i="23"/>
  <c r="B23" i="23"/>
  <c r="B24" i="23"/>
  <c r="I24" i="23"/>
  <c r="B25" i="23"/>
  <c r="B26" i="23"/>
  <c r="B27" i="23"/>
  <c r="B28" i="23"/>
  <c r="M28" i="23"/>
  <c r="B29" i="23"/>
  <c r="L29" i="23"/>
  <c r="B30" i="23"/>
  <c r="N30" i="23"/>
  <c r="B31" i="23"/>
  <c r="N31" i="23"/>
  <c r="B32" i="23"/>
  <c r="M32" i="23"/>
  <c r="B33" i="23"/>
  <c r="B22" i="23"/>
  <c r="B12" i="23"/>
  <c r="B13" i="23"/>
  <c r="B14" i="23"/>
  <c r="B15" i="23"/>
  <c r="B10" i="23"/>
  <c r="B9" i="23"/>
  <c r="P8" i="23"/>
  <c r="N9" i="9"/>
  <c r="F6" i="42"/>
  <c r="N8" i="9"/>
  <c r="F5" i="42"/>
  <c r="M20" i="38"/>
  <c r="E20" i="38"/>
  <c r="H13" i="38"/>
  <c r="F13" i="38"/>
  <c r="L13" i="38"/>
  <c r="J20" i="38"/>
  <c r="M13" i="38"/>
  <c r="D13" i="38"/>
  <c r="I13" i="38"/>
  <c r="G13" i="38"/>
  <c r="O18" i="38"/>
  <c r="O19" i="38"/>
  <c r="L20" i="38"/>
  <c r="K13" i="38"/>
  <c r="P12" i="38"/>
  <c r="O12" i="38"/>
  <c r="N13" i="38"/>
  <c r="E13" i="38"/>
  <c r="O11" i="38"/>
  <c r="C13" i="38"/>
  <c r="P11" i="38"/>
  <c r="J13" i="38"/>
  <c r="K39" i="23"/>
  <c r="J43" i="23"/>
  <c r="L39" i="23"/>
  <c r="C43" i="23"/>
  <c r="N43" i="23"/>
  <c r="F47" i="23"/>
  <c r="F60" i="23"/>
  <c r="H65" i="23"/>
  <c r="E91" i="23"/>
  <c r="F95" i="23"/>
  <c r="C29" i="23"/>
  <c r="K40" i="23"/>
  <c r="K33" i="23"/>
  <c r="N33" i="23"/>
  <c r="M33" i="23"/>
  <c r="L33" i="23"/>
  <c r="J33" i="23"/>
  <c r="I33" i="23"/>
  <c r="C33" i="23"/>
  <c r="D33" i="23"/>
  <c r="K29" i="23"/>
  <c r="H29" i="23"/>
  <c r="F29" i="23"/>
  <c r="K25" i="23"/>
  <c r="N25" i="23"/>
  <c r="M25" i="23"/>
  <c r="J25" i="23"/>
  <c r="E25" i="23"/>
  <c r="C25" i="23"/>
  <c r="I25" i="23"/>
  <c r="H25" i="23"/>
  <c r="F25" i="23"/>
  <c r="M47" i="23"/>
  <c r="J47" i="23"/>
  <c r="D47" i="23"/>
  <c r="N47" i="23"/>
  <c r="H47" i="23"/>
  <c r="C47" i="23"/>
  <c r="L47" i="23"/>
  <c r="G47" i="23"/>
  <c r="M43" i="23"/>
  <c r="L43" i="23"/>
  <c r="G43" i="23"/>
  <c r="K43" i="23"/>
  <c r="F43" i="23"/>
  <c r="M39" i="23"/>
  <c r="J39" i="23"/>
  <c r="D39" i="23"/>
  <c r="N39" i="23"/>
  <c r="H39" i="23"/>
  <c r="C39" i="23"/>
  <c r="N60" i="23"/>
  <c r="J60" i="23"/>
  <c r="E60" i="23"/>
  <c r="I60" i="23"/>
  <c r="C60" i="23"/>
  <c r="M60" i="23"/>
  <c r="G60" i="23"/>
  <c r="L56" i="23"/>
  <c r="M56" i="23"/>
  <c r="G56" i="23"/>
  <c r="K56" i="23"/>
  <c r="F56" i="23"/>
  <c r="J56" i="23"/>
  <c r="E56" i="23"/>
  <c r="L52" i="23"/>
  <c r="J52" i="23"/>
  <c r="E52" i="23"/>
  <c r="N52" i="23"/>
  <c r="I52" i="23"/>
  <c r="C52" i="23"/>
  <c r="M52" i="23"/>
  <c r="G52" i="23"/>
  <c r="M73" i="23"/>
  <c r="K73" i="23"/>
  <c r="F73" i="23"/>
  <c r="J73" i="23"/>
  <c r="D73" i="23"/>
  <c r="N73" i="23"/>
  <c r="H73" i="23"/>
  <c r="C73" i="23"/>
  <c r="M69" i="23"/>
  <c r="N69" i="23"/>
  <c r="H69" i="23"/>
  <c r="C69" i="23"/>
  <c r="L69" i="23"/>
  <c r="G69" i="23"/>
  <c r="K69" i="23"/>
  <c r="F69" i="23"/>
  <c r="M65" i="23"/>
  <c r="L65" i="23"/>
  <c r="G65" i="23"/>
  <c r="K65" i="23"/>
  <c r="F65" i="23"/>
  <c r="J65" i="23"/>
  <c r="D65" i="23"/>
  <c r="L86" i="23"/>
  <c r="K86" i="23"/>
  <c r="F86" i="23"/>
  <c r="J86" i="23"/>
  <c r="E86" i="23"/>
  <c r="N86" i="23"/>
  <c r="I86" i="23"/>
  <c r="C86" i="23"/>
  <c r="L82" i="23"/>
  <c r="J82" i="23"/>
  <c r="E82" i="23"/>
  <c r="N82" i="23"/>
  <c r="I82" i="23"/>
  <c r="C82" i="23"/>
  <c r="M82" i="23"/>
  <c r="G82" i="23"/>
  <c r="L78" i="23"/>
  <c r="N78" i="23"/>
  <c r="I78" i="23"/>
  <c r="C78" i="23"/>
  <c r="M78" i="23"/>
  <c r="G78" i="23"/>
  <c r="K78" i="23"/>
  <c r="F78" i="23"/>
  <c r="L99" i="23"/>
  <c r="M99" i="23"/>
  <c r="G99" i="23"/>
  <c r="K99" i="23"/>
  <c r="F99" i="23"/>
  <c r="J99" i="23"/>
  <c r="E99" i="23"/>
  <c r="L95" i="23"/>
  <c r="J95" i="23"/>
  <c r="E95" i="23"/>
  <c r="N95" i="23"/>
  <c r="I95" i="23"/>
  <c r="C95" i="23"/>
  <c r="M95" i="23"/>
  <c r="G95" i="23"/>
  <c r="K91" i="23"/>
  <c r="N91" i="23"/>
  <c r="I91" i="23"/>
  <c r="D91" i="23"/>
  <c r="M91" i="23"/>
  <c r="H91" i="23"/>
  <c r="L91" i="23"/>
  <c r="F91" i="23"/>
  <c r="D29" i="23"/>
  <c r="E33" i="23"/>
  <c r="H33" i="23"/>
  <c r="J29" i="23"/>
  <c r="I56" i="23"/>
  <c r="C65" i="23"/>
  <c r="J69" i="23"/>
  <c r="E78" i="23"/>
  <c r="F82" i="23"/>
  <c r="M86" i="23"/>
  <c r="I99" i="23"/>
  <c r="F33" i="23"/>
  <c r="I29" i="23"/>
  <c r="L25" i="23"/>
  <c r="N29" i="23"/>
  <c r="K26" i="23"/>
  <c r="I26" i="23"/>
  <c r="K44" i="23"/>
  <c r="F44" i="23"/>
  <c r="K57" i="23"/>
  <c r="F57" i="23"/>
  <c r="K66" i="23"/>
  <c r="C66" i="23"/>
  <c r="D25" i="23"/>
  <c r="E29" i="23"/>
  <c r="J26" i="23"/>
  <c r="M29" i="23"/>
  <c r="G39" i="23"/>
  <c r="H43" i="23"/>
  <c r="K52" i="23"/>
  <c r="C56" i="23"/>
  <c r="D69" i="23"/>
  <c r="L73" i="23"/>
  <c r="G86" i="23"/>
  <c r="C99" i="23"/>
  <c r="H42" i="23"/>
  <c r="I55" i="23"/>
  <c r="F64" i="23"/>
  <c r="K77" i="23"/>
  <c r="N90" i="23"/>
  <c r="M27" i="23"/>
  <c r="I27" i="23"/>
  <c r="C23" i="23"/>
  <c r="M23" i="23"/>
  <c r="I23" i="23"/>
  <c r="M45" i="23"/>
  <c r="I45" i="23"/>
  <c r="E45" i="23"/>
  <c r="M41" i="23"/>
  <c r="I41" i="23"/>
  <c r="E41" i="23"/>
  <c r="M37" i="23"/>
  <c r="I37" i="23"/>
  <c r="E37" i="23"/>
  <c r="L58" i="23"/>
  <c r="H58" i="23"/>
  <c r="D58" i="23"/>
  <c r="L50" i="23"/>
  <c r="H50" i="23"/>
  <c r="D50" i="23"/>
  <c r="N71" i="23"/>
  <c r="J71" i="23"/>
  <c r="F71" i="23"/>
  <c r="M71" i="23"/>
  <c r="I71" i="23"/>
  <c r="E71" i="23"/>
  <c r="K71" i="23"/>
  <c r="G71" i="23"/>
  <c r="C71" i="23"/>
  <c r="N67" i="23"/>
  <c r="J67" i="23"/>
  <c r="F67" i="23"/>
  <c r="M67" i="23"/>
  <c r="I67" i="23"/>
  <c r="E67" i="23"/>
  <c r="K67" i="23"/>
  <c r="G67" i="23"/>
  <c r="C67" i="23"/>
  <c r="M63" i="23"/>
  <c r="I63" i="23"/>
  <c r="E63" i="23"/>
  <c r="M84" i="23"/>
  <c r="I84" i="23"/>
  <c r="E84" i="23"/>
  <c r="L84" i="23"/>
  <c r="H84" i="23"/>
  <c r="D84" i="23"/>
  <c r="N84" i="23"/>
  <c r="J84" i="23"/>
  <c r="F84" i="23"/>
  <c r="M80" i="23"/>
  <c r="I80" i="23"/>
  <c r="E80" i="23"/>
  <c r="L80" i="23"/>
  <c r="H80" i="23"/>
  <c r="D80" i="23"/>
  <c r="N80" i="23"/>
  <c r="J80" i="23"/>
  <c r="F80" i="23"/>
  <c r="M76" i="23"/>
  <c r="I76" i="23"/>
  <c r="E76" i="23"/>
  <c r="L76" i="23"/>
  <c r="H76" i="23"/>
  <c r="D76" i="23"/>
  <c r="N76" i="23"/>
  <c r="J76" i="23"/>
  <c r="F76" i="23"/>
  <c r="M97" i="23"/>
  <c r="I97" i="23"/>
  <c r="E97" i="23"/>
  <c r="L97" i="23"/>
  <c r="H97" i="23"/>
  <c r="D97" i="23"/>
  <c r="N97" i="23"/>
  <c r="J97" i="23"/>
  <c r="F97" i="23"/>
  <c r="E93" i="23"/>
  <c r="M93" i="23"/>
  <c r="I93" i="23"/>
  <c r="D93" i="23"/>
  <c r="L93" i="23"/>
  <c r="H93" i="23"/>
  <c r="C93" i="23"/>
  <c r="N93" i="23"/>
  <c r="J93" i="23"/>
  <c r="F93" i="23"/>
  <c r="L89" i="23"/>
  <c r="H89" i="23"/>
  <c r="D89" i="23"/>
  <c r="K89" i="23"/>
  <c r="G89" i="23"/>
  <c r="C89" i="23"/>
  <c r="M89" i="23"/>
  <c r="I89" i="23"/>
  <c r="E89" i="23"/>
  <c r="D27" i="23"/>
  <c r="G27" i="23"/>
  <c r="L31" i="23"/>
  <c r="D41" i="23"/>
  <c r="J41" i="23"/>
  <c r="D45" i="23"/>
  <c r="J45" i="23"/>
  <c r="E54" i="23"/>
  <c r="J54" i="23"/>
  <c r="G84" i="23"/>
  <c r="J89" i="23"/>
  <c r="L30" i="23"/>
  <c r="H30" i="23"/>
  <c r="C30" i="23"/>
  <c r="L26" i="23"/>
  <c r="H26" i="23"/>
  <c r="C26" i="23"/>
  <c r="M44" i="23"/>
  <c r="I44" i="23"/>
  <c r="E44" i="23"/>
  <c r="M40" i="23"/>
  <c r="I40" i="23"/>
  <c r="E40" i="23"/>
  <c r="L57" i="23"/>
  <c r="H57" i="23"/>
  <c r="D57" i="23"/>
  <c r="L53" i="23"/>
  <c r="H53" i="23"/>
  <c r="D53" i="23"/>
  <c r="N70" i="23"/>
  <c r="J70" i="23"/>
  <c r="F70" i="23"/>
  <c r="M70" i="23"/>
  <c r="I70" i="23"/>
  <c r="E70" i="23"/>
  <c r="K70" i="23"/>
  <c r="G70" i="23"/>
  <c r="C70" i="23"/>
  <c r="N66" i="23"/>
  <c r="J66" i="23"/>
  <c r="F66" i="23"/>
  <c r="M66" i="23"/>
  <c r="I66" i="23"/>
  <c r="E66" i="23"/>
  <c r="M83" i="23"/>
  <c r="I83" i="23"/>
  <c r="E83" i="23"/>
  <c r="L83" i="23"/>
  <c r="H83" i="23"/>
  <c r="D83" i="23"/>
  <c r="N83" i="23"/>
  <c r="J83" i="23"/>
  <c r="F83" i="23"/>
  <c r="M79" i="23"/>
  <c r="I79" i="23"/>
  <c r="E79" i="23"/>
  <c r="L79" i="23"/>
  <c r="H79" i="23"/>
  <c r="D79" i="23"/>
  <c r="N79" i="23"/>
  <c r="J79" i="23"/>
  <c r="F79" i="23"/>
  <c r="M96" i="23"/>
  <c r="I96" i="23"/>
  <c r="E96" i="23"/>
  <c r="L96" i="23"/>
  <c r="H96" i="23"/>
  <c r="D96" i="23"/>
  <c r="N96" i="23"/>
  <c r="J96" i="23"/>
  <c r="F96" i="23"/>
  <c r="L92" i="23"/>
  <c r="H92" i="23"/>
  <c r="D92" i="23"/>
  <c r="K92" i="23"/>
  <c r="G92" i="23"/>
  <c r="C92" i="23"/>
  <c r="M92" i="23"/>
  <c r="I92" i="23"/>
  <c r="E92" i="23"/>
  <c r="D23" i="23"/>
  <c r="C24" i="23"/>
  <c r="E30" i="23"/>
  <c r="F23" i="23"/>
  <c r="G23" i="23"/>
  <c r="G28" i="23"/>
  <c r="H23" i="23"/>
  <c r="H28" i="23"/>
  <c r="I28" i="23"/>
  <c r="J27" i="23"/>
  <c r="K27" i="23"/>
  <c r="K32" i="23"/>
  <c r="L27" i="23"/>
  <c r="L32" i="23"/>
  <c r="M26" i="23"/>
  <c r="N26" i="23"/>
  <c r="F37" i="23"/>
  <c r="K37" i="23"/>
  <c r="D38" i="23"/>
  <c r="J38" i="23"/>
  <c r="G40" i="23"/>
  <c r="L40" i="23"/>
  <c r="F41" i="23"/>
  <c r="K41" i="23"/>
  <c r="D42" i="23"/>
  <c r="J42" i="23"/>
  <c r="G44" i="23"/>
  <c r="L44" i="23"/>
  <c r="F45" i="23"/>
  <c r="K45" i="23"/>
  <c r="D46" i="23"/>
  <c r="J46" i="23"/>
  <c r="F50" i="23"/>
  <c r="K50" i="23"/>
  <c r="E51" i="23"/>
  <c r="J51" i="23"/>
  <c r="G53" i="23"/>
  <c r="M53" i="23"/>
  <c r="F54" i="23"/>
  <c r="E55" i="23"/>
  <c r="J55" i="23"/>
  <c r="G57" i="23"/>
  <c r="M57" i="23"/>
  <c r="F58" i="23"/>
  <c r="K58" i="23"/>
  <c r="E59" i="23"/>
  <c r="J59" i="23"/>
  <c r="C63" i="23"/>
  <c r="H63" i="23"/>
  <c r="N63" i="23"/>
  <c r="G64" i="23"/>
  <c r="L64" i="23"/>
  <c r="D66" i="23"/>
  <c r="L66" i="23"/>
  <c r="D68" i="23"/>
  <c r="D70" i="23"/>
  <c r="H71" i="23"/>
  <c r="K76" i="23"/>
  <c r="C80" i="23"/>
  <c r="G81" i="23"/>
  <c r="G83" i="23"/>
  <c r="K84" i="23"/>
  <c r="N89" i="23"/>
  <c r="G93" i="23"/>
  <c r="K96" i="23"/>
  <c r="C98" i="23"/>
  <c r="M31" i="23"/>
  <c r="I31" i="23"/>
  <c r="L54" i="23"/>
  <c r="H54" i="23"/>
  <c r="D54" i="23"/>
  <c r="H27" i="23"/>
  <c r="K31" i="23"/>
  <c r="E50" i="23"/>
  <c r="J50" i="23"/>
  <c r="L67" i="23"/>
  <c r="D71" i="23"/>
  <c r="D30" i="23"/>
  <c r="C31" i="23"/>
  <c r="E26" i="23"/>
  <c r="E31" i="23"/>
  <c r="F30" i="23"/>
  <c r="G24" i="23"/>
  <c r="G30" i="23"/>
  <c r="H24" i="23"/>
  <c r="J23" i="23"/>
  <c r="K23" i="23"/>
  <c r="K28" i="23"/>
  <c r="L23" i="23"/>
  <c r="L28" i="23"/>
  <c r="N27" i="23"/>
  <c r="G37" i="23"/>
  <c r="L37" i="23"/>
  <c r="F38" i="23"/>
  <c r="C40" i="23"/>
  <c r="H40" i="23"/>
  <c r="N40" i="23"/>
  <c r="G41" i="23"/>
  <c r="L41" i="23"/>
  <c r="F42" i="23"/>
  <c r="C44" i="23"/>
  <c r="H44" i="23"/>
  <c r="N44" i="23"/>
  <c r="G45" i="23"/>
  <c r="L45" i="23"/>
  <c r="F46" i="23"/>
  <c r="G50" i="23"/>
  <c r="M50" i="23"/>
  <c r="F51" i="23"/>
  <c r="C53" i="23"/>
  <c r="I53" i="23"/>
  <c r="N53" i="23"/>
  <c r="G54" i="23"/>
  <c r="M54" i="23"/>
  <c r="F55" i="23"/>
  <c r="C57" i="23"/>
  <c r="I57" i="23"/>
  <c r="N57" i="23"/>
  <c r="G58" i="23"/>
  <c r="M58" i="23"/>
  <c r="F59" i="23"/>
  <c r="D63" i="23"/>
  <c r="J63" i="23"/>
  <c r="C64" i="23"/>
  <c r="H64" i="23"/>
  <c r="G66" i="23"/>
  <c r="D67" i="23"/>
  <c r="H70" i="23"/>
  <c r="L71" i="23"/>
  <c r="C79" i="23"/>
  <c r="G80" i="23"/>
  <c r="K83" i="23"/>
  <c r="F92" i="23"/>
  <c r="K93" i="23"/>
  <c r="C97" i="23"/>
  <c r="E23" i="23"/>
  <c r="F27" i="23"/>
  <c r="J31" i="23"/>
  <c r="D37" i="23"/>
  <c r="J37" i="23"/>
  <c r="E58" i="23"/>
  <c r="J58" i="23"/>
  <c r="G63" i="23"/>
  <c r="L63" i="23"/>
  <c r="G76" i="23"/>
  <c r="K97" i="23"/>
  <c r="N32" i="23"/>
  <c r="J32" i="23"/>
  <c r="F32" i="23"/>
  <c r="E32" i="23"/>
  <c r="D32" i="23"/>
  <c r="N28" i="23"/>
  <c r="J28" i="23"/>
  <c r="J22" i="23"/>
  <c r="J9" i="23"/>
  <c r="F28" i="23"/>
  <c r="E28" i="23"/>
  <c r="D28" i="23"/>
  <c r="N24" i="23"/>
  <c r="J24" i="23"/>
  <c r="F24" i="23"/>
  <c r="E24" i="23"/>
  <c r="D24" i="23"/>
  <c r="M46" i="23"/>
  <c r="I46" i="23"/>
  <c r="E46" i="23"/>
  <c r="M42" i="23"/>
  <c r="I42" i="23"/>
  <c r="E42" i="23"/>
  <c r="M38" i="23"/>
  <c r="I38" i="23"/>
  <c r="E38" i="23"/>
  <c r="L59" i="23"/>
  <c r="H59" i="23"/>
  <c r="D59" i="23"/>
  <c r="L55" i="23"/>
  <c r="H55" i="23"/>
  <c r="D55" i="23"/>
  <c r="L51" i="23"/>
  <c r="H51" i="23"/>
  <c r="D51" i="23"/>
  <c r="N72" i="23"/>
  <c r="J72" i="23"/>
  <c r="F72" i="23"/>
  <c r="M72" i="23"/>
  <c r="I72" i="23"/>
  <c r="E72" i="23"/>
  <c r="K72" i="23"/>
  <c r="G72" i="23"/>
  <c r="C72" i="23"/>
  <c r="N68" i="23"/>
  <c r="J68" i="23"/>
  <c r="F68" i="23"/>
  <c r="M68" i="23"/>
  <c r="I68" i="23"/>
  <c r="E68" i="23"/>
  <c r="K68" i="23"/>
  <c r="G68" i="23"/>
  <c r="C68" i="23"/>
  <c r="M64" i="23"/>
  <c r="I64" i="23"/>
  <c r="E64" i="23"/>
  <c r="M85" i="23"/>
  <c r="I85" i="23"/>
  <c r="E85" i="23"/>
  <c r="L85" i="23"/>
  <c r="H85" i="23"/>
  <c r="D85" i="23"/>
  <c r="N85" i="23"/>
  <c r="J85" i="23"/>
  <c r="F85" i="23"/>
  <c r="M81" i="23"/>
  <c r="I81" i="23"/>
  <c r="E81" i="23"/>
  <c r="L81" i="23"/>
  <c r="H81" i="23"/>
  <c r="D81" i="23"/>
  <c r="N81" i="23"/>
  <c r="J81" i="23"/>
  <c r="F81" i="23"/>
  <c r="M77" i="23"/>
  <c r="I77" i="23"/>
  <c r="E77" i="23"/>
  <c r="L77" i="23"/>
  <c r="H77" i="23"/>
  <c r="D77" i="23"/>
  <c r="N77" i="23"/>
  <c r="J77" i="23"/>
  <c r="F77" i="23"/>
  <c r="M98" i="23"/>
  <c r="I98" i="23"/>
  <c r="E98" i="23"/>
  <c r="L98" i="23"/>
  <c r="H98" i="23"/>
  <c r="D98" i="23"/>
  <c r="N98" i="23"/>
  <c r="J98" i="23"/>
  <c r="F98" i="23"/>
  <c r="M94" i="23"/>
  <c r="I94" i="23"/>
  <c r="E94" i="23"/>
  <c r="L94" i="23"/>
  <c r="H94" i="23"/>
  <c r="D94" i="23"/>
  <c r="N94" i="23"/>
  <c r="J94" i="23"/>
  <c r="F94" i="23"/>
  <c r="L90" i="23"/>
  <c r="H90" i="23"/>
  <c r="D90" i="23"/>
  <c r="K90" i="23"/>
  <c r="G90" i="23"/>
  <c r="C90" i="23"/>
  <c r="M90" i="23"/>
  <c r="I90" i="23"/>
  <c r="E90" i="23"/>
  <c r="D26" i="23"/>
  <c r="D31" i="23"/>
  <c r="C27" i="23"/>
  <c r="P27" i="23"/>
  <c r="C32" i="23"/>
  <c r="E27" i="23"/>
  <c r="F26" i="23"/>
  <c r="F31" i="23"/>
  <c r="F22" i="23"/>
  <c r="F9" i="23"/>
  <c r="G26" i="23"/>
  <c r="G31" i="23"/>
  <c r="H31" i="23"/>
  <c r="I30" i="23"/>
  <c r="J30" i="23"/>
  <c r="K24" i="23"/>
  <c r="K30" i="23"/>
  <c r="L24" i="23"/>
  <c r="P24" i="23"/>
  <c r="M24" i="23"/>
  <c r="N23" i="23"/>
  <c r="C37" i="23"/>
  <c r="H37" i="23"/>
  <c r="N37" i="23"/>
  <c r="G38" i="23"/>
  <c r="L38" i="23"/>
  <c r="D40" i="23"/>
  <c r="J40" i="23"/>
  <c r="C41" i="23"/>
  <c r="H41" i="23"/>
  <c r="N41" i="23"/>
  <c r="G42" i="23"/>
  <c r="L42" i="23"/>
  <c r="D44" i="23"/>
  <c r="J44" i="23"/>
  <c r="C45" i="23"/>
  <c r="H45" i="23"/>
  <c r="N45" i="23"/>
  <c r="G46" i="23"/>
  <c r="L46" i="23"/>
  <c r="C50" i="23"/>
  <c r="I50" i="23"/>
  <c r="N50" i="23"/>
  <c r="G51" i="23"/>
  <c r="M51" i="23"/>
  <c r="E53" i="23"/>
  <c r="J53" i="23"/>
  <c r="J49" i="23"/>
  <c r="J12" i="23"/>
  <c r="C54" i="23"/>
  <c r="I54" i="23"/>
  <c r="N54" i="23"/>
  <c r="G55" i="23"/>
  <c r="M55" i="23"/>
  <c r="E57" i="23"/>
  <c r="J57" i="23"/>
  <c r="C58" i="23"/>
  <c r="I58" i="23"/>
  <c r="N58" i="23"/>
  <c r="G59" i="23"/>
  <c r="M59" i="23"/>
  <c r="F63" i="23"/>
  <c r="K63" i="23"/>
  <c r="D64" i="23"/>
  <c r="J64" i="23"/>
  <c r="H66" i="23"/>
  <c r="H67" i="23"/>
  <c r="L68" i="23"/>
  <c r="L70" i="23"/>
  <c r="P70" i="23"/>
  <c r="D72" i="23"/>
  <c r="C76" i="23"/>
  <c r="G77" i="23"/>
  <c r="G79" i="23"/>
  <c r="O79" i="23"/>
  <c r="K80" i="23"/>
  <c r="C84" i="23"/>
  <c r="G85" i="23"/>
  <c r="F89" i="23"/>
  <c r="F88" i="23"/>
  <c r="F15" i="23"/>
  <c r="J90" i="23"/>
  <c r="J92" i="23"/>
  <c r="C94" i="23"/>
  <c r="C96" i="23"/>
  <c r="P96" i="23"/>
  <c r="G97" i="23"/>
  <c r="K98" i="23"/>
  <c r="G25" i="23"/>
  <c r="P25" i="23"/>
  <c r="G29" i="23"/>
  <c r="G33" i="23"/>
  <c r="E39" i="23"/>
  <c r="I39" i="23"/>
  <c r="E43" i="23"/>
  <c r="I43" i="23"/>
  <c r="E47" i="23"/>
  <c r="I47" i="23"/>
  <c r="D52" i="23"/>
  <c r="H52" i="23"/>
  <c r="D56" i="23"/>
  <c r="H56" i="23"/>
  <c r="D60" i="23"/>
  <c r="P60" i="23"/>
  <c r="H60" i="23"/>
  <c r="L60" i="23"/>
  <c r="E65" i="23"/>
  <c r="I65" i="23"/>
  <c r="E69" i="23"/>
  <c r="I69" i="23"/>
  <c r="E73" i="23"/>
  <c r="I73" i="23"/>
  <c r="D78" i="23"/>
  <c r="H78" i="23"/>
  <c r="D82" i="23"/>
  <c r="H82" i="23"/>
  <c r="D86" i="23"/>
  <c r="H86" i="23"/>
  <c r="C91" i="23"/>
  <c r="G91" i="23"/>
  <c r="D95" i="23"/>
  <c r="H95" i="23"/>
  <c r="D99" i="23"/>
  <c r="H99" i="23"/>
  <c r="O15" i="30"/>
  <c r="O16" i="30"/>
  <c r="O14" i="30"/>
  <c r="E36" i="23"/>
  <c r="E10" i="23"/>
  <c r="P80" i="23"/>
  <c r="O27" i="23"/>
  <c r="O26" i="23"/>
  <c r="P95" i="23"/>
  <c r="O32" i="23"/>
  <c r="P81" i="23"/>
  <c r="O51" i="23"/>
  <c r="O43" i="23"/>
  <c r="K22" i="23"/>
  <c r="K9" i="23"/>
  <c r="N8" i="22"/>
  <c r="D11" i="22"/>
  <c r="E11" i="22"/>
  <c r="F11" i="22"/>
  <c r="G11" i="22"/>
  <c r="H11" i="22"/>
  <c r="I11" i="22"/>
  <c r="J11" i="22"/>
  <c r="K11" i="22"/>
  <c r="L11" i="22"/>
  <c r="M11" i="22"/>
  <c r="N11" i="22"/>
  <c r="C11" i="22"/>
  <c r="D8" i="22"/>
  <c r="E8" i="22"/>
  <c r="E16" i="22"/>
  <c r="F8" i="22"/>
  <c r="G8" i="22"/>
  <c r="G16" i="22"/>
  <c r="H8" i="22"/>
  <c r="H16" i="22"/>
  <c r="I8" i="22"/>
  <c r="J8" i="22"/>
  <c r="K8" i="22"/>
  <c r="K16" i="22"/>
  <c r="L8" i="22"/>
  <c r="M8" i="22"/>
  <c r="M16" i="22"/>
  <c r="C8" i="22"/>
  <c r="N16" i="22"/>
  <c r="L16" i="22"/>
  <c r="J16" i="22"/>
  <c r="D16" i="22"/>
  <c r="P7" i="22"/>
  <c r="I129" i="26"/>
  <c r="I130" i="26"/>
  <c r="I131" i="26"/>
  <c r="I132" i="26"/>
  <c r="I133" i="26"/>
  <c r="I134" i="26"/>
  <c r="I135" i="26"/>
  <c r="I136" i="26"/>
  <c r="I137" i="26"/>
  <c r="I138" i="26"/>
  <c r="I139" i="26"/>
  <c r="I140" i="26"/>
  <c r="I141" i="26"/>
  <c r="I142" i="26"/>
  <c r="I143" i="26"/>
  <c r="I144" i="26"/>
  <c r="I145" i="26"/>
  <c r="I146" i="26"/>
  <c r="I147" i="26"/>
  <c r="I148" i="26"/>
  <c r="I149" i="26"/>
  <c r="I150" i="26"/>
  <c r="I151" i="26"/>
  <c r="I152" i="26"/>
  <c r="I153" i="26"/>
  <c r="I154" i="26"/>
  <c r="I155" i="26"/>
  <c r="I156" i="26"/>
  <c r="I157" i="26"/>
  <c r="I158" i="26"/>
  <c r="I159" i="26"/>
  <c r="I160" i="26"/>
  <c r="I161" i="26"/>
  <c r="J12" i="3"/>
  <c r="J8" i="10"/>
  <c r="J10" i="10"/>
  <c r="J14" i="10"/>
  <c r="J8" i="1"/>
  <c r="J10" i="1"/>
  <c r="J11" i="1"/>
  <c r="J12" i="1"/>
  <c r="J13" i="1"/>
  <c r="J15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7" i="3"/>
  <c r="J7" i="14"/>
  <c r="J7" i="1"/>
  <c r="O8" i="21"/>
  <c r="O9" i="21"/>
  <c r="O10" i="21"/>
  <c r="O11" i="21"/>
  <c r="J14" i="3"/>
  <c r="O12" i="21"/>
  <c r="O13" i="21"/>
  <c r="P58" i="23"/>
  <c r="O33" i="23"/>
  <c r="L75" i="23"/>
  <c r="L14" i="23"/>
  <c r="O40" i="23"/>
  <c r="O82" i="23"/>
  <c r="O63" i="23"/>
  <c r="P40" i="23"/>
  <c r="C22" i="23"/>
  <c r="C9" i="23"/>
  <c r="P63" i="23"/>
  <c r="P52" i="23"/>
  <c r="P32" i="23"/>
  <c r="P13" i="38"/>
  <c r="O20" i="38"/>
  <c r="C14" i="38"/>
  <c r="D10" i="38"/>
  <c r="D14" i="38"/>
  <c r="E10" i="38"/>
  <c r="E14" i="38"/>
  <c r="F10" i="38"/>
  <c r="F14" i="38"/>
  <c r="O13" i="38"/>
  <c r="K88" i="23"/>
  <c r="K15" i="23"/>
  <c r="P98" i="23"/>
  <c r="P85" i="23"/>
  <c r="P68" i="23"/>
  <c r="O72" i="23"/>
  <c r="O38" i="23"/>
  <c r="O24" i="23"/>
  <c r="N22" i="23"/>
  <c r="N9" i="23"/>
  <c r="P51" i="23"/>
  <c r="L22" i="23"/>
  <c r="L9" i="23"/>
  <c r="H22" i="23"/>
  <c r="H9" i="23"/>
  <c r="O66" i="23"/>
  <c r="O42" i="23"/>
  <c r="P23" i="23"/>
  <c r="O92" i="23"/>
  <c r="P83" i="23"/>
  <c r="M75" i="23"/>
  <c r="M14" i="23"/>
  <c r="O30" i="23"/>
  <c r="P89" i="23"/>
  <c r="O97" i="23"/>
  <c r="I75" i="23"/>
  <c r="I14" i="23"/>
  <c r="O80" i="23"/>
  <c r="P84" i="23"/>
  <c r="P71" i="23"/>
  <c r="I22" i="23"/>
  <c r="I9" i="23"/>
  <c r="E22" i="23"/>
  <c r="E9" i="23"/>
  <c r="P78" i="23"/>
  <c r="P39" i="23"/>
  <c r="O60" i="23"/>
  <c r="P77" i="23"/>
  <c r="O81" i="23"/>
  <c r="P72" i="23"/>
  <c r="P55" i="23"/>
  <c r="O46" i="23"/>
  <c r="P28" i="23"/>
  <c r="P30" i="23"/>
  <c r="O70" i="23"/>
  <c r="E88" i="23"/>
  <c r="E15" i="23"/>
  <c r="G88" i="23"/>
  <c r="G15" i="23"/>
  <c r="P93" i="23"/>
  <c r="F75" i="23"/>
  <c r="F14" i="23"/>
  <c r="O67" i="23"/>
  <c r="M36" i="23"/>
  <c r="M10" i="23"/>
  <c r="O45" i="23"/>
  <c r="M22" i="23"/>
  <c r="M9" i="23"/>
  <c r="N88" i="23"/>
  <c r="N15" i="23"/>
  <c r="O69" i="23"/>
  <c r="O52" i="23"/>
  <c r="P56" i="23"/>
  <c r="P33" i="23"/>
  <c r="P29" i="23"/>
  <c r="O93" i="23"/>
  <c r="D22" i="23"/>
  <c r="D9" i="23"/>
  <c r="P42" i="23"/>
  <c r="O58" i="23"/>
  <c r="O71" i="23"/>
  <c r="P79" i="23"/>
  <c r="O89" i="23"/>
  <c r="P66" i="23"/>
  <c r="O73" i="23"/>
  <c r="O56" i="23"/>
  <c r="P94" i="23"/>
  <c r="P64" i="23"/>
  <c r="P57" i="23"/>
  <c r="P53" i="23"/>
  <c r="P45" i="23"/>
  <c r="P41" i="23"/>
  <c r="C36" i="23"/>
  <c r="C10" i="23"/>
  <c r="P26" i="23"/>
  <c r="O90" i="23"/>
  <c r="D88" i="23"/>
  <c r="D15" i="23"/>
  <c r="O91" i="23"/>
  <c r="P82" i="23"/>
  <c r="O65" i="23"/>
  <c r="O25" i="23"/>
  <c r="O85" i="23"/>
  <c r="O77" i="23"/>
  <c r="O68" i="23"/>
  <c r="O59" i="23"/>
  <c r="O54" i="23"/>
  <c r="I49" i="23"/>
  <c r="I12" i="23"/>
  <c r="P44" i="23"/>
  <c r="P38" i="23"/>
  <c r="O31" i="23"/>
  <c r="P90" i="23"/>
  <c r="O98" i="23"/>
  <c r="O23" i="23"/>
  <c r="P69" i="23"/>
  <c r="C49" i="23"/>
  <c r="C12" i="23"/>
  <c r="O96" i="23"/>
  <c r="P46" i="23"/>
  <c r="P97" i="23"/>
  <c r="P92" i="23"/>
  <c r="O83" i="23"/>
  <c r="P86" i="23"/>
  <c r="O78" i="23"/>
  <c r="P47" i="23"/>
  <c r="O39" i="23"/>
  <c r="O84" i="23"/>
  <c r="C75" i="23"/>
  <c r="C14" i="23"/>
  <c r="P67" i="23"/>
  <c r="K62" i="23"/>
  <c r="K13" i="23"/>
  <c r="O55" i="23"/>
  <c r="O28" i="23"/>
  <c r="O29" i="23"/>
  <c r="P31" i="23"/>
  <c r="O95" i="23"/>
  <c r="P43" i="23"/>
  <c r="F62" i="23"/>
  <c r="F13" i="23"/>
  <c r="K49" i="23"/>
  <c r="K12" i="23"/>
  <c r="N9" i="30"/>
  <c r="M9" i="30"/>
  <c r="L62" i="23"/>
  <c r="L13" i="23"/>
  <c r="J36" i="23"/>
  <c r="J10" i="23"/>
  <c r="M49" i="23"/>
  <c r="M12" i="23"/>
  <c r="G36" i="23"/>
  <c r="G10" i="23"/>
  <c r="C62" i="23"/>
  <c r="C13" i="23"/>
  <c r="L88" i="23"/>
  <c r="L15" i="23"/>
  <c r="H75" i="23"/>
  <c r="H14" i="23"/>
  <c r="I62" i="23"/>
  <c r="I13" i="23"/>
  <c r="D49" i="23"/>
  <c r="D12" i="23"/>
  <c r="D15" i="30"/>
  <c r="C15" i="30"/>
  <c r="E15" i="30"/>
  <c r="I12" i="30"/>
  <c r="H12" i="30"/>
  <c r="P73" i="23"/>
  <c r="C10" i="30"/>
  <c r="D10" i="30"/>
  <c r="I15" i="30"/>
  <c r="H15" i="30"/>
  <c r="E11" i="23"/>
  <c r="O50" i="23"/>
  <c r="O99" i="23"/>
  <c r="O94" i="23"/>
  <c r="O41" i="23"/>
  <c r="P99" i="23"/>
  <c r="P91" i="23"/>
  <c r="C88" i="23"/>
  <c r="C15" i="23"/>
  <c r="G62" i="23"/>
  <c r="G13" i="23"/>
  <c r="D36" i="23"/>
  <c r="D10" i="23"/>
  <c r="D11" i="23"/>
  <c r="J62" i="23"/>
  <c r="J13" i="23"/>
  <c r="G49" i="23"/>
  <c r="G12" i="23"/>
  <c r="J88" i="23"/>
  <c r="J15" i="23"/>
  <c r="I88" i="23"/>
  <c r="I15" i="23"/>
  <c r="J75" i="23"/>
  <c r="J14" i="23"/>
  <c r="M62" i="23"/>
  <c r="M13" i="23"/>
  <c r="H49" i="23"/>
  <c r="H12" i="23"/>
  <c r="H16" i="30"/>
  <c r="I16" i="30"/>
  <c r="M12" i="30"/>
  <c r="N12" i="30"/>
  <c r="I11" i="30"/>
  <c r="H11" i="30"/>
  <c r="O64" i="23"/>
  <c r="P59" i="23"/>
  <c r="P37" i="23"/>
  <c r="D9" i="30"/>
  <c r="C9" i="30"/>
  <c r="I10" i="30"/>
  <c r="H10" i="30"/>
  <c r="P54" i="23"/>
  <c r="N36" i="23"/>
  <c r="N10" i="23"/>
  <c r="N11" i="23"/>
  <c r="D62" i="23"/>
  <c r="D13" i="23"/>
  <c r="E49" i="23"/>
  <c r="E12" i="23"/>
  <c r="K75" i="23"/>
  <c r="K14" i="23"/>
  <c r="N62" i="23"/>
  <c r="N13" i="23"/>
  <c r="K36" i="23"/>
  <c r="K10" i="23"/>
  <c r="K11" i="23"/>
  <c r="M88" i="23"/>
  <c r="M15" i="23"/>
  <c r="N75" i="23"/>
  <c r="N14" i="23"/>
  <c r="E75" i="23"/>
  <c r="E14" i="23"/>
  <c r="L49" i="23"/>
  <c r="L12" i="23"/>
  <c r="C11" i="30"/>
  <c r="D11" i="30"/>
  <c r="N13" i="30"/>
  <c r="M13" i="30"/>
  <c r="H8" i="30"/>
  <c r="I8" i="30"/>
  <c r="C14" i="30"/>
  <c r="D14" i="30"/>
  <c r="N8" i="30"/>
  <c r="M8" i="30"/>
  <c r="N16" i="29"/>
  <c r="D16" i="29"/>
  <c r="M16" i="29"/>
  <c r="D17" i="29"/>
  <c r="H17" i="29"/>
  <c r="L17" i="29"/>
  <c r="E16" i="29"/>
  <c r="G16" i="29"/>
  <c r="F12" i="42"/>
  <c r="H16" i="29"/>
  <c r="H18" i="29"/>
  <c r="E17" i="29"/>
  <c r="F17" i="29"/>
  <c r="G17" i="29"/>
  <c r="D10" i="29"/>
  <c r="N9" i="3"/>
  <c r="C18" i="30"/>
  <c r="L16" i="29"/>
  <c r="I17" i="29"/>
  <c r="J17" i="29"/>
  <c r="K17" i="29"/>
  <c r="F16" i="29"/>
  <c r="F18" i="29"/>
  <c r="K16" i="29"/>
  <c r="J16" i="29"/>
  <c r="J18" i="29"/>
  <c r="C16" i="29"/>
  <c r="I16" i="29"/>
  <c r="M17" i="29"/>
  <c r="N17" i="29"/>
  <c r="C17" i="29"/>
  <c r="D9" i="29"/>
  <c r="D18" i="30"/>
  <c r="J11" i="23"/>
  <c r="O53" i="23"/>
  <c r="D17" i="30"/>
  <c r="C17" i="30"/>
  <c r="C13" i="30"/>
  <c r="D13" i="30"/>
  <c r="N11" i="30"/>
  <c r="M11" i="30"/>
  <c r="I18" i="30"/>
  <c r="H18" i="30"/>
  <c r="H14" i="30"/>
  <c r="I14" i="30"/>
  <c r="O37" i="23"/>
  <c r="O86" i="23"/>
  <c r="P50" i="23"/>
  <c r="O44" i="23"/>
  <c r="N49" i="23"/>
  <c r="N12" i="23"/>
  <c r="N16" i="23"/>
  <c r="P65" i="23"/>
  <c r="K16" i="23"/>
  <c r="C16" i="30"/>
  <c r="D16" i="30"/>
  <c r="D12" i="30"/>
  <c r="C12" i="30"/>
  <c r="D8" i="30"/>
  <c r="C8" i="30"/>
  <c r="E10" i="29"/>
  <c r="N9" i="4"/>
  <c r="E9" i="29"/>
  <c r="N8" i="4"/>
  <c r="M10" i="30"/>
  <c r="N10" i="30"/>
  <c r="H17" i="30"/>
  <c r="I17" i="30"/>
  <c r="H13" i="30"/>
  <c r="I13" i="30"/>
  <c r="H9" i="30"/>
  <c r="I9" i="30"/>
  <c r="G22" i="23"/>
  <c r="G9" i="23"/>
  <c r="G11" i="23"/>
  <c r="M11" i="23"/>
  <c r="O47" i="23"/>
  <c r="O57" i="23"/>
  <c r="O76" i="23"/>
  <c r="P76" i="23"/>
  <c r="L16" i="23"/>
  <c r="H36" i="23"/>
  <c r="H10" i="23"/>
  <c r="H11" i="23"/>
  <c r="G75" i="23"/>
  <c r="G14" i="23"/>
  <c r="L36" i="23"/>
  <c r="L10" i="23"/>
  <c r="L11" i="23"/>
  <c r="H62" i="23"/>
  <c r="H13" i="23"/>
  <c r="F49" i="23"/>
  <c r="F12" i="23"/>
  <c r="F16" i="23"/>
  <c r="F36" i="23"/>
  <c r="F10" i="23"/>
  <c r="F11" i="23"/>
  <c r="F17" i="23"/>
  <c r="F18" i="23"/>
  <c r="H88" i="23"/>
  <c r="H15" i="23"/>
  <c r="D75" i="23"/>
  <c r="D14" i="23"/>
  <c r="E62" i="23"/>
  <c r="E13" i="23"/>
  <c r="I36" i="23"/>
  <c r="I10" i="23"/>
  <c r="I11" i="23"/>
  <c r="L10" i="19"/>
  <c r="F16" i="22"/>
  <c r="B9" i="19"/>
  <c r="P11" i="22"/>
  <c r="I16" i="22"/>
  <c r="P8" i="22"/>
  <c r="O8" i="22"/>
  <c r="C16" i="22"/>
  <c r="C17" i="22"/>
  <c r="O11" i="22"/>
  <c r="J11" i="29"/>
  <c r="J17" i="1"/>
  <c r="J64" i="16"/>
  <c r="J49" i="16"/>
  <c r="J34" i="16"/>
  <c r="J21" i="16"/>
  <c r="J83" i="15"/>
  <c r="J69" i="15"/>
  <c r="J55" i="15"/>
  <c r="J39" i="15"/>
  <c r="J19" i="15"/>
  <c r="J79" i="14"/>
  <c r="J59" i="14"/>
  <c r="J39" i="14"/>
  <c r="J22" i="14"/>
  <c r="J79" i="13"/>
  <c r="J51" i="13"/>
  <c r="J31" i="13"/>
  <c r="J23" i="13"/>
  <c r="J80" i="12"/>
  <c r="J51" i="12"/>
  <c r="J25" i="12"/>
  <c r="J77" i="11"/>
  <c r="J50" i="11"/>
  <c r="J28" i="11"/>
  <c r="J78" i="10"/>
  <c r="J30" i="10"/>
  <c r="J59" i="9"/>
  <c r="J56" i="6"/>
  <c r="J38" i="3"/>
  <c r="J7" i="10"/>
  <c r="J16" i="1"/>
  <c r="J82" i="16"/>
  <c r="J69" i="16"/>
  <c r="J54" i="16"/>
  <c r="J40" i="16"/>
  <c r="J26" i="16"/>
  <c r="J12" i="16"/>
  <c r="J67" i="15"/>
  <c r="J53" i="15"/>
  <c r="J37" i="15"/>
  <c r="J18" i="15"/>
  <c r="J75" i="14"/>
  <c r="J58" i="14"/>
  <c r="J38" i="14"/>
  <c r="J18" i="14"/>
  <c r="J77" i="13"/>
  <c r="J57" i="13"/>
  <c r="J39" i="13"/>
  <c r="J20" i="13"/>
  <c r="J78" i="12"/>
  <c r="J58" i="12"/>
  <c r="J36" i="12"/>
  <c r="J9" i="12"/>
  <c r="J60" i="11"/>
  <c r="J37" i="11"/>
  <c r="J10" i="11"/>
  <c r="J62" i="10"/>
  <c r="J19" i="10"/>
  <c r="J47" i="9"/>
  <c r="J44" i="6"/>
  <c r="J27" i="3"/>
  <c r="J7" i="9"/>
  <c r="J81" i="16"/>
  <c r="J74" i="16"/>
  <c r="J66" i="16"/>
  <c r="J60" i="16"/>
  <c r="J53" i="16"/>
  <c r="J45" i="16"/>
  <c r="J38" i="16"/>
  <c r="J32" i="16"/>
  <c r="J24" i="16"/>
  <c r="J17" i="16"/>
  <c r="J10" i="16"/>
  <c r="J79" i="15"/>
  <c r="J73" i="15"/>
  <c r="J66" i="15"/>
  <c r="J58" i="15"/>
  <c r="J51" i="15"/>
  <c r="J45" i="15"/>
  <c r="J34" i="15"/>
  <c r="J25" i="15"/>
  <c r="J15" i="15"/>
  <c r="J82" i="14"/>
  <c r="J74" i="14"/>
  <c r="J64" i="14"/>
  <c r="J54" i="14"/>
  <c r="J44" i="14"/>
  <c r="J36" i="14"/>
  <c r="J26" i="14"/>
  <c r="J16" i="14"/>
  <c r="J84" i="13"/>
  <c r="J73" i="13"/>
  <c r="J65" i="13"/>
  <c r="J56" i="13"/>
  <c r="J45" i="13"/>
  <c r="J36" i="13"/>
  <c r="J28" i="13"/>
  <c r="J17" i="13"/>
  <c r="J8" i="13"/>
  <c r="J76" i="12"/>
  <c r="J65" i="12"/>
  <c r="J57" i="12"/>
  <c r="J45" i="12"/>
  <c r="J31" i="12"/>
  <c r="J19" i="12"/>
  <c r="J8" i="12"/>
  <c r="J70" i="11"/>
  <c r="J58" i="11"/>
  <c r="J45" i="11"/>
  <c r="J32" i="11"/>
  <c r="J21" i="11"/>
  <c r="J8" i="11"/>
  <c r="J71" i="10"/>
  <c r="J58" i="10"/>
  <c r="J42" i="10"/>
  <c r="J75" i="9"/>
  <c r="J36" i="9"/>
  <c r="J76" i="6"/>
  <c r="J32" i="6"/>
  <c r="J46" i="4"/>
  <c r="J70" i="3"/>
  <c r="J8" i="3"/>
  <c r="J16" i="3"/>
  <c r="J20" i="3"/>
  <c r="J24" i="3"/>
  <c r="J28" i="3"/>
  <c r="J32" i="3"/>
  <c r="J36" i="3"/>
  <c r="J40" i="3"/>
  <c r="J44" i="3"/>
  <c r="J48" i="3"/>
  <c r="J52" i="3"/>
  <c r="J56" i="3"/>
  <c r="J60" i="3"/>
  <c r="J64" i="3"/>
  <c r="J68" i="3"/>
  <c r="J72" i="3"/>
  <c r="J76" i="3"/>
  <c r="J80" i="3"/>
  <c r="J84" i="3"/>
  <c r="J11" i="4"/>
  <c r="J15" i="4"/>
  <c r="J19" i="4"/>
  <c r="J23" i="4"/>
  <c r="J27" i="4"/>
  <c r="J31" i="4"/>
  <c r="J35" i="4"/>
  <c r="J39" i="4"/>
  <c r="J43" i="4"/>
  <c r="J47" i="4"/>
  <c r="J51" i="4"/>
  <c r="J55" i="4"/>
  <c r="J59" i="4"/>
  <c r="J63" i="4"/>
  <c r="J67" i="4"/>
  <c r="J71" i="4"/>
  <c r="J75" i="4"/>
  <c r="J79" i="4"/>
  <c r="J83" i="4"/>
  <c r="J10" i="6"/>
  <c r="J14" i="6"/>
  <c r="J18" i="6"/>
  <c r="J22" i="6"/>
  <c r="J26" i="6"/>
  <c r="J30" i="6"/>
  <c r="J34" i="6"/>
  <c r="J38" i="6"/>
  <c r="J42" i="6"/>
  <c r="J46" i="6"/>
  <c r="J50" i="6"/>
  <c r="J54" i="6"/>
  <c r="J58" i="6"/>
  <c r="J62" i="6"/>
  <c r="J66" i="6"/>
  <c r="J70" i="6"/>
  <c r="J74" i="6"/>
  <c r="J78" i="6"/>
  <c r="J82" i="6"/>
  <c r="J9" i="9"/>
  <c r="J13" i="9"/>
  <c r="J17" i="9"/>
  <c r="J21" i="9"/>
  <c r="J25" i="9"/>
  <c r="J29" i="9"/>
  <c r="J33" i="9"/>
  <c r="J37" i="9"/>
  <c r="J41" i="9"/>
  <c r="J45" i="9"/>
  <c r="J49" i="9"/>
  <c r="J53" i="9"/>
  <c r="J57" i="9"/>
  <c r="J61" i="9"/>
  <c r="J65" i="9"/>
  <c r="J69" i="9"/>
  <c r="J73" i="9"/>
  <c r="J77" i="9"/>
  <c r="J81" i="9"/>
  <c r="J12" i="10"/>
  <c r="J16" i="10"/>
  <c r="J20" i="10"/>
  <c r="J24" i="10"/>
  <c r="J28" i="10"/>
  <c r="J32" i="10"/>
  <c r="J36" i="10"/>
  <c r="J9" i="3"/>
  <c r="J13" i="3"/>
  <c r="J17" i="3"/>
  <c r="J21" i="3"/>
  <c r="J25" i="3"/>
  <c r="J29" i="3"/>
  <c r="J33" i="3"/>
  <c r="J37" i="3"/>
  <c r="J41" i="3"/>
  <c r="J45" i="3"/>
  <c r="J49" i="3"/>
  <c r="J53" i="3"/>
  <c r="J57" i="3"/>
  <c r="J61" i="3"/>
  <c r="J65" i="3"/>
  <c r="J69" i="3"/>
  <c r="J73" i="3"/>
  <c r="J77" i="3"/>
  <c r="J81" i="3"/>
  <c r="J8" i="4"/>
  <c r="J12" i="4"/>
  <c r="J16" i="4"/>
  <c r="J20" i="4"/>
  <c r="J24" i="4"/>
  <c r="J28" i="4"/>
  <c r="J32" i="4"/>
  <c r="J36" i="4"/>
  <c r="J40" i="4"/>
  <c r="J44" i="4"/>
  <c r="J48" i="4"/>
  <c r="J52" i="4"/>
  <c r="J56" i="4"/>
  <c r="J60" i="4"/>
  <c r="J64" i="4"/>
  <c r="J68" i="4"/>
  <c r="J72" i="4"/>
  <c r="J76" i="4"/>
  <c r="J80" i="4"/>
  <c r="J84" i="4"/>
  <c r="J11" i="6"/>
  <c r="J15" i="6"/>
  <c r="J19" i="6"/>
  <c r="J23" i="6"/>
  <c r="J27" i="6"/>
  <c r="J31" i="6"/>
  <c r="J35" i="6"/>
  <c r="J39" i="6"/>
  <c r="J43" i="6"/>
  <c r="J47" i="6"/>
  <c r="J51" i="6"/>
  <c r="J55" i="6"/>
  <c r="J59" i="6"/>
  <c r="J63" i="6"/>
  <c r="J67" i="6"/>
  <c r="J71" i="6"/>
  <c r="J75" i="6"/>
  <c r="J79" i="6"/>
  <c r="J83" i="6"/>
  <c r="J10" i="9"/>
  <c r="J14" i="9"/>
  <c r="J18" i="9"/>
  <c r="J22" i="9"/>
  <c r="J26" i="9"/>
  <c r="J30" i="9"/>
  <c r="J34" i="9"/>
  <c r="J38" i="9"/>
  <c r="J42" i="9"/>
  <c r="J46" i="9"/>
  <c r="J50" i="9"/>
  <c r="J54" i="9"/>
  <c r="J58" i="9"/>
  <c r="J62" i="9"/>
  <c r="J66" i="9"/>
  <c r="J70" i="9"/>
  <c r="J74" i="9"/>
  <c r="J78" i="9"/>
  <c r="J82" i="9"/>
  <c r="J9" i="10"/>
  <c r="J13" i="10"/>
  <c r="J17" i="10"/>
  <c r="J21" i="10"/>
  <c r="J25" i="10"/>
  <c r="J29" i="10"/>
  <c r="J33" i="10"/>
  <c r="J37" i="10"/>
  <c r="J10" i="3"/>
  <c r="J15" i="3"/>
  <c r="J23" i="3"/>
  <c r="J31" i="3"/>
  <c r="J39" i="3"/>
  <c r="J47" i="3"/>
  <c r="J55" i="3"/>
  <c r="J63" i="3"/>
  <c r="J71" i="3"/>
  <c r="J79" i="3"/>
  <c r="J10" i="4"/>
  <c r="J18" i="4"/>
  <c r="J26" i="4"/>
  <c r="J34" i="4"/>
  <c r="J42" i="4"/>
  <c r="J50" i="4"/>
  <c r="J58" i="4"/>
  <c r="J66" i="4"/>
  <c r="J74" i="4"/>
  <c r="J82" i="4"/>
  <c r="J13" i="6"/>
  <c r="J21" i="6"/>
  <c r="J29" i="6"/>
  <c r="J37" i="6"/>
  <c r="J45" i="6"/>
  <c r="J53" i="6"/>
  <c r="J61" i="6"/>
  <c r="J69" i="6"/>
  <c r="J77" i="6"/>
  <c r="J8" i="9"/>
  <c r="J16" i="9"/>
  <c r="J24" i="9"/>
  <c r="J32" i="9"/>
  <c r="J40" i="9"/>
  <c r="J48" i="9"/>
  <c r="J56" i="9"/>
  <c r="J64" i="9"/>
  <c r="J72" i="9"/>
  <c r="J80" i="9"/>
  <c r="J18" i="10"/>
  <c r="J26" i="10"/>
  <c r="J34" i="10"/>
  <c r="J40" i="10"/>
  <c r="J44" i="10"/>
  <c r="J48" i="10"/>
  <c r="J52" i="10"/>
  <c r="J56" i="10"/>
  <c r="J60" i="10"/>
  <c r="J64" i="10"/>
  <c r="J68" i="10"/>
  <c r="J72" i="10"/>
  <c r="J76" i="10"/>
  <c r="J80" i="10"/>
  <c r="J84" i="10"/>
  <c r="J11" i="11"/>
  <c r="J15" i="11"/>
  <c r="J19" i="11"/>
  <c r="J23" i="11"/>
  <c r="J27" i="11"/>
  <c r="J31" i="11"/>
  <c r="J35" i="11"/>
  <c r="J39" i="11"/>
  <c r="J43" i="11"/>
  <c r="J47" i="11"/>
  <c r="J51" i="11"/>
  <c r="J55" i="11"/>
  <c r="J59" i="11"/>
  <c r="J63" i="11"/>
  <c r="J67" i="11"/>
  <c r="J71" i="11"/>
  <c r="J75" i="11"/>
  <c r="J79" i="11"/>
  <c r="J83" i="11"/>
  <c r="J10" i="12"/>
  <c r="J14" i="12"/>
  <c r="J18" i="12"/>
  <c r="J22" i="12"/>
  <c r="J26" i="12"/>
  <c r="J30" i="12"/>
  <c r="J34" i="12"/>
  <c r="J38" i="12"/>
  <c r="J42" i="12"/>
  <c r="J46" i="12"/>
  <c r="J50" i="12"/>
  <c r="J54" i="12"/>
  <c r="J11" i="3"/>
  <c r="J19" i="3"/>
  <c r="J30" i="3"/>
  <c r="J42" i="3"/>
  <c r="J51" i="3"/>
  <c r="J62" i="3"/>
  <c r="J74" i="3"/>
  <c r="J83" i="3"/>
  <c r="J17" i="4"/>
  <c r="J29" i="4"/>
  <c r="J38" i="4"/>
  <c r="J49" i="4"/>
  <c r="J61" i="4"/>
  <c r="J70" i="4"/>
  <c r="J81" i="4"/>
  <c r="J16" i="6"/>
  <c r="J25" i="6"/>
  <c r="J36" i="6"/>
  <c r="J48" i="6"/>
  <c r="J57" i="6"/>
  <c r="J68" i="6"/>
  <c r="J80" i="6"/>
  <c r="J12" i="9"/>
  <c r="J23" i="9"/>
  <c r="J35" i="9"/>
  <c r="J44" i="9"/>
  <c r="J55" i="9"/>
  <c r="J67" i="9"/>
  <c r="J76" i="9"/>
  <c r="J15" i="10"/>
  <c r="J27" i="10"/>
  <c r="J38" i="10"/>
  <c r="J43" i="10"/>
  <c r="J49" i="10"/>
  <c r="J54" i="10"/>
  <c r="J59" i="10"/>
  <c r="J65" i="10"/>
  <c r="J70" i="10"/>
  <c r="J75" i="10"/>
  <c r="J81" i="10"/>
  <c r="J9" i="11"/>
  <c r="J14" i="11"/>
  <c r="J20" i="11"/>
  <c r="J25" i="11"/>
  <c r="J30" i="11"/>
  <c r="J36" i="11"/>
  <c r="J41" i="11"/>
  <c r="J46" i="11"/>
  <c r="J52" i="11"/>
  <c r="J57" i="11"/>
  <c r="J62" i="11"/>
  <c r="J68" i="11"/>
  <c r="J73" i="11"/>
  <c r="J78" i="11"/>
  <c r="J84" i="11"/>
  <c r="J12" i="12"/>
  <c r="J17" i="12"/>
  <c r="J23" i="12"/>
  <c r="J28" i="12"/>
  <c r="J33" i="12"/>
  <c r="J39" i="12"/>
  <c r="J44" i="12"/>
  <c r="J49" i="12"/>
  <c r="J55" i="12"/>
  <c r="J59" i="12"/>
  <c r="J63" i="12"/>
  <c r="J67" i="12"/>
  <c r="J71" i="12"/>
  <c r="J75" i="12"/>
  <c r="J79" i="12"/>
  <c r="J83" i="12"/>
  <c r="J10" i="13"/>
  <c r="J14" i="13"/>
  <c r="J18" i="13"/>
  <c r="J22" i="13"/>
  <c r="J26" i="13"/>
  <c r="J30" i="13"/>
  <c r="J34" i="13"/>
  <c r="J38" i="13"/>
  <c r="J42" i="13"/>
  <c r="J46" i="13"/>
  <c r="J50" i="13"/>
  <c r="J54" i="13"/>
  <c r="J58" i="13"/>
  <c r="J62" i="13"/>
  <c r="J66" i="13"/>
  <c r="J70" i="13"/>
  <c r="J74" i="13"/>
  <c r="J78" i="13"/>
  <c r="J82" i="13"/>
  <c r="J9" i="14"/>
  <c r="J13" i="14"/>
  <c r="J17" i="14"/>
  <c r="J21" i="14"/>
  <c r="J25" i="14"/>
  <c r="J29" i="14"/>
  <c r="J33" i="14"/>
  <c r="J37" i="14"/>
  <c r="J41" i="14"/>
  <c r="J45" i="14"/>
  <c r="J49" i="14"/>
  <c r="J53" i="14"/>
  <c r="J57" i="14"/>
  <c r="J61" i="14"/>
  <c r="J65" i="14"/>
  <c r="J69" i="14"/>
  <c r="J73" i="14"/>
  <c r="J77" i="14"/>
  <c r="J81" i="14"/>
  <c r="J8" i="15"/>
  <c r="J12" i="15"/>
  <c r="J16" i="15"/>
  <c r="J20" i="15"/>
  <c r="J24" i="15"/>
  <c r="J28" i="15"/>
  <c r="J32" i="15"/>
  <c r="J36" i="15"/>
  <c r="J40" i="15"/>
  <c r="J44" i="15"/>
  <c r="J48" i="15"/>
  <c r="J52" i="15"/>
  <c r="J56" i="15"/>
  <c r="J60" i="15"/>
  <c r="J64" i="15"/>
  <c r="J68" i="15"/>
  <c r="J72" i="15"/>
  <c r="J76" i="15"/>
  <c r="J80" i="15"/>
  <c r="J84" i="15"/>
  <c r="J11" i="16"/>
  <c r="J15" i="16"/>
  <c r="J19" i="16"/>
  <c r="J23" i="16"/>
  <c r="J27" i="16"/>
  <c r="J31" i="16"/>
  <c r="J35" i="16"/>
  <c r="J39" i="16"/>
  <c r="J43" i="16"/>
  <c r="J47" i="16"/>
  <c r="J51" i="16"/>
  <c r="J55" i="16"/>
  <c r="J59" i="16"/>
  <c r="J63" i="16"/>
  <c r="J67" i="16"/>
  <c r="J71" i="16"/>
  <c r="J75" i="16"/>
  <c r="J79" i="16"/>
  <c r="J83" i="16"/>
  <c r="J14" i="1"/>
  <c r="J7" i="4"/>
  <c r="J7" i="11"/>
  <c r="J7" i="15"/>
  <c r="J22" i="3"/>
  <c r="J34" i="3"/>
  <c r="J43" i="3"/>
  <c r="J54" i="3"/>
  <c r="J66" i="3"/>
  <c r="J75" i="3"/>
  <c r="J9" i="4"/>
  <c r="J21" i="4"/>
  <c r="J30" i="4"/>
  <c r="J41" i="4"/>
  <c r="J53" i="4"/>
  <c r="J62" i="4"/>
  <c r="J73" i="4"/>
  <c r="J8" i="6"/>
  <c r="J17" i="6"/>
  <c r="J28" i="6"/>
  <c r="J40" i="6"/>
  <c r="J49" i="6"/>
  <c r="J26" i="3"/>
  <c r="J46" i="3"/>
  <c r="J67" i="3"/>
  <c r="J13" i="4"/>
  <c r="J33" i="4"/>
  <c r="J54" i="4"/>
  <c r="J77" i="4"/>
  <c r="J20" i="6"/>
  <c r="J41" i="6"/>
  <c r="J60" i="6"/>
  <c r="J73" i="6"/>
  <c r="J11" i="9"/>
  <c r="J27" i="9"/>
  <c r="J39" i="9"/>
  <c r="J52" i="9"/>
  <c r="J68" i="9"/>
  <c r="J83" i="9"/>
  <c r="J11" i="10"/>
  <c r="J23" i="10"/>
  <c r="J39" i="10"/>
  <c r="J46" i="10"/>
  <c r="J53" i="10"/>
  <c r="J61" i="10"/>
  <c r="J67" i="10"/>
  <c r="J74" i="10"/>
  <c r="J82" i="10"/>
  <c r="J12" i="11"/>
  <c r="J18" i="11"/>
  <c r="J26" i="11"/>
  <c r="J33" i="11"/>
  <c r="J40" i="11"/>
  <c r="J48" i="11"/>
  <c r="J54" i="11"/>
  <c r="J61" i="11"/>
  <c r="J69" i="11"/>
  <c r="J76" i="11"/>
  <c r="J82" i="11"/>
  <c r="J13" i="12"/>
  <c r="J20" i="12"/>
  <c r="J27" i="12"/>
  <c r="J35" i="12"/>
  <c r="J41" i="12"/>
  <c r="J48" i="12"/>
  <c r="J56" i="12"/>
  <c r="J61" i="12"/>
  <c r="J66" i="12"/>
  <c r="J72" i="12"/>
  <c r="J77" i="12"/>
  <c r="J82" i="12"/>
  <c r="J11" i="13"/>
  <c r="J16" i="13"/>
  <c r="J21" i="13"/>
  <c r="J27" i="13"/>
  <c r="J32" i="13"/>
  <c r="J37" i="13"/>
  <c r="J43" i="13"/>
  <c r="J48" i="13"/>
  <c r="J53" i="13"/>
  <c r="J59" i="13"/>
  <c r="J64" i="13"/>
  <c r="J69" i="13"/>
  <c r="J75" i="13"/>
  <c r="J80" i="13"/>
  <c r="J8" i="14"/>
  <c r="J14" i="14"/>
  <c r="J19" i="14"/>
  <c r="J24" i="14"/>
  <c r="J30" i="14"/>
  <c r="J35" i="14"/>
  <c r="J40" i="14"/>
  <c r="J46" i="14"/>
  <c r="J51" i="14"/>
  <c r="J56" i="14"/>
  <c r="J62" i="14"/>
  <c r="J67" i="14"/>
  <c r="J72" i="14"/>
  <c r="J78" i="14"/>
  <c r="J83" i="14"/>
  <c r="J11" i="15"/>
  <c r="J17" i="15"/>
  <c r="J22" i="15"/>
  <c r="J27" i="15"/>
  <c r="J33" i="15"/>
  <c r="J38" i="15"/>
  <c r="J43" i="15"/>
  <c r="J35" i="3"/>
  <c r="J59" i="3"/>
  <c r="J14" i="4"/>
  <c r="J45" i="4"/>
  <c r="J69" i="4"/>
  <c r="J24" i="6"/>
  <c r="J52" i="6"/>
  <c r="J72" i="6"/>
  <c r="J15" i="9"/>
  <c r="J31" i="9"/>
  <c r="J51" i="9"/>
  <c r="J71" i="9"/>
  <c r="J22" i="10"/>
  <c r="J41" i="10"/>
  <c r="J50" i="10"/>
  <c r="J18" i="3"/>
  <c r="J50" i="3"/>
  <c r="J78" i="3"/>
  <c r="J25" i="4"/>
  <c r="J57" i="4"/>
  <c r="J9" i="6"/>
  <c r="J33" i="6"/>
  <c r="J64" i="6"/>
  <c r="J81" i="6"/>
  <c r="J20" i="9"/>
  <c r="J43" i="9"/>
  <c r="J60" i="9"/>
  <c r="J79" i="9"/>
  <c r="J31" i="10"/>
  <c r="J45" i="10"/>
  <c r="J55" i="10"/>
  <c r="J63" i="10"/>
  <c r="J73" i="10"/>
  <c r="J83" i="10"/>
  <c r="J16" i="11"/>
  <c r="J24" i="11"/>
  <c r="J34" i="11"/>
  <c r="J44" i="11"/>
  <c r="J53" i="11"/>
  <c r="J64" i="11"/>
  <c r="J72" i="11"/>
  <c r="J81" i="11"/>
  <c r="J15" i="12"/>
  <c r="J24" i="12"/>
  <c r="J32" i="12"/>
  <c r="J43" i="12"/>
  <c r="J52" i="12"/>
  <c r="J60" i="12"/>
  <c r="J68" i="12"/>
  <c r="J74" i="12"/>
  <c r="J81" i="12"/>
  <c r="J12" i="13"/>
  <c r="J19" i="13"/>
  <c r="J25" i="13"/>
  <c r="J33" i="13"/>
  <c r="J40" i="13"/>
  <c r="J47" i="13"/>
  <c r="J55" i="13"/>
  <c r="J61" i="13"/>
  <c r="J68" i="13"/>
  <c r="J76" i="13"/>
  <c r="J83" i="13"/>
  <c r="J12" i="14"/>
  <c r="J20" i="14"/>
  <c r="J27" i="14"/>
  <c r="J34" i="14"/>
  <c r="J42" i="14"/>
  <c r="J48" i="14"/>
  <c r="J55" i="14"/>
  <c r="J63" i="14"/>
  <c r="J70" i="14"/>
  <c r="J76" i="14"/>
  <c r="J84" i="14"/>
  <c r="J14" i="15"/>
  <c r="J21" i="15"/>
  <c r="J29" i="15"/>
  <c r="J35" i="15"/>
  <c r="J42" i="15"/>
  <c r="J49" i="15"/>
  <c r="J54" i="15"/>
  <c r="J59" i="15"/>
  <c r="J65" i="15"/>
  <c r="J70" i="15"/>
  <c r="J75" i="15"/>
  <c r="J81" i="15"/>
  <c r="J9" i="16"/>
  <c r="J14" i="16"/>
  <c r="J20" i="16"/>
  <c r="J25" i="16"/>
  <c r="J30" i="16"/>
  <c r="J36" i="16"/>
  <c r="J41" i="16"/>
  <c r="J46" i="16"/>
  <c r="J52" i="16"/>
  <c r="J57" i="16"/>
  <c r="J62" i="16"/>
  <c r="J68" i="16"/>
  <c r="J73" i="16"/>
  <c r="J78" i="16"/>
  <c r="J84" i="16"/>
  <c r="J7" i="12"/>
  <c r="J77" i="16"/>
  <c r="J70" i="16"/>
  <c r="J56" i="16"/>
  <c r="J42" i="16"/>
  <c r="J28" i="16"/>
  <c r="J13" i="16"/>
  <c r="J77" i="15"/>
  <c r="J62" i="15"/>
  <c r="J47" i="15"/>
  <c r="J30" i="15"/>
  <c r="J10" i="15"/>
  <c r="J68" i="14"/>
  <c r="J50" i="14"/>
  <c r="J31" i="14"/>
  <c r="J11" i="14"/>
  <c r="J71" i="13"/>
  <c r="J60" i="13"/>
  <c r="J41" i="13"/>
  <c r="J13" i="13"/>
  <c r="J70" i="12"/>
  <c r="J62" i="12"/>
  <c r="J37" i="12"/>
  <c r="J11" i="12"/>
  <c r="J65" i="11"/>
  <c r="J38" i="11"/>
  <c r="J13" i="11"/>
  <c r="J66" i="10"/>
  <c r="J51" i="10"/>
  <c r="J19" i="9"/>
  <c r="J78" i="4"/>
  <c r="J22" i="4"/>
  <c r="J7" i="16"/>
  <c r="J76" i="16"/>
  <c r="J61" i="16"/>
  <c r="J48" i="16"/>
  <c r="J33" i="16"/>
  <c r="J18" i="16"/>
  <c r="J82" i="15"/>
  <c r="J74" i="15"/>
  <c r="J61" i="15"/>
  <c r="J46" i="15"/>
  <c r="J26" i="15"/>
  <c r="J9" i="15"/>
  <c r="J66" i="14"/>
  <c r="J47" i="14"/>
  <c r="J28" i="14"/>
  <c r="J10" i="14"/>
  <c r="J67" i="13"/>
  <c r="J49" i="13"/>
  <c r="J29" i="13"/>
  <c r="J9" i="13"/>
  <c r="J69" i="12"/>
  <c r="J47" i="12"/>
  <c r="J21" i="12"/>
  <c r="J74" i="11"/>
  <c r="J49" i="11"/>
  <c r="J22" i="11"/>
  <c r="J77" i="10"/>
  <c r="J47" i="10"/>
  <c r="J84" i="9"/>
  <c r="J84" i="6"/>
  <c r="J65" i="4"/>
  <c r="J82" i="3"/>
  <c r="J7" i="13"/>
  <c r="J7" i="6"/>
  <c r="J9" i="1"/>
  <c r="J80" i="16"/>
  <c r="J72" i="16"/>
  <c r="J65" i="16"/>
  <c r="J58" i="16"/>
  <c r="J50" i="16"/>
  <c r="J44" i="16"/>
  <c r="J37" i="16"/>
  <c r="J29" i="16"/>
  <c r="J22" i="16"/>
  <c r="J16" i="16"/>
  <c r="J8" i="16"/>
  <c r="J78" i="15"/>
  <c r="J71" i="15"/>
  <c r="J63" i="15"/>
  <c r="J57" i="15"/>
  <c r="J50" i="15"/>
  <c r="J41" i="15"/>
  <c r="J31" i="15"/>
  <c r="J23" i="15"/>
  <c r="J13" i="15"/>
  <c r="J80" i="14"/>
  <c r="J71" i="14"/>
  <c r="J60" i="14"/>
  <c r="J52" i="14"/>
  <c r="J43" i="14"/>
  <c r="J32" i="14"/>
  <c r="J23" i="14"/>
  <c r="J15" i="14"/>
  <c r="J81" i="13"/>
  <c r="J72" i="13"/>
  <c r="J63" i="13"/>
  <c r="J52" i="13"/>
  <c r="J44" i="13"/>
  <c r="J35" i="13"/>
  <c r="J24" i="13"/>
  <c r="J15" i="13"/>
  <c r="J84" i="12"/>
  <c r="J73" i="12"/>
  <c r="J64" i="12"/>
  <c r="J53" i="12"/>
  <c r="J40" i="12"/>
  <c r="J29" i="12"/>
  <c r="J16" i="12"/>
  <c r="J80" i="11"/>
  <c r="J66" i="11"/>
  <c r="J56" i="11"/>
  <c r="J42" i="11"/>
  <c r="J29" i="11"/>
  <c r="J17" i="11"/>
  <c r="J79" i="10"/>
  <c r="J69" i="10"/>
  <c r="J57" i="10"/>
  <c r="J35" i="10"/>
  <c r="J63" i="9"/>
  <c r="J28" i="9"/>
  <c r="J65" i="6"/>
  <c r="J12" i="6"/>
  <c r="J37" i="4"/>
  <c r="J58" i="3"/>
  <c r="O8" i="19"/>
  <c r="M9" i="19"/>
  <c r="I9" i="19"/>
  <c r="E9" i="19"/>
  <c r="O88" i="23"/>
  <c r="O15" i="23"/>
  <c r="C11" i="23"/>
  <c r="O22" i="23"/>
  <c r="O9" i="23"/>
  <c r="C16" i="23"/>
  <c r="P88" i="23"/>
  <c r="P15" i="23"/>
  <c r="P22" i="23"/>
  <c r="P9" i="23"/>
  <c r="O62" i="23"/>
  <c r="O13" i="23"/>
  <c r="O75" i="23"/>
  <c r="O14" i="23"/>
  <c r="O36" i="23"/>
  <c r="O10" i="23"/>
  <c r="I18" i="29"/>
  <c r="G10" i="38"/>
  <c r="J9" i="30"/>
  <c r="J17" i="30"/>
  <c r="J18" i="30"/>
  <c r="O49" i="23"/>
  <c r="O12" i="23"/>
  <c r="K17" i="23"/>
  <c r="K18" i="23"/>
  <c r="P49" i="23"/>
  <c r="P12" i="23"/>
  <c r="P36" i="23"/>
  <c r="P10" i="23"/>
  <c r="P62" i="23"/>
  <c r="P13" i="23"/>
  <c r="E9" i="30"/>
  <c r="C17" i="23"/>
  <c r="C18" i="23"/>
  <c r="D8" i="23"/>
  <c r="L17" i="23"/>
  <c r="L18" i="23"/>
  <c r="P75" i="23"/>
  <c r="P14" i="23"/>
  <c r="E8" i="30"/>
  <c r="N17" i="23"/>
  <c r="N18" i="23"/>
  <c r="G16" i="23"/>
  <c r="K18" i="29"/>
  <c r="J16" i="23"/>
  <c r="J17" i="23"/>
  <c r="J18" i="23"/>
  <c r="D16" i="23"/>
  <c r="D17" i="23"/>
  <c r="D18" i="23"/>
  <c r="J14" i="30"/>
  <c r="L18" i="29"/>
  <c r="E18" i="29"/>
  <c r="I16" i="23"/>
  <c r="I17" i="23"/>
  <c r="I18" i="23"/>
  <c r="O11" i="30"/>
  <c r="E17" i="30"/>
  <c r="G18" i="29"/>
  <c r="O8" i="30"/>
  <c r="J11" i="30"/>
  <c r="J15" i="30"/>
  <c r="O9" i="30"/>
  <c r="N8" i="3"/>
  <c r="C9" i="19"/>
  <c r="O9" i="29"/>
  <c r="P9" i="29"/>
  <c r="M18" i="29"/>
  <c r="N17" i="30"/>
  <c r="M16" i="23"/>
  <c r="M17" i="23"/>
  <c r="M18" i="23"/>
  <c r="G17" i="23"/>
  <c r="G18" i="23"/>
  <c r="J13" i="30"/>
  <c r="O10" i="30"/>
  <c r="E16" i="30"/>
  <c r="O17" i="29"/>
  <c r="O16" i="29"/>
  <c r="C18" i="29"/>
  <c r="E18" i="30"/>
  <c r="D18" i="29"/>
  <c r="J8" i="30"/>
  <c r="E11" i="30"/>
  <c r="E16" i="23"/>
  <c r="E17" i="23"/>
  <c r="E18" i="23"/>
  <c r="J16" i="30"/>
  <c r="O11" i="23"/>
  <c r="E12" i="30"/>
  <c r="E13" i="30"/>
  <c r="N18" i="29"/>
  <c r="E14" i="30"/>
  <c r="O13" i="30"/>
  <c r="J10" i="30"/>
  <c r="O12" i="30"/>
  <c r="H16" i="23"/>
  <c r="H17" i="23"/>
  <c r="H18" i="23"/>
  <c r="E10" i="30"/>
  <c r="J12" i="30"/>
  <c r="P11" i="23"/>
  <c r="F11" i="29"/>
  <c r="N9" i="6"/>
  <c r="E10" i="19"/>
  <c r="E11" i="19"/>
  <c r="H10" i="19"/>
  <c r="I11" i="29"/>
  <c r="F10" i="19"/>
  <c r="F9" i="19"/>
  <c r="D10" i="19"/>
  <c r="G10" i="19"/>
  <c r="J10" i="19"/>
  <c r="K11" i="29"/>
  <c r="B10" i="19"/>
  <c r="B11" i="19"/>
  <c r="B12" i="19"/>
  <c r="C8" i="19"/>
  <c r="K9" i="19"/>
  <c r="K10" i="19"/>
  <c r="G9" i="19"/>
  <c r="H11" i="29"/>
  <c r="D9" i="19"/>
  <c r="C10" i="19"/>
  <c r="P16" i="22"/>
  <c r="O16" i="22"/>
  <c r="N10" i="12"/>
  <c r="N10" i="13"/>
  <c r="J9" i="19"/>
  <c r="L9" i="19"/>
  <c r="L11" i="19"/>
  <c r="N10" i="15"/>
  <c r="I10" i="19"/>
  <c r="N10" i="9"/>
  <c r="M10" i="19"/>
  <c r="M11" i="19"/>
  <c r="N10" i="14"/>
  <c r="N10" i="11"/>
  <c r="H9" i="19"/>
  <c r="N10" i="10"/>
  <c r="N10" i="4"/>
  <c r="N10" i="1"/>
  <c r="O16" i="23"/>
  <c r="P16" i="23"/>
  <c r="N10" i="3"/>
  <c r="G14" i="38"/>
  <c r="O18" i="23"/>
  <c r="O18" i="29"/>
  <c r="O17" i="23"/>
  <c r="P17" i="23"/>
  <c r="N10" i="6"/>
  <c r="D11" i="19"/>
  <c r="F11" i="19"/>
  <c r="H11" i="19"/>
  <c r="E11" i="29"/>
  <c r="J11" i="19"/>
  <c r="K11" i="19"/>
  <c r="G11" i="19"/>
  <c r="C11" i="19"/>
  <c r="C12" i="19"/>
  <c r="D8" i="19"/>
  <c r="N11" i="29"/>
  <c r="N10" i="16"/>
  <c r="L11" i="29"/>
  <c r="G11" i="29"/>
  <c r="F7" i="42"/>
  <c r="P10" i="29"/>
  <c r="P11" i="29"/>
  <c r="O10" i="29"/>
  <c r="C11" i="29"/>
  <c r="D11" i="29"/>
  <c r="M11" i="29"/>
  <c r="D7" i="22"/>
  <c r="D17" i="22"/>
  <c r="N10" i="19"/>
  <c r="N9" i="19"/>
  <c r="I11" i="19"/>
  <c r="O10" i="19"/>
  <c r="O9" i="19"/>
  <c r="H10" i="38"/>
  <c r="D12" i="19"/>
  <c r="E8" i="19"/>
  <c r="E12" i="19"/>
  <c r="F8" i="19"/>
  <c r="F12" i="19"/>
  <c r="G8" i="19"/>
  <c r="G12" i="19"/>
  <c r="H8" i="19"/>
  <c r="H12" i="19"/>
  <c r="I8" i="19"/>
  <c r="I12" i="19"/>
  <c r="J8" i="19"/>
  <c r="J12" i="19"/>
  <c r="K8" i="19"/>
  <c r="K12" i="19"/>
  <c r="L8" i="19"/>
  <c r="L12" i="19"/>
  <c r="M8" i="19"/>
  <c r="M12" i="19"/>
  <c r="O12" i="19"/>
  <c r="N11" i="19"/>
  <c r="O11" i="29"/>
  <c r="C12" i="29"/>
  <c r="D8" i="29"/>
  <c r="D12" i="29"/>
  <c r="E8" i="29"/>
  <c r="E12" i="29"/>
  <c r="F8" i="29"/>
  <c r="F12" i="29"/>
  <c r="G8" i="29"/>
  <c r="E8" i="23"/>
  <c r="O11" i="19"/>
  <c r="H14" i="38"/>
  <c r="I10" i="38"/>
  <c r="I14" i="38"/>
  <c r="J10" i="38"/>
  <c r="J14" i="38"/>
  <c r="K10" i="38"/>
  <c r="K14" i="38"/>
  <c r="L10" i="38"/>
  <c r="L14" i="38"/>
  <c r="M10" i="38"/>
  <c r="M14" i="38"/>
  <c r="N10" i="38"/>
  <c r="N14" i="38"/>
  <c r="G12" i="29"/>
  <c r="F8" i="42"/>
  <c r="E7" i="22"/>
  <c r="N12" i="19"/>
  <c r="N8" i="19"/>
  <c r="O10" i="38"/>
  <c r="P14" i="38"/>
  <c r="O14" i="38"/>
  <c r="H8" i="29"/>
  <c r="F8" i="23"/>
  <c r="E17" i="22"/>
  <c r="H12" i="29"/>
  <c r="I8" i="29"/>
  <c r="I12" i="29"/>
  <c r="J8" i="29"/>
  <c r="J12" i="29"/>
  <c r="K8" i="29"/>
  <c r="K12" i="29"/>
  <c r="L8" i="29"/>
  <c r="L12" i="29"/>
  <c r="M8" i="29"/>
  <c r="M12" i="29"/>
  <c r="N8" i="29"/>
  <c r="N12" i="29"/>
  <c r="F7" i="22"/>
  <c r="O8" i="29"/>
  <c r="P12" i="29"/>
  <c r="O12" i="29"/>
  <c r="G8" i="23"/>
  <c r="F17" i="22"/>
  <c r="G7" i="22"/>
  <c r="H8" i="23"/>
  <c r="G17" i="22"/>
  <c r="I8" i="23"/>
  <c r="J8" i="23"/>
  <c r="K8" i="23"/>
  <c r="H7" i="22"/>
  <c r="L8" i="23"/>
  <c r="H17" i="22"/>
  <c r="I7" i="22"/>
  <c r="I17" i="22"/>
  <c r="J7" i="22"/>
  <c r="J17" i="22"/>
  <c r="K7" i="22"/>
  <c r="K17" i="22"/>
  <c r="L7" i="22"/>
  <c r="L17" i="22"/>
  <c r="M7" i="22"/>
  <c r="M17" i="22"/>
  <c r="N7" i="22"/>
  <c r="N17" i="22"/>
  <c r="M8" i="23"/>
  <c r="N8" i="23"/>
  <c r="O7" i="22"/>
  <c r="P17" i="22"/>
  <c r="O17" i="22"/>
  <c r="O8" i="23"/>
  <c r="P18" i="23"/>
  <c r="M17" i="30"/>
  <c r="O17" i="30"/>
</calcChain>
</file>

<file path=xl/comments1.xml><?xml version="1.0" encoding="utf-8"?>
<comments xmlns="http://schemas.openxmlformats.org/spreadsheetml/2006/main">
  <authors>
    <author>Kali</author>
  </authors>
  <commentList>
    <comment ref="C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O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O9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O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O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A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O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2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3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4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5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6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7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8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9.xml><?xml version="1.0" encoding="utf-8"?>
<comments xmlns="http://schemas.openxmlformats.org/spreadsheetml/2006/main">
  <authors>
    <author>Kali</author>
  </authors>
  <commentList>
    <comment ref="D35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0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1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2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3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4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9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5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</commentList>
</comments>
</file>

<file path=xl/comments16.xml><?xml version="1.0" encoding="utf-8"?>
<comments xmlns="http://schemas.openxmlformats.org/spreadsheetml/2006/main">
  <authors>
    <author>Kali</author>
  </authors>
  <commentList>
    <comment ref="D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3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4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4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7.xml><?xml version="1.0" encoding="utf-8"?>
<comments xmlns="http://schemas.openxmlformats.org/spreadsheetml/2006/main">
  <authors>
    <author>Kali</author>
  </authors>
  <commentList>
    <comment ref="D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6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8.xml><?xml version="1.0" encoding="utf-8"?>
<comments xmlns="http://schemas.openxmlformats.org/spreadsheetml/2006/main">
  <authors>
    <author>Kali</author>
  </authors>
  <commentLis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G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L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</commentList>
</comments>
</file>

<file path=xl/comments19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6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sharedStrings.xml><?xml version="1.0" encoding="utf-8"?>
<sst xmlns="http://schemas.openxmlformats.org/spreadsheetml/2006/main" count="3011" uniqueCount="198">
  <si>
    <t>VALOR</t>
  </si>
  <si>
    <t>CLASSIFICAÇÃO</t>
  </si>
  <si>
    <t>DESCRIÇÃO</t>
  </si>
  <si>
    <t>RECEITA</t>
  </si>
  <si>
    <t>DESPESA</t>
  </si>
  <si>
    <t>Papel higienico</t>
  </si>
  <si>
    <t>roupa</t>
  </si>
  <si>
    <t>leite</t>
  </si>
  <si>
    <t>massa</t>
  </si>
  <si>
    <t>arroz</t>
  </si>
  <si>
    <t>fuba</t>
  </si>
  <si>
    <t>Dinheiro de Aluguel Recebido</t>
  </si>
  <si>
    <t>anuncios</t>
  </si>
  <si>
    <t>transporte</t>
  </si>
  <si>
    <t>RESUMO MENSAL</t>
  </si>
  <si>
    <t>SALDO FINANCEIRO</t>
  </si>
  <si>
    <t>Doações</t>
  </si>
  <si>
    <t>Lucro juros</t>
  </si>
  <si>
    <t>Pagamento dívidas</t>
  </si>
  <si>
    <t>CONTROLE FINANCEIRO MENSAL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</si>
  <si>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</si>
  <si>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</si>
  <si>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</si>
  <si>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</si>
  <si>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</si>
  <si>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</si>
  <si>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</si>
  <si>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</si>
  <si>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</si>
  <si>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</si>
  <si>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</si>
  <si>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</si>
  <si>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</si>
  <si>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SALDO INICIAL</t>
  </si>
  <si>
    <t>RECEITAS</t>
  </si>
  <si>
    <t>DESPESAS</t>
  </si>
  <si>
    <t>VALOR ACUMULADO</t>
  </si>
  <si>
    <t xml:space="preserve">TOTAL DOS MESES </t>
  </si>
  <si>
    <t>GRAFICO FLUXO DE CAIXA</t>
  </si>
  <si>
    <t>RECEITAS COM PRODUTOS</t>
  </si>
  <si>
    <t>RECEITAS COM SERVIÇOS</t>
  </si>
  <si>
    <t>DESPESAS COM PRODUTOS</t>
  </si>
  <si>
    <t>DESPESAS COM RH</t>
  </si>
  <si>
    <t>DESPESAS OPERACIONAIS</t>
  </si>
  <si>
    <t>-</t>
  </si>
  <si>
    <t>PLANILHAS EMPRESARIAS</t>
  </si>
  <si>
    <t>CURSOS ONLINE</t>
  </si>
  <si>
    <t>APRESENTAÇÕES</t>
  </si>
  <si>
    <t>CONSULTORIA</t>
  </si>
  <si>
    <t>PERSONALIZAÇÃO DE PLANILHAS</t>
  </si>
  <si>
    <t>TERCERIZADOS</t>
  </si>
  <si>
    <t>ESTUDIOS GRAVAÇÃO</t>
  </si>
  <si>
    <t>MARKETING ONLINE</t>
  </si>
  <si>
    <t>MARKETING OFFLINE</t>
  </si>
  <si>
    <t>ALUGUEL</t>
  </si>
  <si>
    <t>CONTABILIDADE</t>
  </si>
  <si>
    <t>CONTAS A PAGAR</t>
  </si>
  <si>
    <t>SALARIO</t>
  </si>
  <si>
    <t>TREINAMENTO</t>
  </si>
  <si>
    <t>ACTUALIZAÇÕES</t>
  </si>
  <si>
    <t>LISTA AUXILIAR</t>
  </si>
  <si>
    <t>OUTRAS RECEITAS COM SERVIÇOS</t>
  </si>
  <si>
    <t>REC_PROD</t>
  </si>
  <si>
    <t>DESP_MKT</t>
  </si>
  <si>
    <t>DESP_OP</t>
  </si>
  <si>
    <t>REC_SER</t>
  </si>
  <si>
    <t>DESP_RH</t>
  </si>
  <si>
    <t>DESP_PROD</t>
  </si>
  <si>
    <t>PLANO DE CONTAS</t>
  </si>
  <si>
    <t>COLUNA AUXILIAR DO PROCV</t>
  </si>
  <si>
    <t>OUTRAS DESPESAS OPERACIONAIS</t>
  </si>
  <si>
    <t>OUTRAS DESPESAS HR</t>
  </si>
  <si>
    <t>OUTRAS DESPESAS MKT</t>
  </si>
  <si>
    <t>OUTRAS DESPESAS PROD</t>
  </si>
  <si>
    <t>OUTRAS RECEITAS COM PROD</t>
  </si>
  <si>
    <t>RECEITA / DESPESA</t>
  </si>
  <si>
    <t>DESPESAS COM MARKETING</t>
  </si>
  <si>
    <t>DRE</t>
  </si>
  <si>
    <t>DRE1</t>
  </si>
  <si>
    <t xml:space="preserve"> </t>
  </si>
  <si>
    <t>DATA DE PAGAMENTO</t>
  </si>
  <si>
    <t>DATA DE LANÇAMENTO</t>
  </si>
  <si>
    <t>DIA</t>
  </si>
  <si>
    <t>MÊS</t>
  </si>
  <si>
    <t>CORRESPONDÊNCIA DO MÊS</t>
  </si>
  <si>
    <t>DIA PAGAMENTO</t>
  </si>
  <si>
    <t>MES PAGAMENTO</t>
  </si>
  <si>
    <t>CORRESPONDENCIA</t>
  </si>
  <si>
    <t>PAGO / NAO PAGO</t>
  </si>
  <si>
    <t>FEVEREIRO</t>
  </si>
  <si>
    <t>MARCO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</si>
  <si>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</si>
  <si>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</si>
  <si>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</si>
  <si>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</si>
  <si>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</si>
  <si>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</si>
  <si>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</si>
  <si>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</si>
  <si>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JANEIRO</t>
  </si>
  <si>
    <t>FIM DAS CONTAS</t>
  </si>
  <si>
    <t>CORRESPONDECIA DOS MESES</t>
  </si>
  <si>
    <t>FLUXO DE CAIXA</t>
  </si>
  <si>
    <t>RESULTADO</t>
  </si>
  <si>
    <t>DESMONSTRATIVO DE CONTAS</t>
  </si>
  <si>
    <t>CONTAS A RECEBER</t>
  </si>
  <si>
    <t>NECESSIDADE DE CAIXA</t>
  </si>
  <si>
    <t>,</t>
  </si>
  <si>
    <t/>
  </si>
  <si>
    <t>FILIAIS DO VISÃO JUVENIL</t>
  </si>
  <si>
    <t>ZANGO 3</t>
  </si>
  <si>
    <t>CACUACO</t>
  </si>
  <si>
    <t>VILA DE VIANA</t>
  </si>
  <si>
    <t>BENFICA</t>
  </si>
  <si>
    <t>CALEMBA 2</t>
  </si>
  <si>
    <t>GOLF 2</t>
  </si>
  <si>
    <t>VILA ALICE</t>
  </si>
  <si>
    <t>CATETE</t>
  </si>
  <si>
    <t>ZANGO 8000</t>
  </si>
  <si>
    <t>ESTALAGEM</t>
  </si>
  <si>
    <t>MUTAMBA</t>
  </si>
  <si>
    <t>CENTROS / FILIAIS</t>
  </si>
  <si>
    <t>CENTROS FILIAIS</t>
  </si>
  <si>
    <t>SELECIONE O CENTRO DE CUSTOS</t>
  </si>
  <si>
    <t>ZANGO 4</t>
  </si>
  <si>
    <t>ZANGO 5</t>
  </si>
  <si>
    <t>ZANGO 6</t>
  </si>
  <si>
    <t>ZANGO 7</t>
  </si>
  <si>
    <t>GOLF 3</t>
  </si>
  <si>
    <t>GOLF 4</t>
  </si>
  <si>
    <t>GOLF 5</t>
  </si>
  <si>
    <t>GOLF 6</t>
  </si>
  <si>
    <t>GOLF 7</t>
  </si>
  <si>
    <t>GOLF 8</t>
  </si>
  <si>
    <t>GOLF 9</t>
  </si>
  <si>
    <t>GOLF 10</t>
  </si>
  <si>
    <t>GOLF 11</t>
  </si>
  <si>
    <t>GOLF 12</t>
  </si>
  <si>
    <t>GOLF 13</t>
  </si>
  <si>
    <t>GOLF 14</t>
  </si>
  <si>
    <t>GOLF 15</t>
  </si>
  <si>
    <t>GOLF 16</t>
  </si>
  <si>
    <t>GOLF 17</t>
  </si>
  <si>
    <t>GOLF 18</t>
  </si>
  <si>
    <t>GOLF 19</t>
  </si>
  <si>
    <t>GOLF 20</t>
  </si>
  <si>
    <t>GOLF 21</t>
  </si>
  <si>
    <t>GOLF 22</t>
  </si>
  <si>
    <t>GOLF 23</t>
  </si>
  <si>
    <t>GOLF 24</t>
  </si>
  <si>
    <t>GOLF 25</t>
  </si>
  <si>
    <t>GOLF 26</t>
  </si>
  <si>
    <t>GOLF 27</t>
  </si>
  <si>
    <t>GOLF 28</t>
  </si>
  <si>
    <t>GOLF 29</t>
  </si>
  <si>
    <t>GOLF 30</t>
  </si>
  <si>
    <t>GOLF 31</t>
  </si>
  <si>
    <t>GOLF 32</t>
  </si>
  <si>
    <t>GOLF 33</t>
  </si>
  <si>
    <t>GOLF 34</t>
  </si>
  <si>
    <t>GOLF 35</t>
  </si>
  <si>
    <t>GOLF 36</t>
  </si>
  <si>
    <t>GOLF 37</t>
  </si>
  <si>
    <t>GOLF 38</t>
  </si>
  <si>
    <t>GOLF 39</t>
  </si>
  <si>
    <t>GOLF 40</t>
  </si>
  <si>
    <t>GOLF 41</t>
  </si>
  <si>
    <t>GOLF 42</t>
  </si>
  <si>
    <t>GOLF 43</t>
  </si>
  <si>
    <t>GOLF 44</t>
  </si>
  <si>
    <t>GOLF 45</t>
  </si>
  <si>
    <t>GOLF 46</t>
  </si>
  <si>
    <t>GOLF 47</t>
  </si>
  <si>
    <t>GOLF 48</t>
  </si>
  <si>
    <t>GOLF 49</t>
  </si>
  <si>
    <t>GOLF 50</t>
  </si>
  <si>
    <t>GOLF 51</t>
  </si>
  <si>
    <t>GOLF 52</t>
  </si>
  <si>
    <t>GOLF 53</t>
  </si>
  <si>
    <t>GOLF 54</t>
  </si>
  <si>
    <t>GOLF 55</t>
  </si>
  <si>
    <t>TENDENCIAS</t>
  </si>
  <si>
    <t>meses</t>
  </si>
  <si>
    <t>caixa de vinculo de selecao</t>
  </si>
  <si>
    <t>KPIs  A DESTACAR</t>
  </si>
  <si>
    <t>VALORES</t>
  </si>
  <si>
    <t>INDICADORES A USAR</t>
  </si>
  <si>
    <t>TIPOS</t>
  </si>
  <si>
    <t>RESULTADOS</t>
  </si>
  <si>
    <t>NUMÉRICO</t>
  </si>
  <si>
    <t>GRÁFCO</t>
  </si>
  <si>
    <t>ACUMULADO</t>
  </si>
  <si>
    <t>VINCULO DA CELULA DA CAIXA DE OPÇÕES</t>
  </si>
  <si>
    <t>linhas</t>
  </si>
  <si>
    <t>ESCOLHA DE INDICADORES</t>
  </si>
  <si>
    <t>TIPO</t>
  </si>
  <si>
    <t>RESULTADO DE CENTRO DE CUSTOS</t>
  </si>
  <si>
    <t>INDICADOR (MÊS + GRÁFICO MENSAL) + 2 FILIAIS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</si>
</sst>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AOA]\ #,##0.00"/>
    <numFmt numFmtId="165" formatCode="_([$AOA]\ * #,##0.00_);_([$AOA]\ * \(#,##0.00\);_([$AOA]\ * &quot;-&quot;??_);_(@_)"/>
    <numFmt numFmtId="166" formatCode="&quot;$&quot;#,##0.00"/>
  </numFmts>
  <fonts count="1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26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indexed="18"/>
      <name val="Calibri"/>
      <family val="2"/>
    </font>
    <font>
      <sz val="11"/>
      <color theme="4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2" xfId="0" applyBorder="1"/>
    <xf numFmtId="164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165" fontId="5" fillId="3" borderId="0" xfId="0" applyNumberFormat="1" applyFont="1" applyFill="1"/>
    <xf numFmtId="0" fontId="6" fillId="2" borderId="1" xfId="0" applyFont="1" applyFill="1" applyBorder="1" applyAlignment="1">
      <alignment horizontal="left" vertical="center"/>
    </xf>
    <xf numFmtId="165" fontId="5" fillId="5" borderId="0" xfId="0" applyNumberFormat="1" applyFont="1" applyFill="1"/>
    <xf numFmtId="0" fontId="5" fillId="0" borderId="0" xfId="0" applyFont="1"/>
    <xf numFmtId="0" fontId="7" fillId="4" borderId="0" xfId="0" applyFont="1" applyFill="1" applyAlignment="1">
      <alignment vertical="center"/>
    </xf>
    <xf numFmtId="0" fontId="6" fillId="2" borderId="1" xfId="0" applyFont="1" applyFill="1" applyBorder="1" applyAlignment="1">
      <alignment horizontal="left" vertical="top"/>
    </xf>
    <xf numFmtId="0" fontId="5" fillId="4" borderId="0" xfId="0" applyFont="1" applyFill="1" applyAlignment="1">
      <alignment vertical="top"/>
    </xf>
    <xf numFmtId="0" fontId="8" fillId="0" borderId="0" xfId="0" applyFont="1"/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4" borderId="0" xfId="0" applyFont="1" applyFill="1" applyAlignment="1">
      <alignment horizontal="left" vertical="top"/>
    </xf>
    <xf numFmtId="165" fontId="0" fillId="0" borderId="0" xfId="0" applyNumberFormat="1" applyAlignment="1">
      <alignment horizontal="left" vertical="top"/>
    </xf>
    <xf numFmtId="165" fontId="0" fillId="7" borderId="0" xfId="0" applyNumberFormat="1" applyFill="1" applyAlignment="1">
      <alignment horizontal="left" vertical="top"/>
    </xf>
    <xf numFmtId="165" fontId="0" fillId="4" borderId="0" xfId="0" applyNumberFormat="1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left" vertical="top"/>
    </xf>
    <xf numFmtId="0" fontId="0" fillId="4" borderId="0" xfId="0" applyFont="1" applyFill="1" applyAlignment="1">
      <alignment vertical="top"/>
    </xf>
    <xf numFmtId="0" fontId="0" fillId="0" borderId="0" xfId="0" applyFont="1"/>
    <xf numFmtId="165" fontId="0" fillId="4" borderId="0" xfId="0" applyNumberFormat="1" applyFont="1" applyFill="1" applyAlignment="1">
      <alignment vertical="top"/>
    </xf>
    <xf numFmtId="165" fontId="0" fillId="0" borderId="0" xfId="0" applyNumberFormat="1" applyFont="1" applyAlignment="1">
      <alignment vertical="top"/>
    </xf>
    <xf numFmtId="0" fontId="4" fillId="6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8" borderId="7" xfId="0" applyFill="1" applyBorder="1" applyAlignment="1">
      <alignment wrapText="1"/>
    </xf>
    <xf numFmtId="0" fontId="0" fillId="8" borderId="9" xfId="0" applyFill="1" applyBorder="1" applyAlignment="1">
      <alignment wrapText="1"/>
    </xf>
    <xf numFmtId="14" fontId="0" fillId="8" borderId="7" xfId="0" applyNumberFormat="1" applyFill="1" applyBorder="1" applyAlignment="1">
      <alignment wrapText="1"/>
    </xf>
    <xf numFmtId="14" fontId="0" fillId="0" borderId="0" xfId="0" applyNumberFormat="1"/>
    <xf numFmtId="14" fontId="0" fillId="8" borderId="9" xfId="0" applyNumberFormat="1" applyFill="1" applyBorder="1" applyAlignment="1">
      <alignment wrapText="1"/>
    </xf>
    <xf numFmtId="0" fontId="0" fillId="8" borderId="7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 wrapText="1"/>
    </xf>
    <xf numFmtId="14" fontId="0" fillId="8" borderId="9" xfId="0" applyNumberForma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9" fillId="8" borderId="0" xfId="0" applyFont="1" applyFill="1"/>
    <xf numFmtId="0" fontId="0" fillId="8" borderId="0" xfId="0" applyFill="1"/>
    <xf numFmtId="0" fontId="0" fillId="0" borderId="6" xfId="0" applyBorder="1"/>
    <xf numFmtId="0" fontId="5" fillId="4" borderId="0" xfId="0" applyFont="1" applyFill="1" applyAlignment="1">
      <alignment horizontal="center" vertical="center"/>
    </xf>
    <xf numFmtId="166" fontId="0" fillId="0" borderId="0" xfId="0" applyNumberFormat="1" applyAlignment="1">
      <alignment vertical="top"/>
    </xf>
    <xf numFmtId="164" fontId="0" fillId="0" borderId="11" xfId="0" applyNumberForma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6" fontId="0" fillId="0" borderId="0" xfId="0" applyNumberFormat="1"/>
    <xf numFmtId="0" fontId="5" fillId="2" borderId="0" xfId="0" applyFont="1" applyFill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9" borderId="0" xfId="0" applyFont="1" applyFill="1" applyAlignment="1"/>
    <xf numFmtId="0" fontId="6" fillId="2" borderId="0" xfId="0" applyFont="1" applyFill="1" applyBorder="1" applyAlignment="1">
      <alignment horizontal="left" vertical="top" wrapText="1"/>
    </xf>
    <xf numFmtId="166" fontId="0" fillId="10" borderId="0" xfId="0" applyNumberFormat="1" applyFill="1" applyAlignment="1">
      <alignment vertical="top"/>
    </xf>
    <xf numFmtId="0" fontId="5" fillId="4" borderId="0" xfId="0" applyFont="1" applyFill="1" applyAlignment="1">
      <alignment horizontal="center" vertical="center"/>
    </xf>
    <xf numFmtId="0" fontId="0" fillId="11" borderId="0" xfId="0" applyFill="1"/>
    <xf numFmtId="14" fontId="0" fillId="11" borderId="0" xfId="0" applyNumberFormat="1" applyFill="1"/>
    <xf numFmtId="0" fontId="0" fillId="11" borderId="0" xfId="0" applyFont="1" applyFill="1"/>
    <xf numFmtId="164" fontId="0" fillId="11" borderId="0" xfId="0" applyNumberFormat="1" applyFill="1"/>
    <xf numFmtId="0" fontId="12" fillId="0" borderId="0" xfId="0" applyFont="1"/>
    <xf numFmtId="0" fontId="9" fillId="12" borderId="0" xfId="0" applyFont="1" applyFill="1"/>
    <xf numFmtId="14" fontId="0" fillId="8" borderId="8" xfId="0" applyNumberFormat="1" applyFill="1" applyBorder="1" applyAlignment="1">
      <alignment wrapText="1"/>
    </xf>
    <xf numFmtId="0" fontId="0" fillId="8" borderId="9" xfId="0" applyNumberFormat="1" applyFill="1" applyBorder="1" applyAlignment="1">
      <alignment wrapText="1"/>
    </xf>
    <xf numFmtId="164" fontId="0" fillId="8" borderId="9" xfId="0" applyNumberFormat="1" applyFill="1" applyBorder="1" applyAlignment="1">
      <alignment wrapText="1"/>
    </xf>
    <xf numFmtId="0" fontId="13" fillId="5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0" fillId="13" borderId="0" xfId="0" applyFill="1"/>
    <xf numFmtId="0" fontId="0" fillId="0" borderId="0" xfId="0" applyBorder="1"/>
    <xf numFmtId="0" fontId="0" fillId="0" borderId="4" xfId="0" applyBorder="1"/>
    <xf numFmtId="0" fontId="0" fillId="0" borderId="0" xfId="0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0" borderId="0" xfId="0" applyFont="1" applyAlignment="1">
      <alignment horizontal="center" vertical="center"/>
    </xf>
    <xf numFmtId="166" fontId="0" fillId="10" borderId="0" xfId="0" applyNumberFormat="1" applyFill="1" applyAlignment="1">
      <alignment horizontal="center" vertical="center"/>
    </xf>
    <xf numFmtId="165" fontId="0" fillId="0" borderId="13" xfId="0" applyNumberFormat="1" applyBorder="1"/>
    <xf numFmtId="166" fontId="14" fillId="0" borderId="4" xfId="0" applyNumberFormat="1" applyFont="1" applyBorder="1" applyAlignment="1">
      <alignment horizontal="center" wrapText="1"/>
    </xf>
    <xf numFmtId="0" fontId="15" fillId="0" borderId="4" xfId="0" applyFont="1" applyBorder="1" applyAlignment="1">
      <alignment horizontal="center" vertical="center"/>
    </xf>
    <xf numFmtId="1" fontId="0" fillId="0" borderId="0" xfId="0" applyNumberFormat="1"/>
    <xf numFmtId="0" fontId="5" fillId="4" borderId="0" xfId="0" applyFont="1" applyFill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165" fontId="11" fillId="0" borderId="12" xfId="0" applyNumberFormat="1" applyFont="1" applyBorder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0" xfId="0" applyBorder="1" applyAlignment="1">
      <alignment horizontal="center" wrapText="1"/>
    </xf>
    <xf numFmtId="164" fontId="14" fillId="3" borderId="0" xfId="0" applyNumberFormat="1" applyFont="1" applyFill="1" applyBorder="1" applyAlignment="1">
      <alignment horizontal="center" wrapText="1"/>
    </xf>
    <xf numFmtId="164" fontId="16" fillId="0" borderId="0" xfId="0" applyNumberFormat="1" applyFont="1" applyAlignment="1">
      <alignment horizontal="center" vertical="center"/>
    </xf>
    <xf numFmtId="164" fontId="14" fillId="6" borderId="0" xfId="0" applyNumberFormat="1" applyFont="1" applyFill="1" applyBorder="1" applyAlignment="1">
      <alignment horizontal="center" wrapText="1"/>
    </xf>
    <xf numFmtId="0" fontId="7" fillId="11" borderId="0" xfId="0" applyFont="1" applyFill="1" applyBorder="1" applyAlignment="1">
      <alignment vertical="center"/>
    </xf>
    <xf numFmtId="0" fontId="7" fillId="11" borderId="0" xfId="0" applyFont="1" applyFill="1" applyBorder="1" applyAlignment="1">
      <alignment horizontal="center" vertical="center"/>
    </xf>
  </cellXfs>
  <cellStyles count="1">
    <cellStyle name="Normal" xfId="0" builtinId="0"/>
  </cellStyles>
  <dxfs count="577"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1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7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590692196895071E-3"/>
          <c:y val="3.1439371545727455E-3"/>
          <c:w val="0.98363877890479956"/>
          <c:h val="0.977748777031147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1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38858840"/>
        <c:axId val="338859624"/>
      </c:barChart>
      <c:lineChart>
        <c:grouping val="standard"/>
        <c:varyColors val="0"/>
        <c:ser>
          <c:idx val="2"/>
          <c:order val="2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222.26666666666756</c:v>
                </c:pt>
              </c:numCache>
            </c:numRef>
          </c:val>
          <c:smooth val="1"/>
        </c:ser>
        <c:ser>
          <c:idx val="0"/>
          <c:order val="3"/>
          <c:tx>
            <c:strRef>
              <c:f>'FLUXO DE CAIXA'!$A$12</c:f>
              <c:strCache>
                <c:ptCount val="1"/>
                <c:pt idx="0">
                  <c:v>VALOR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CAIXA'!$B$12:$O$12</c:f>
              <c:numCache>
                <c:formatCode>"$"#,##0.00</c:formatCode>
                <c:ptCount val="14"/>
                <c:pt idx="0">
                  <c:v>411</c:v>
                </c:pt>
                <c:pt idx="1">
                  <c:v>1195</c:v>
                </c:pt>
                <c:pt idx="2">
                  <c:v>1393</c:v>
                </c:pt>
                <c:pt idx="3">
                  <c:v>1393</c:v>
                </c:pt>
                <c:pt idx="4">
                  <c:v>2567</c:v>
                </c:pt>
                <c:pt idx="5">
                  <c:v>2567</c:v>
                </c:pt>
                <c:pt idx="6">
                  <c:v>2957</c:v>
                </c:pt>
                <c:pt idx="7">
                  <c:v>2957</c:v>
                </c:pt>
                <c:pt idx="8">
                  <c:v>2351</c:v>
                </c:pt>
                <c:pt idx="9">
                  <c:v>904.60000000000036</c:v>
                </c:pt>
                <c:pt idx="10">
                  <c:v>618.93333333333396</c:v>
                </c:pt>
                <c:pt idx="11">
                  <c:v>333.26666666666756</c:v>
                </c:pt>
                <c:pt idx="12">
                  <c:v>19647.8</c:v>
                </c:pt>
                <c:pt idx="13">
                  <c:v>333.26666666666756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858840"/>
        <c:axId val="338859624"/>
      </c:lineChart>
      <c:catAx>
        <c:axId val="338858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59624"/>
        <c:crosses val="autoZero"/>
        <c:auto val="1"/>
        <c:lblAlgn val="ctr"/>
        <c:lblOffset val="100"/>
        <c:noMultiLvlLbl val="0"/>
      </c:catAx>
      <c:valAx>
        <c:axId val="33885962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338858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5827721391060345"/>
          <c:w val="0.98363877890479956"/>
          <c:h val="0.838785834547808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'FLUXO DE CAIXA'!$A$8</c:f>
              <c:strCache>
                <c:ptCount val="1"/>
                <c:pt idx="0">
                  <c:v>SALDO INICIAL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CAIXA'!$B$8:$M$8</c:f>
              <c:numCache>
                <c:formatCode>"$"#,##0.00</c:formatCode>
                <c:ptCount val="12"/>
                <c:pt idx="0">
                  <c:v>111</c:v>
                </c:pt>
                <c:pt idx="1">
                  <c:v>411</c:v>
                </c:pt>
                <c:pt idx="2">
                  <c:v>1195</c:v>
                </c:pt>
                <c:pt idx="3">
                  <c:v>1393</c:v>
                </c:pt>
                <c:pt idx="4">
                  <c:v>1393</c:v>
                </c:pt>
                <c:pt idx="5">
                  <c:v>2567</c:v>
                </c:pt>
                <c:pt idx="6">
                  <c:v>2567</c:v>
                </c:pt>
                <c:pt idx="7">
                  <c:v>2957</c:v>
                </c:pt>
                <c:pt idx="8">
                  <c:v>2957</c:v>
                </c:pt>
                <c:pt idx="9">
                  <c:v>2351</c:v>
                </c:pt>
                <c:pt idx="10">
                  <c:v>904.60000000000036</c:v>
                </c:pt>
                <c:pt idx="11">
                  <c:v>618.93333333333396</c:v>
                </c:pt>
              </c:numCache>
            </c:numRef>
          </c:val>
        </c:ser>
        <c:ser>
          <c:idx val="1"/>
          <c:order val="1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2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38854920"/>
        <c:axId val="338860016"/>
      </c:barChart>
      <c:lineChart>
        <c:grouping val="standard"/>
        <c:varyColors val="0"/>
        <c:ser>
          <c:idx val="2"/>
          <c:order val="3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222.26666666666756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854920"/>
        <c:axId val="338860016"/>
      </c:lineChart>
      <c:catAx>
        <c:axId val="33885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60016"/>
        <c:crosses val="autoZero"/>
        <c:auto val="1"/>
        <c:lblAlgn val="ctr"/>
        <c:lblOffset val="100"/>
        <c:noMultiLvlLbl val="0"/>
      </c:catAx>
      <c:valAx>
        <c:axId val="338860016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338854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428679841796116"/>
          <c:y val="0.75083391416907297"/>
          <c:w val="0.29207345817805502"/>
          <c:h val="0.16839917898491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3.1438677323871061E-3"/>
          <c:w val="0.98363877890479956"/>
          <c:h val="0.8387858345478080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1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38861192"/>
        <c:axId val="338858056"/>
      </c:barChart>
      <c:lineChart>
        <c:grouping val="standard"/>
        <c:varyColors val="0"/>
        <c:ser>
          <c:idx val="2"/>
          <c:order val="2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222.26666666666756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861192"/>
        <c:axId val="338858056"/>
      </c:lineChart>
      <c:catAx>
        <c:axId val="338861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58056"/>
        <c:crosses val="autoZero"/>
        <c:auto val="1"/>
        <c:lblAlgn val="ctr"/>
        <c:lblOffset val="100"/>
        <c:noMultiLvlLbl val="0"/>
      </c:catAx>
      <c:valAx>
        <c:axId val="338858056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338861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428679841796116"/>
          <c:y val="0.75083391416907297"/>
          <c:w val="0.29207345817805502"/>
          <c:h val="0.16839917898491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464027034907001E-2"/>
          <c:y val="1.3714587603695658E-3"/>
          <c:w val="0.97311393146839353"/>
          <c:h val="0.97239334559321189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'[1]FLUXO DE CAIXA (2)'!$B$9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'[1]FLUXO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'[1]FLUXO DE CAIXA (2)'!$C$9:$N$9</c:f>
              <c:numCache>
                <c:formatCode>General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8018</c:v>
                </c:pt>
              </c:numCache>
            </c:numRef>
          </c:val>
        </c:ser>
        <c:ser>
          <c:idx val="3"/>
          <c:order val="1"/>
          <c:tx>
            <c:strRef>
              <c:f>'[1]FLUXO DE CAIXA (2)'!$B$10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'[1]FLUXO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'[1]FLUXO DE CAIXA (2)'!$C$10:$N$10</c:f>
              <c:numCache>
                <c:formatCode>General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11535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38863152"/>
        <c:axId val="338864720"/>
      </c:barChart>
      <c:lineChart>
        <c:grouping val="standard"/>
        <c:varyColors val="0"/>
        <c:ser>
          <c:idx val="2"/>
          <c:order val="2"/>
          <c:tx>
            <c:strRef>
              <c:f>'[1]FLUXO DE CAIXA (2)'!$B$11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'[1]FLUXO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'[1]FLUXO DE CAIXA (2)'!$C$11:$O$11</c:f>
              <c:numCache>
                <c:formatCode>General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-3517</c:v>
                </c:pt>
                <c:pt idx="12">
                  <c:v>-3009.0666666666662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863152"/>
        <c:axId val="338864720"/>
      </c:lineChart>
      <c:catAx>
        <c:axId val="338863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64720"/>
        <c:crosses val="autoZero"/>
        <c:auto val="1"/>
        <c:lblAlgn val="ctr"/>
        <c:lblOffset val="100"/>
        <c:noMultiLvlLbl val="0"/>
      </c:catAx>
      <c:valAx>
        <c:axId val="3388647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3886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3750570235229793"/>
          <c:y val="9.088304207229228E-2"/>
          <c:w val="0.14451081737794441"/>
          <c:h val="0.221960004239369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'DRE1'!$B$16</c:f>
              <c:strCache>
                <c:ptCount val="1"/>
                <c:pt idx="0">
                  <c:v>DESPESAS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f>'DRE1'!$B$12:$B$15</c:f>
              <c:strCache>
                <c:ptCount val="4"/>
                <c:pt idx="0">
                  <c:v>DESPESAS COM PRODUTOS</c:v>
                </c:pt>
                <c:pt idx="1">
                  <c:v>DESPESAS COM MARKETING</c:v>
                </c:pt>
                <c:pt idx="2">
                  <c:v>DESPESAS COM RH</c:v>
                </c:pt>
                <c:pt idx="3">
                  <c:v>DESPESAS OPERACIONAIS</c:v>
                </c:pt>
              </c:strCache>
            </c:strRef>
          </c:cat>
          <c:val>
            <c:numRef>
              <c:f>'DRE1'!$P$12:$P$15</c:f>
              <c:numCache>
                <c:formatCode>_([$AOA]\ * #,##0.00_);_([$AOA]\ * \(#,##0.00\);_([$AOA]\ * "-"??_);_(@_)</c:formatCode>
                <c:ptCount val="4"/>
                <c:pt idx="0">
                  <c:v>80770.766666666663</c:v>
                </c:pt>
                <c:pt idx="1">
                  <c:v>79811.933333333334</c:v>
                </c:pt>
                <c:pt idx="2">
                  <c:v>79907.100000000006</c:v>
                </c:pt>
                <c:pt idx="3">
                  <c:v>69730.566666666666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'DRE1'!$B$16</c:f>
              <c:strCache>
                <c:ptCount val="1"/>
                <c:pt idx="0">
                  <c:v>DESPESAS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rgbClr val="0099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f>'DRE1'!$B$12:$B$15</c:f>
              <c:strCache>
                <c:ptCount val="4"/>
                <c:pt idx="0">
                  <c:v>DESPESAS COM PRODUTOS</c:v>
                </c:pt>
                <c:pt idx="1">
                  <c:v>DESPESAS COM MARKETING</c:v>
                </c:pt>
                <c:pt idx="2">
                  <c:v>DESPESAS COM RH</c:v>
                </c:pt>
                <c:pt idx="3">
                  <c:v>DESPESAS OPERACIONAIS</c:v>
                </c:pt>
              </c:strCache>
            </c:strRef>
          </c:cat>
          <c:val>
            <c:numRef>
              <c:f>'DRE1'!$P$12:$P$15</c:f>
              <c:numCache>
                <c:formatCode>_([$AOA]\ * #,##0.00_);_([$AOA]\ * \(#,##0.00\);_([$AOA]\ * "-"??_);_(@_)</c:formatCode>
                <c:ptCount val="4"/>
                <c:pt idx="0">
                  <c:v>80770.766666666663</c:v>
                </c:pt>
                <c:pt idx="1">
                  <c:v>79811.933333333334</c:v>
                </c:pt>
                <c:pt idx="2">
                  <c:v>79907.100000000006</c:v>
                </c:pt>
                <c:pt idx="3">
                  <c:v>69730.566666666666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'DRE1'!$B$11</c:f>
              <c:strCache>
                <c:ptCount val="1"/>
                <c:pt idx="0">
                  <c:v>RECEITAS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pattFill prst="pct75">
                  <a:fgClr>
                    <a:sysClr val="windowText" lastClr="000000">
                      <a:lumMod val="75000"/>
                      <a:lumOff val="25000"/>
                    </a:sysClr>
                  </a:fgClr>
                  <a:bgClr>
                    <a:sysClr val="windowText" lastClr="000000">
                      <a:lumMod val="65000"/>
                      <a:lumOff val="35000"/>
                    </a:sysClr>
                  </a:bgClr>
                </a:pattFill>
                <a:ln>
                  <a:noFill/>
                </a:ln>
                <a:effectLst>
                  <a:outerShdw blurRad="50800" dist="38100" dir="2700000" sx="92000" sy="92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'DRE1'!$B$9:$B$10</c:f>
              <c:strCache>
                <c:ptCount val="2"/>
                <c:pt idx="0">
                  <c:v>RECEITAS COM PRODUTOS</c:v>
                </c:pt>
                <c:pt idx="1">
                  <c:v>RECEITAS COM SERVIÇOS</c:v>
                </c:pt>
              </c:strCache>
            </c:strRef>
          </c:cat>
          <c:val>
            <c:numRef>
              <c:f>'DRE1'!$P$9:$P$10</c:f>
              <c:numCache>
                <c:formatCode>_([$AOA]\ * #,##0.00_);_([$AOA]\ * \(#,##0.00\);_([$AOA]\ * "-"??_);_(@_)</c:formatCode>
                <c:ptCount val="2"/>
                <c:pt idx="0">
                  <c:v>75846.566666666666</c:v>
                </c:pt>
                <c:pt idx="1">
                  <c:v>81731.933333333334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6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gradFill>
          <a:gsLst>
            <a:gs pos="0">
              <a:srgbClr val="5B9BD5">
                <a:lumMod val="5000"/>
                <a:lumOff val="95000"/>
              </a:srgbClr>
            </a:gs>
            <a:gs pos="74000">
              <a:srgbClr val="5B9BD5">
                <a:lumMod val="45000"/>
                <a:lumOff val="55000"/>
              </a:srgbClr>
            </a:gs>
            <a:gs pos="83000">
              <a:srgbClr val="5B9BD5">
                <a:lumMod val="45000"/>
                <a:lumOff val="55000"/>
              </a:srgbClr>
            </a:gs>
            <a:gs pos="100000">
              <a:srgbClr val="5B9BD5">
                <a:lumMod val="30000"/>
                <a:lumOff val="70000"/>
              </a:srgbClr>
            </a:gs>
          </a:gsLst>
          <a:lin ang="5400000" scaled="1"/>
        </a:gradFill>
        <a:ln>
          <a:solidFill>
            <a:schemeClr val="tx1">
              <a:lumMod val="15000"/>
              <a:lumOff val="8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'DRE1'!$B$22</c:f>
              <c:strCache>
                <c:ptCount val="1"/>
                <c:pt idx="0">
                  <c:v>RECEITAS COM PRODUTOS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'DRE1'!$B$23:$B$33</c15:sqref>
                  </c15:fullRef>
                </c:ext>
              </c:extLst>
              <c:f>'DRE1'!$B$23:$B$33</c:f>
              <c:strCache>
                <c:ptCount val="11"/>
                <c:pt idx="0">
                  <c:v>PLANILHAS EMPRESARIAS</c:v>
                </c:pt>
                <c:pt idx="1">
                  <c:v>CURSOS ONLINE</c:v>
                </c:pt>
                <c:pt idx="2">
                  <c:v>APRESENTAÇÕES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OUTRAS RECEITAS COM PROD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'DRE1'!$P$22:$P$33</c15:sqref>
                  </c15:fullRef>
                </c:ext>
              </c:extLst>
              <c:f>'DRE1'!$P$22:$P$32</c:f>
              <c:numCache>
                <c:formatCode>General</c:formatCode>
                <c:ptCount val="11"/>
                <c:pt idx="0" formatCode="_([$AOA]\ * #,##0.00_);_([$AOA]\ * \(#,##0.00\);_([$AOA]\ * &quot;-&quot;??_);_(@_)">
                  <c:v>75846.566666666666</c:v>
                </c:pt>
                <c:pt idx="1">
                  <c:v>19</c:v>
                </c:pt>
                <c:pt idx="2">
                  <c:v>100</c:v>
                </c:pt>
                <c:pt idx="3">
                  <c:v>4</c:v>
                </c:pt>
                <c:pt idx="4">
                  <c:v>9960.366666666665</c:v>
                </c:pt>
                <c:pt idx="5">
                  <c:v>9960.366666666665</c:v>
                </c:pt>
                <c:pt idx="6">
                  <c:v>9960.366666666665</c:v>
                </c:pt>
                <c:pt idx="7">
                  <c:v>9960.366666666665</c:v>
                </c:pt>
                <c:pt idx="8">
                  <c:v>9960.366666666665</c:v>
                </c:pt>
                <c:pt idx="9">
                  <c:v>9960.366666666665</c:v>
                </c:pt>
                <c:pt idx="10">
                  <c:v>9960.366666666665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70653246758993"/>
          <c:y val="0"/>
        </c:manualLayout>
      </c:layout>
      <c:overlay val="0"/>
      <c:spPr>
        <a:gradFill>
          <a:gsLst>
            <a:gs pos="0">
              <a:srgbClr val="5B9BD5">
                <a:lumMod val="5000"/>
                <a:lumOff val="95000"/>
              </a:srgbClr>
            </a:gs>
            <a:gs pos="74000">
              <a:srgbClr val="5B9BD5">
                <a:lumMod val="45000"/>
                <a:lumOff val="55000"/>
              </a:srgbClr>
            </a:gs>
            <a:gs pos="83000">
              <a:srgbClr val="5B9BD5">
                <a:lumMod val="45000"/>
                <a:lumOff val="55000"/>
              </a:srgbClr>
            </a:gs>
            <a:gs pos="100000">
              <a:srgbClr val="5B9BD5">
                <a:lumMod val="30000"/>
                <a:lumOff val="70000"/>
              </a:srgbClr>
            </a:gs>
          </a:gsLst>
          <a:lin ang="5400000" scaled="1"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'DRE1'!$B$36</c:f>
              <c:strCache>
                <c:ptCount val="1"/>
                <c:pt idx="0">
                  <c:v>RECEITAS COM SERVIÇOS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f>'DRE1'!$B$37:$B$47</c:f>
              <c:strCache>
                <c:ptCount val="11"/>
                <c:pt idx="0">
                  <c:v>CONSULTORIA</c:v>
                </c:pt>
                <c:pt idx="1">
                  <c:v>PERSONALIZAÇÃO DE PLANILHAS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OUTRAS RECEITAS COM SERVIÇOS</c:v>
                </c:pt>
              </c:strCache>
            </c:strRef>
          </c:cat>
          <c:val>
            <c:numRef>
              <c:f>'DRE1'!$P$37:$P$47</c:f>
              <c:numCache>
                <c:formatCode>General</c:formatCode>
                <c:ptCount val="11"/>
                <c:pt idx="0">
                  <c:v>2016</c:v>
                </c:pt>
                <c:pt idx="1">
                  <c:v>33</c:v>
                </c:pt>
                <c:pt idx="2">
                  <c:v>9960.366666666665</c:v>
                </c:pt>
                <c:pt idx="3">
                  <c:v>9960.366666666665</c:v>
                </c:pt>
                <c:pt idx="4">
                  <c:v>9960.366666666665</c:v>
                </c:pt>
                <c:pt idx="5">
                  <c:v>9960.366666666665</c:v>
                </c:pt>
                <c:pt idx="6">
                  <c:v>9960.366666666665</c:v>
                </c:pt>
                <c:pt idx="7">
                  <c:v>9960.366666666665</c:v>
                </c:pt>
                <c:pt idx="8">
                  <c:v>9960.366666666665</c:v>
                </c:pt>
                <c:pt idx="9">
                  <c:v>9960.366666666665</c:v>
                </c:pt>
                <c:pt idx="10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009409834715414"/>
          <c:y val="0.13957982225905971"/>
          <c:w val="0.34397757827192749"/>
          <c:h val="0.81141041580328777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13919167862312E-2"/>
          <c:y val="2.181713458621682E-2"/>
          <c:w val="0.98363877890479956"/>
          <c:h val="0.977748777031147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 (2)'!$B$9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(2)'!$C$9:$N$9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8018</c:v>
                </c:pt>
              </c:numCache>
            </c:numRef>
          </c:val>
        </c:ser>
        <c:ser>
          <c:idx val="3"/>
          <c:order val="1"/>
          <c:tx>
            <c:strRef>
              <c:f>'FLUXO DE CAIXA (2)'!$B$10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(2)'!$C$10:$N$10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11535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38852568"/>
        <c:axId val="338852960"/>
      </c:barChart>
      <c:lineChart>
        <c:grouping val="standard"/>
        <c:varyColors val="0"/>
        <c:ser>
          <c:idx val="2"/>
          <c:order val="2"/>
          <c:tx>
            <c:strRef>
              <c:f>'FLUXO DE CAIXA (2)'!$B$11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(2)'!$C$11:$O$11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-3517</c:v>
                </c:pt>
                <c:pt idx="12">
                  <c:v>-3009.0666666666662</c:v>
                </c:pt>
              </c:numCache>
            </c:numRef>
          </c:val>
          <c:smooth val="1"/>
        </c:ser>
        <c:ser>
          <c:idx val="0"/>
          <c:order val="3"/>
          <c:tx>
            <c:strRef>
              <c:f>'FLUXO DE CAIXA (2)'!$B$12</c:f>
              <c:strCache>
                <c:ptCount val="1"/>
                <c:pt idx="0">
                  <c:v>VALOR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(2)'!$C$12:$P$12</c:f>
              <c:numCache>
                <c:formatCode>"$"#,##0.00</c:formatCode>
                <c:ptCount val="14"/>
                <c:pt idx="0">
                  <c:v>411</c:v>
                </c:pt>
                <c:pt idx="1">
                  <c:v>1195</c:v>
                </c:pt>
                <c:pt idx="2">
                  <c:v>1393</c:v>
                </c:pt>
                <c:pt idx="3">
                  <c:v>1393</c:v>
                </c:pt>
                <c:pt idx="4">
                  <c:v>2567</c:v>
                </c:pt>
                <c:pt idx="5">
                  <c:v>2567</c:v>
                </c:pt>
                <c:pt idx="6">
                  <c:v>2957</c:v>
                </c:pt>
                <c:pt idx="7">
                  <c:v>2957</c:v>
                </c:pt>
                <c:pt idx="8">
                  <c:v>2351</c:v>
                </c:pt>
                <c:pt idx="9">
                  <c:v>904.60000000000036</c:v>
                </c:pt>
                <c:pt idx="10">
                  <c:v>618.93333333333396</c:v>
                </c:pt>
                <c:pt idx="11">
                  <c:v>-2898.0666666666662</c:v>
                </c:pt>
                <c:pt idx="12">
                  <c:v>16416.466666666667</c:v>
                </c:pt>
                <c:pt idx="13">
                  <c:v>-2898.0666666666662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852568"/>
        <c:axId val="338852960"/>
      </c:lineChart>
      <c:catAx>
        <c:axId val="338852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52960"/>
        <c:crosses val="autoZero"/>
        <c:auto val="1"/>
        <c:lblAlgn val="ctr"/>
        <c:lblOffset val="100"/>
        <c:noMultiLvlLbl val="0"/>
      </c:catAx>
      <c:valAx>
        <c:axId val="338852960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338852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9"/>
  <sheetViews>
    <sheetView zoomScale="79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Lines="12" dropStyle="combo" dx="16" fmlaLink="'AUXILIAR 2'!$J$2" fmlaRange="'AUXILIAR 2'!$C$3:$C$14" noThreeD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DRE1'!A1"/><Relationship Id="rId13" Type="http://schemas.openxmlformats.org/officeDocument/2006/relationships/hyperlink" Target="#'COMPARA&#199;AO CENTROS DE CUSTO'!A1"/><Relationship Id="rId3" Type="http://schemas.openxmlformats.org/officeDocument/2006/relationships/hyperlink" Target="#'GRAFICO ANUAL'!A1"/><Relationship Id="rId7" Type="http://schemas.openxmlformats.org/officeDocument/2006/relationships/hyperlink" Target="#'plano de contas'!A1"/><Relationship Id="rId12" Type="http://schemas.openxmlformats.org/officeDocument/2006/relationships/hyperlink" Target="#'CENTRO DE CUSTO'!A1"/><Relationship Id="rId2" Type="http://schemas.openxmlformats.org/officeDocument/2006/relationships/hyperlink" Target="#'FLUXO DE CAIXA'!A1"/><Relationship Id="rId1" Type="http://schemas.openxmlformats.org/officeDocument/2006/relationships/chart" Target="../charts/chart1.xml"/><Relationship Id="rId6" Type="http://schemas.openxmlformats.org/officeDocument/2006/relationships/hyperlink" Target="#'FLUXO DE CAIXA (2)'!A1"/><Relationship Id="rId11" Type="http://schemas.openxmlformats.org/officeDocument/2006/relationships/image" Target="../media/image1.jpeg"/><Relationship Id="rId5" Type="http://schemas.openxmlformats.org/officeDocument/2006/relationships/hyperlink" Target="#JANEIRO!A1"/><Relationship Id="rId10" Type="http://schemas.openxmlformats.org/officeDocument/2006/relationships/hyperlink" Target="#AUXILIAR!A1"/><Relationship Id="rId4" Type="http://schemas.openxmlformats.org/officeDocument/2006/relationships/hyperlink" Target="#GRAFICOS!A1"/><Relationship Id="rId9" Type="http://schemas.openxmlformats.org/officeDocument/2006/relationships/hyperlink" Target="#'FC-DIARIO'!A1"/><Relationship Id="rId14" Type="http://schemas.openxmlformats.org/officeDocument/2006/relationships/hyperlink" Target="#'AUXILIAR 2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DRE1'!A1"/><Relationship Id="rId13" Type="http://schemas.openxmlformats.org/officeDocument/2006/relationships/hyperlink" Target="#'COMPARA&#199;AO CENTROS DE CUSTO'!A1"/><Relationship Id="rId3" Type="http://schemas.openxmlformats.org/officeDocument/2006/relationships/hyperlink" Target="#'GRAFICO ANUAL'!A1"/><Relationship Id="rId7" Type="http://schemas.openxmlformats.org/officeDocument/2006/relationships/hyperlink" Target="#'plano de contas'!A1"/><Relationship Id="rId12" Type="http://schemas.openxmlformats.org/officeDocument/2006/relationships/hyperlink" Target="#'CENTRO DE CUSTO'!A1"/><Relationship Id="rId2" Type="http://schemas.openxmlformats.org/officeDocument/2006/relationships/hyperlink" Target="#'FLUXO DE CAIXA'!A1"/><Relationship Id="rId1" Type="http://schemas.openxmlformats.org/officeDocument/2006/relationships/chart" Target="../charts/chart2.xml"/><Relationship Id="rId6" Type="http://schemas.openxmlformats.org/officeDocument/2006/relationships/hyperlink" Target="#'FLUXO DE CAIXA (2)'!A1"/><Relationship Id="rId11" Type="http://schemas.openxmlformats.org/officeDocument/2006/relationships/image" Target="../media/image1.jpeg"/><Relationship Id="rId5" Type="http://schemas.openxmlformats.org/officeDocument/2006/relationships/hyperlink" Target="#JANEIRO!A1"/><Relationship Id="rId10" Type="http://schemas.openxmlformats.org/officeDocument/2006/relationships/hyperlink" Target="#AUXILIAR!A1"/><Relationship Id="rId4" Type="http://schemas.openxmlformats.org/officeDocument/2006/relationships/hyperlink" Target="#GRAFICOS!A1"/><Relationship Id="rId9" Type="http://schemas.openxmlformats.org/officeDocument/2006/relationships/hyperlink" Target="#'FC-DIARIO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23" Type="http://schemas.openxmlformats.org/officeDocument/2006/relationships/hyperlink" Target="#'COMPARA&#199;AO CENTROS DE CUSTO'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Relationship Id="rId22" Type="http://schemas.openxmlformats.org/officeDocument/2006/relationships/hyperlink" Target="#'CENTRO DE CUSTO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Relationship Id="rId22" Type="http://schemas.openxmlformats.org/officeDocument/2006/relationships/hyperlink" Target="#'CENTRO DE CUSTO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"/><Relationship Id="rId13" Type="http://schemas.openxmlformats.org/officeDocument/2006/relationships/hyperlink" Target="#'FC-DIARIO'!A1"/><Relationship Id="rId3" Type="http://schemas.openxmlformats.org/officeDocument/2006/relationships/chart" Target="../charts/chart8.xml"/><Relationship Id="rId7" Type="http://schemas.openxmlformats.org/officeDocument/2006/relationships/hyperlink" Target="#'GRAFICO ANUAL'!A1"/><Relationship Id="rId12" Type="http://schemas.openxmlformats.org/officeDocument/2006/relationships/hyperlink" Target="#'DRE1'!A1"/><Relationship Id="rId17" Type="http://schemas.openxmlformats.org/officeDocument/2006/relationships/hyperlink" Target="#'COMPARA&#199;AO CENTROS DE CUSTO'!A1"/><Relationship Id="rId2" Type="http://schemas.openxmlformats.org/officeDocument/2006/relationships/chart" Target="../charts/chart7.xml"/><Relationship Id="rId16" Type="http://schemas.openxmlformats.org/officeDocument/2006/relationships/hyperlink" Target="#'CENTRO DE CUSTO'!A1"/><Relationship Id="rId1" Type="http://schemas.openxmlformats.org/officeDocument/2006/relationships/chart" Target="../charts/chart6.xml"/><Relationship Id="rId6" Type="http://schemas.openxmlformats.org/officeDocument/2006/relationships/hyperlink" Target="#'FLUXO DE CAIXA'!A1"/><Relationship Id="rId11" Type="http://schemas.openxmlformats.org/officeDocument/2006/relationships/hyperlink" Target="#'plano de contas'!A1"/><Relationship Id="rId5" Type="http://schemas.openxmlformats.org/officeDocument/2006/relationships/chart" Target="../charts/chart10.xml"/><Relationship Id="rId15" Type="http://schemas.openxmlformats.org/officeDocument/2006/relationships/image" Target="../media/image1.jpeg"/><Relationship Id="rId10" Type="http://schemas.openxmlformats.org/officeDocument/2006/relationships/hyperlink" Target="#'FLUXO DE CAIXA (2)'!A1"/><Relationship Id="rId4" Type="http://schemas.openxmlformats.org/officeDocument/2006/relationships/chart" Target="../charts/chart9.xml"/><Relationship Id="rId9" Type="http://schemas.openxmlformats.org/officeDocument/2006/relationships/hyperlink" Target="#JANEIRO!A1"/><Relationship Id="rId14" Type="http://schemas.openxmlformats.org/officeDocument/2006/relationships/hyperlink" Target="#AUXILIAR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68036</xdr:colOff>
      <xdr:row>12</xdr:row>
      <xdr:rowOff>204107</xdr:rowOff>
    </xdr:from>
    <xdr:to>
      <xdr:col>14</xdr:col>
      <xdr:colOff>421821</xdr:colOff>
      <xdr:row>28</xdr:row>
      <xdr:rowOff>312964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16" name="Retângulo 15">
          <a:hlinkClick xmlns:r="http://schemas.openxmlformats.org/officeDocument/2006/relationships" r:id="rId2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17" name="Retângulo 16">
          <a:hlinkClick xmlns:r="http://schemas.openxmlformats.org/officeDocument/2006/relationships" r:id="rId3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18" name="Retângulo 17">
          <a:hlinkClick xmlns:r="http://schemas.openxmlformats.org/officeDocument/2006/relationships" r:id="rId4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19" name="Retângulo 18">
          <a:hlinkClick xmlns:r="http://schemas.openxmlformats.org/officeDocument/2006/relationships" r:id="rId5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20" name="Retângulo 19">
          <a:hlinkClick xmlns:r="http://schemas.openxmlformats.org/officeDocument/2006/relationships" r:id="rId6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21" name="Retângulo 20">
          <a:hlinkClick xmlns:r="http://schemas.openxmlformats.org/officeDocument/2006/relationships" r:id="rId7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22" name="Retângulo 21">
          <a:hlinkClick xmlns:r="http://schemas.openxmlformats.org/officeDocument/2006/relationships" r:id="rId8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23" name="Retângulo 22">
          <a:hlinkClick xmlns:r="http://schemas.openxmlformats.org/officeDocument/2006/relationships" r:id="rId9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24" name="Retângulo 23">
          <a:hlinkClick xmlns:r="http://schemas.openxmlformats.org/officeDocument/2006/relationships" r:id="rId10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79375</xdr:colOff>
      <xdr:row>1</xdr:row>
      <xdr:rowOff>63500</xdr:rowOff>
    </xdr:from>
    <xdr:to>
      <xdr:col>2</xdr:col>
      <xdr:colOff>83809</xdr:colOff>
      <xdr:row>1</xdr:row>
      <xdr:rowOff>403678</xdr:rowOff>
    </xdr:to>
    <xdr:sp macro="" textlink="">
      <xdr:nvSpPr>
        <xdr:cNvPr id="37" name="Retângulo 36">
          <a:hlinkClick xmlns:r="http://schemas.openxmlformats.org/officeDocument/2006/relationships" r:id="rId12"/>
        </xdr:cNvPr>
        <xdr:cNvSpPr/>
      </xdr:nvSpPr>
      <xdr:spPr>
        <a:xfrm>
          <a:off x="682625" y="460375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730250</xdr:colOff>
      <xdr:row>1</xdr:row>
      <xdr:rowOff>47625</xdr:rowOff>
    </xdr:from>
    <xdr:to>
      <xdr:col>4</xdr:col>
      <xdr:colOff>235755</xdr:colOff>
      <xdr:row>1</xdr:row>
      <xdr:rowOff>387803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3476625" y="444500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571500</xdr:colOff>
      <xdr:row>1</xdr:row>
      <xdr:rowOff>79375</xdr:rowOff>
    </xdr:from>
    <xdr:to>
      <xdr:col>6</xdr:col>
      <xdr:colOff>86178</xdr:colOff>
      <xdr:row>1</xdr:row>
      <xdr:rowOff>419553</xdr:rowOff>
    </xdr:to>
    <xdr:sp macro="" textlink="">
      <xdr:nvSpPr>
        <xdr:cNvPr id="15" name="Retângulo 14">
          <a:hlinkClick xmlns:r="http://schemas.openxmlformats.org/officeDocument/2006/relationships" r:id="rId14"/>
        </xdr:cNvPr>
        <xdr:cNvSpPr/>
      </xdr:nvSpPr>
      <xdr:spPr>
        <a:xfrm>
          <a:off x="5953125" y="4762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152399</xdr:rowOff>
    </xdr:from>
    <xdr:to>
      <xdr:col>34</xdr:col>
      <xdr:colOff>0</xdr:colOff>
      <xdr:row>28</xdr:row>
      <xdr:rowOff>47624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43543</xdr:colOff>
      <xdr:row>0</xdr:row>
      <xdr:rowOff>40822</xdr:rowOff>
    </xdr:from>
    <xdr:to>
      <xdr:col>4</xdr:col>
      <xdr:colOff>364671</xdr:colOff>
      <xdr:row>0</xdr:row>
      <xdr:rowOff>381000</xdr:rowOff>
    </xdr:to>
    <xdr:sp macro="" textlink="">
      <xdr:nvSpPr>
        <xdr:cNvPr id="26" name="Retângulo 25">
          <a:hlinkClick xmlns:r="http://schemas.openxmlformats.org/officeDocument/2006/relationships" r:id="rId2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394607</xdr:colOff>
      <xdr:row>0</xdr:row>
      <xdr:rowOff>43544</xdr:rowOff>
    </xdr:from>
    <xdr:to>
      <xdr:col>8</xdr:col>
      <xdr:colOff>106135</xdr:colOff>
      <xdr:row>0</xdr:row>
      <xdr:rowOff>383722</xdr:rowOff>
    </xdr:to>
    <xdr:sp macro="" textlink="">
      <xdr:nvSpPr>
        <xdr:cNvPr id="27" name="Retângulo 26">
          <a:hlinkClick xmlns:r="http://schemas.openxmlformats.org/officeDocument/2006/relationships" r:id="rId3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201385</xdr:colOff>
      <xdr:row>0</xdr:row>
      <xdr:rowOff>29936</xdr:rowOff>
    </xdr:from>
    <xdr:to>
      <xdr:col>11</xdr:col>
      <xdr:colOff>522513</xdr:colOff>
      <xdr:row>0</xdr:row>
      <xdr:rowOff>370114</xdr:rowOff>
    </xdr:to>
    <xdr:sp macro="" textlink="">
      <xdr:nvSpPr>
        <xdr:cNvPr id="28" name="Retângulo 27">
          <a:hlinkClick xmlns:r="http://schemas.openxmlformats.org/officeDocument/2006/relationships" r:id="rId4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12</xdr:col>
      <xdr:colOff>8164</xdr:colOff>
      <xdr:row>0</xdr:row>
      <xdr:rowOff>43543</xdr:rowOff>
    </xdr:from>
    <xdr:to>
      <xdr:col>15</xdr:col>
      <xdr:colOff>329292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5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424543</xdr:colOff>
      <xdr:row>0</xdr:row>
      <xdr:rowOff>43543</xdr:rowOff>
    </xdr:from>
    <xdr:to>
      <xdr:col>19</xdr:col>
      <xdr:colOff>136071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6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231322</xdr:colOff>
      <xdr:row>0</xdr:row>
      <xdr:rowOff>43543</xdr:rowOff>
    </xdr:from>
    <xdr:to>
      <xdr:col>22</xdr:col>
      <xdr:colOff>552450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7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38101</xdr:colOff>
      <xdr:row>0</xdr:row>
      <xdr:rowOff>43543</xdr:rowOff>
    </xdr:from>
    <xdr:to>
      <xdr:col>26</xdr:col>
      <xdr:colOff>359229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8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454480</xdr:colOff>
      <xdr:row>0</xdr:row>
      <xdr:rowOff>43543</xdr:rowOff>
    </xdr:from>
    <xdr:to>
      <xdr:col>30</xdr:col>
      <xdr:colOff>166008</xdr:colOff>
      <xdr:row>0</xdr:row>
      <xdr:rowOff>383721</xdr:rowOff>
    </xdr:to>
    <xdr:sp macro="" textlink="">
      <xdr:nvSpPr>
        <xdr:cNvPr id="33" name="Retângulo 32">
          <a:hlinkClick xmlns:r="http://schemas.openxmlformats.org/officeDocument/2006/relationships" r:id="rId9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261259</xdr:colOff>
      <xdr:row>0</xdr:row>
      <xdr:rowOff>43543</xdr:rowOff>
    </xdr:from>
    <xdr:to>
      <xdr:col>33</xdr:col>
      <xdr:colOff>582387</xdr:colOff>
      <xdr:row>0</xdr:row>
      <xdr:rowOff>383721</xdr:rowOff>
    </xdr:to>
    <xdr:sp macro="" textlink="">
      <xdr:nvSpPr>
        <xdr:cNvPr id="34" name="Retângulo 33">
          <a:hlinkClick xmlns:r="http://schemas.openxmlformats.org/officeDocument/2006/relationships" r:id="rId10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5" name="Imagem 3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63500</xdr:colOff>
      <xdr:row>1</xdr:row>
      <xdr:rowOff>31750</xdr:rowOff>
    </xdr:from>
    <xdr:to>
      <xdr:col>4</xdr:col>
      <xdr:colOff>401309</xdr:colOff>
      <xdr:row>1</xdr:row>
      <xdr:rowOff>371928</xdr:rowOff>
    </xdr:to>
    <xdr:sp macro="" textlink="">
      <xdr:nvSpPr>
        <xdr:cNvPr id="51" name="Retângulo 50">
          <a:hlinkClick xmlns:r="http://schemas.openxmlformats.org/officeDocument/2006/relationships" r:id="rId12"/>
        </xdr:cNvPr>
        <xdr:cNvSpPr/>
      </xdr:nvSpPr>
      <xdr:spPr>
        <a:xfrm>
          <a:off x="666750" y="428625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15875</xdr:colOff>
      <xdr:row>1</xdr:row>
      <xdr:rowOff>31750</xdr:rowOff>
    </xdr:from>
    <xdr:to>
      <xdr:col>8</xdr:col>
      <xdr:colOff>346880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3032125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133350</xdr:rowOff>
    </xdr:from>
    <xdr:to>
      <xdr:col>29</xdr:col>
      <xdr:colOff>8165</xdr:colOff>
      <xdr:row>18</xdr:row>
      <xdr:rowOff>104775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43543</xdr:colOff>
      <xdr:row>0</xdr:row>
      <xdr:rowOff>40822</xdr:rowOff>
    </xdr:from>
    <xdr:to>
      <xdr:col>4</xdr:col>
      <xdr:colOff>364671</xdr:colOff>
      <xdr:row>0</xdr:row>
      <xdr:rowOff>381000</xdr:rowOff>
    </xdr:to>
    <xdr:sp macro="" textlink="">
      <xdr:nvSpPr>
        <xdr:cNvPr id="13" name="Retângulo 12"/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394607</xdr:colOff>
      <xdr:row>0</xdr:row>
      <xdr:rowOff>43544</xdr:rowOff>
    </xdr:from>
    <xdr:to>
      <xdr:col>8</xdr:col>
      <xdr:colOff>106135</xdr:colOff>
      <xdr:row>0</xdr:row>
      <xdr:rowOff>383722</xdr:rowOff>
    </xdr:to>
    <xdr:sp macro="" textlink="">
      <xdr:nvSpPr>
        <xdr:cNvPr id="14" name="Retângulo 13"/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201385</xdr:colOff>
      <xdr:row>0</xdr:row>
      <xdr:rowOff>29936</xdr:rowOff>
    </xdr:from>
    <xdr:to>
      <xdr:col>11</xdr:col>
      <xdr:colOff>522513</xdr:colOff>
      <xdr:row>0</xdr:row>
      <xdr:rowOff>370114</xdr:rowOff>
    </xdr:to>
    <xdr:sp macro="" textlink="">
      <xdr:nvSpPr>
        <xdr:cNvPr id="15" name="Retângulo 14"/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ANUAL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8164</xdr:colOff>
      <xdr:row>0</xdr:row>
      <xdr:rowOff>43543</xdr:rowOff>
    </xdr:from>
    <xdr:to>
      <xdr:col>15</xdr:col>
      <xdr:colOff>329292</xdr:colOff>
      <xdr:row>0</xdr:row>
      <xdr:rowOff>383721</xdr:rowOff>
    </xdr:to>
    <xdr:sp macro="" textlink="">
      <xdr:nvSpPr>
        <xdr:cNvPr id="16" name="Retângulo 15"/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424543</xdr:colOff>
      <xdr:row>0</xdr:row>
      <xdr:rowOff>43543</xdr:rowOff>
    </xdr:from>
    <xdr:to>
      <xdr:col>19</xdr:col>
      <xdr:colOff>136071</xdr:colOff>
      <xdr:row>0</xdr:row>
      <xdr:rowOff>383721</xdr:rowOff>
    </xdr:to>
    <xdr:sp macro="" textlink="">
      <xdr:nvSpPr>
        <xdr:cNvPr id="17" name="Retângulo 16"/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231322</xdr:colOff>
      <xdr:row>0</xdr:row>
      <xdr:rowOff>43543</xdr:rowOff>
    </xdr:from>
    <xdr:to>
      <xdr:col>22</xdr:col>
      <xdr:colOff>552450</xdr:colOff>
      <xdr:row>0</xdr:row>
      <xdr:rowOff>383721</xdr:rowOff>
    </xdr:to>
    <xdr:sp macro="" textlink="">
      <xdr:nvSpPr>
        <xdr:cNvPr id="18" name="Retângulo 17"/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38101</xdr:colOff>
      <xdr:row>0</xdr:row>
      <xdr:rowOff>43543</xdr:rowOff>
    </xdr:from>
    <xdr:to>
      <xdr:col>26</xdr:col>
      <xdr:colOff>359229</xdr:colOff>
      <xdr:row>0</xdr:row>
      <xdr:rowOff>383721</xdr:rowOff>
    </xdr:to>
    <xdr:sp macro="" textlink="">
      <xdr:nvSpPr>
        <xdr:cNvPr id="19" name="Retângulo 18"/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454480</xdr:colOff>
      <xdr:row>0</xdr:row>
      <xdr:rowOff>43543</xdr:rowOff>
    </xdr:from>
    <xdr:to>
      <xdr:col>30</xdr:col>
      <xdr:colOff>166008</xdr:colOff>
      <xdr:row>0</xdr:row>
      <xdr:rowOff>383721</xdr:rowOff>
    </xdr:to>
    <xdr:sp macro="" textlink="">
      <xdr:nvSpPr>
        <xdr:cNvPr id="20" name="Retângulo 19"/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261259</xdr:colOff>
      <xdr:row>0</xdr:row>
      <xdr:rowOff>43543</xdr:rowOff>
    </xdr:from>
    <xdr:to>
      <xdr:col>33</xdr:col>
      <xdr:colOff>582387</xdr:colOff>
      <xdr:row>0</xdr:row>
      <xdr:rowOff>383721</xdr:rowOff>
    </xdr:to>
    <xdr:sp macro="" textlink="">
      <xdr:nvSpPr>
        <xdr:cNvPr id="21" name="Retângulo 20"/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100493</xdr:colOff>
      <xdr:row>1</xdr:row>
      <xdr:rowOff>3854</xdr:rowOff>
    </xdr:from>
    <xdr:to>
      <xdr:col>2</xdr:col>
      <xdr:colOff>493147</xdr:colOff>
      <xdr:row>1</xdr:row>
      <xdr:rowOff>346678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07712" y="408667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973883</xdr:colOff>
      <xdr:row>0</xdr:row>
      <xdr:rowOff>398083</xdr:rowOff>
    </xdr:from>
    <xdr:to>
      <xdr:col>3</xdr:col>
      <xdr:colOff>1971904</xdr:colOff>
      <xdr:row>1</xdr:row>
      <xdr:rowOff>336094</xdr:rowOff>
    </xdr:to>
    <xdr:sp macro="" textlink="">
      <xdr:nvSpPr>
        <xdr:cNvPr id="33" name="Retângulo 32">
          <a:hlinkClick xmlns:r="http://schemas.openxmlformats.org/officeDocument/2006/relationships" r:id="rId11"/>
        </xdr:cNvPr>
        <xdr:cNvSpPr/>
      </xdr:nvSpPr>
      <xdr:spPr>
        <a:xfrm>
          <a:off x="2890789" y="398083"/>
          <a:ext cx="998021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1110762</xdr:colOff>
      <xdr:row>0</xdr:row>
      <xdr:rowOff>387499</xdr:rowOff>
    </xdr:from>
    <xdr:to>
      <xdr:col>5</xdr:col>
      <xdr:colOff>68931</xdr:colOff>
      <xdr:row>1</xdr:row>
      <xdr:rowOff>325510</xdr:rowOff>
    </xdr:to>
    <xdr:sp macro="" textlink="">
      <xdr:nvSpPr>
        <xdr:cNvPr id="34" name="Retângulo 33">
          <a:hlinkClick xmlns:r="http://schemas.openxmlformats.org/officeDocument/2006/relationships" r:id="rId12"/>
        </xdr:cNvPr>
        <xdr:cNvSpPr/>
      </xdr:nvSpPr>
      <xdr:spPr>
        <a:xfrm>
          <a:off x="5075543" y="387499"/>
          <a:ext cx="1006044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1254959</xdr:colOff>
      <xdr:row>0</xdr:row>
      <xdr:rowOff>376915</xdr:rowOff>
    </xdr:from>
    <xdr:to>
      <xdr:col>7</xdr:col>
      <xdr:colOff>382463</xdr:colOff>
      <xdr:row>1</xdr:row>
      <xdr:rowOff>314926</xdr:rowOff>
    </xdr:to>
    <xdr:sp macro="" textlink="">
      <xdr:nvSpPr>
        <xdr:cNvPr id="35" name="Retângulo 34">
          <a:hlinkClick xmlns:r="http://schemas.openxmlformats.org/officeDocument/2006/relationships" r:id="rId13"/>
        </xdr:cNvPr>
        <xdr:cNvSpPr/>
      </xdr:nvSpPr>
      <xdr:spPr>
        <a:xfrm>
          <a:off x="7267615" y="376915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293111</xdr:colOff>
      <xdr:row>0</xdr:row>
      <xdr:rowOff>366331</xdr:rowOff>
    </xdr:from>
    <xdr:to>
      <xdr:col>9</xdr:col>
      <xdr:colOff>22717</xdr:colOff>
      <xdr:row>1</xdr:row>
      <xdr:rowOff>304342</xdr:rowOff>
    </xdr:to>
    <xdr:sp macro="" textlink="">
      <xdr:nvSpPr>
        <xdr:cNvPr id="36" name="Retângulo 35">
          <a:hlinkClick xmlns:r="http://schemas.openxmlformats.org/officeDocument/2006/relationships" r:id="rId14"/>
        </xdr:cNvPr>
        <xdr:cNvSpPr/>
      </xdr:nvSpPr>
      <xdr:spPr>
        <a:xfrm>
          <a:off x="9449017" y="366331"/>
          <a:ext cx="1003575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1207333</xdr:colOff>
      <xdr:row>0</xdr:row>
      <xdr:rowOff>355747</xdr:rowOff>
    </xdr:from>
    <xdr:to>
      <xdr:col>10</xdr:col>
      <xdr:colOff>382463</xdr:colOff>
      <xdr:row>1</xdr:row>
      <xdr:rowOff>293758</xdr:rowOff>
    </xdr:to>
    <xdr:sp macro="" textlink="">
      <xdr:nvSpPr>
        <xdr:cNvPr id="37" name="Retângulo 36">
          <a:hlinkClick xmlns:r="http://schemas.openxmlformats.org/officeDocument/2006/relationships" r:id="rId15"/>
        </xdr:cNvPr>
        <xdr:cNvSpPr/>
      </xdr:nvSpPr>
      <xdr:spPr>
        <a:xfrm>
          <a:off x="11637208" y="355747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13</xdr:col>
      <xdr:colOff>322380</xdr:colOff>
      <xdr:row>0</xdr:row>
      <xdr:rowOff>334579</xdr:rowOff>
    </xdr:from>
    <xdr:to>
      <xdr:col>13</xdr:col>
      <xdr:colOff>1652387</xdr:colOff>
      <xdr:row>1</xdr:row>
      <xdr:rowOff>272590</xdr:rowOff>
    </xdr:to>
    <xdr:sp macro="" textlink="">
      <xdr:nvSpPr>
        <xdr:cNvPr id="39" name="Retângulo 38">
          <a:hlinkClick xmlns:r="http://schemas.openxmlformats.org/officeDocument/2006/relationships" r:id="rId4"/>
        </xdr:cNvPr>
        <xdr:cNvSpPr/>
      </xdr:nvSpPr>
      <xdr:spPr>
        <a:xfrm>
          <a:off x="15836224" y="334579"/>
          <a:ext cx="1330007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2</xdr:col>
      <xdr:colOff>564834</xdr:colOff>
      <xdr:row>1</xdr:row>
      <xdr:rowOff>122913</xdr:rowOff>
    </xdr:from>
    <xdr:to>
      <xdr:col>3</xdr:col>
      <xdr:colOff>862239</xdr:colOff>
      <xdr:row>2</xdr:row>
      <xdr:rowOff>13300</xdr:rowOff>
    </xdr:to>
    <xdr:sp macro="" textlink="">
      <xdr:nvSpPr>
        <xdr:cNvPr id="44" name="Retângulo 43">
          <a:hlinkClick xmlns:r="http://schemas.openxmlformats.org/officeDocument/2006/relationships" r:id="rId16"/>
        </xdr:cNvPr>
        <xdr:cNvSpPr/>
      </xdr:nvSpPr>
      <xdr:spPr>
        <a:xfrm>
          <a:off x="1779272" y="527726"/>
          <a:ext cx="999873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2045443</xdr:colOff>
      <xdr:row>1</xdr:row>
      <xdr:rowOff>112329</xdr:rowOff>
    </xdr:from>
    <xdr:to>
      <xdr:col>4</xdr:col>
      <xdr:colOff>995589</xdr:colOff>
      <xdr:row>2</xdr:row>
      <xdr:rowOff>2716</xdr:rowOff>
    </xdr:to>
    <xdr:sp macro="" textlink="">
      <xdr:nvSpPr>
        <xdr:cNvPr id="45" name="Retângulo 44">
          <a:hlinkClick xmlns:r="http://schemas.openxmlformats.org/officeDocument/2006/relationships" r:id="rId17"/>
        </xdr:cNvPr>
        <xdr:cNvSpPr/>
      </xdr:nvSpPr>
      <xdr:spPr>
        <a:xfrm>
          <a:off x="3962349" y="517142"/>
          <a:ext cx="998021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134447</xdr:colOff>
      <xdr:row>1</xdr:row>
      <xdr:rowOff>101745</xdr:rowOff>
    </xdr:from>
    <xdr:to>
      <xdr:col>5</xdr:col>
      <xdr:colOff>1140491</xdr:colOff>
      <xdr:row>1</xdr:row>
      <xdr:rowOff>444569</xdr:rowOff>
    </xdr:to>
    <xdr:sp macro="" textlink="">
      <xdr:nvSpPr>
        <xdr:cNvPr id="46" name="Retângulo 45">
          <a:hlinkClick xmlns:r="http://schemas.openxmlformats.org/officeDocument/2006/relationships" r:id="rId18"/>
        </xdr:cNvPr>
        <xdr:cNvSpPr/>
      </xdr:nvSpPr>
      <xdr:spPr>
        <a:xfrm>
          <a:off x="6147103" y="506558"/>
          <a:ext cx="1006044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457237</xdr:colOff>
      <xdr:row>1</xdr:row>
      <xdr:rowOff>91161</xdr:rowOff>
    </xdr:from>
    <xdr:to>
      <xdr:col>8</xdr:col>
      <xdr:colOff>180055</xdr:colOff>
      <xdr:row>1</xdr:row>
      <xdr:rowOff>433985</xdr:rowOff>
    </xdr:to>
    <xdr:sp macro="" textlink="">
      <xdr:nvSpPr>
        <xdr:cNvPr id="47" name="Retângulo 46">
          <a:hlinkClick xmlns:r="http://schemas.openxmlformats.org/officeDocument/2006/relationships" r:id="rId19"/>
        </xdr:cNvPr>
        <xdr:cNvSpPr/>
      </xdr:nvSpPr>
      <xdr:spPr>
        <a:xfrm>
          <a:off x="8339175" y="495974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90702</xdr:colOff>
      <xdr:row>1</xdr:row>
      <xdr:rowOff>80577</xdr:rowOff>
    </xdr:from>
    <xdr:to>
      <xdr:col>9</xdr:col>
      <xdr:colOff>1094277</xdr:colOff>
      <xdr:row>1</xdr:row>
      <xdr:rowOff>423401</xdr:rowOff>
    </xdr:to>
    <xdr:sp macro="" textlink="">
      <xdr:nvSpPr>
        <xdr:cNvPr id="48" name="Retângulo 47">
          <a:hlinkClick xmlns:r="http://schemas.openxmlformats.org/officeDocument/2006/relationships" r:id="rId20"/>
        </xdr:cNvPr>
        <xdr:cNvSpPr/>
      </xdr:nvSpPr>
      <xdr:spPr>
        <a:xfrm>
          <a:off x="10520577" y="485390"/>
          <a:ext cx="1003575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457237</xdr:colOff>
      <xdr:row>1</xdr:row>
      <xdr:rowOff>69993</xdr:rowOff>
    </xdr:from>
    <xdr:to>
      <xdr:col>12</xdr:col>
      <xdr:colOff>239585</xdr:colOff>
      <xdr:row>1</xdr:row>
      <xdr:rowOff>412817</xdr:rowOff>
    </xdr:to>
    <xdr:sp macro="" textlink="">
      <xdr:nvSpPr>
        <xdr:cNvPr id="49" name="Retângulo 48">
          <a:hlinkClick xmlns:r="http://schemas.openxmlformats.org/officeDocument/2006/relationships" r:id="rId21"/>
        </xdr:cNvPr>
        <xdr:cNvSpPr/>
      </xdr:nvSpPr>
      <xdr:spPr>
        <a:xfrm>
          <a:off x="12708768" y="474806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  <xdr:twoCellAnchor>
    <xdr:from>
      <xdr:col>13</xdr:col>
      <xdr:colOff>1717691</xdr:colOff>
      <xdr:row>1</xdr:row>
      <xdr:rowOff>48825</xdr:rowOff>
    </xdr:from>
    <xdr:to>
      <xdr:col>14</xdr:col>
      <xdr:colOff>78477</xdr:colOff>
      <xdr:row>1</xdr:row>
      <xdr:rowOff>391649</xdr:rowOff>
    </xdr:to>
    <xdr:sp macro="" textlink="">
      <xdr:nvSpPr>
        <xdr:cNvPr id="51" name="Retângulo 50">
          <a:hlinkClick xmlns:r="http://schemas.openxmlformats.org/officeDocument/2006/relationships" r:id="rId4"/>
        </xdr:cNvPr>
        <xdr:cNvSpPr/>
      </xdr:nvSpPr>
      <xdr:spPr>
        <a:xfrm>
          <a:off x="17231535" y="453638"/>
          <a:ext cx="68250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14</xdr:col>
      <xdr:colOff>492125</xdr:colOff>
      <xdr:row>1</xdr:row>
      <xdr:rowOff>47625</xdr:rowOff>
    </xdr:from>
    <xdr:to>
      <xdr:col>17</xdr:col>
      <xdr:colOff>115559</xdr:colOff>
      <xdr:row>1</xdr:row>
      <xdr:rowOff>387803</xdr:rowOff>
    </xdr:to>
    <xdr:sp macro="" textlink="">
      <xdr:nvSpPr>
        <xdr:cNvPr id="53" name="Retângulo 52">
          <a:hlinkClick xmlns:r="http://schemas.openxmlformats.org/officeDocument/2006/relationships" r:id="rId22"/>
        </xdr:cNvPr>
        <xdr:cNvSpPr/>
      </xdr:nvSpPr>
      <xdr:spPr>
        <a:xfrm>
          <a:off x="18303875" y="44450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444500</xdr:colOff>
      <xdr:row>1</xdr:row>
      <xdr:rowOff>15875</xdr:rowOff>
    </xdr:from>
    <xdr:to>
      <xdr:col>13</xdr:col>
      <xdr:colOff>254000</xdr:colOff>
      <xdr:row>1</xdr:row>
      <xdr:rowOff>396875</xdr:rowOff>
    </xdr:to>
    <xdr:sp macro="" textlink="">
      <xdr:nvSpPr>
        <xdr:cNvPr id="38" name="Retângulo 37">
          <a:hlinkClick xmlns:r="http://schemas.openxmlformats.org/officeDocument/2006/relationships" r:id="rId23"/>
        </xdr:cNvPr>
        <xdr:cNvSpPr/>
      </xdr:nvSpPr>
      <xdr:spPr>
        <a:xfrm>
          <a:off x="16002000" y="412750"/>
          <a:ext cx="1857375" cy="381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1314725</xdr:colOff>
      <xdr:row>0</xdr:row>
      <xdr:rowOff>21167</xdr:rowOff>
    </xdr:from>
    <xdr:to>
      <xdr:col>8</xdr:col>
      <xdr:colOff>406069</xdr:colOff>
      <xdr:row>0</xdr:row>
      <xdr:rowOff>361345</xdr:rowOff>
    </xdr:to>
    <xdr:sp macro="" textlink="">
      <xdr:nvSpPr>
        <xdr:cNvPr id="68" name="Retângulo 67">
          <a:hlinkClick xmlns:r="http://schemas.openxmlformats.org/officeDocument/2006/relationships" r:id="rId4"/>
        </xdr:cNvPr>
        <xdr:cNvSpPr/>
      </xdr:nvSpPr>
      <xdr:spPr>
        <a:xfrm>
          <a:off x="7357808" y="2116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0</xdr:row>
      <xdr:rowOff>386291</xdr:rowOff>
    </xdr:from>
    <xdr:to>
      <xdr:col>2</xdr:col>
      <xdr:colOff>544789</xdr:colOff>
      <xdr:row>1</xdr:row>
      <xdr:rowOff>326948</xdr:rowOff>
    </xdr:to>
    <xdr:sp macro="" textlink="">
      <xdr:nvSpPr>
        <xdr:cNvPr id="69" name="Retângulo 68">
          <a:hlinkClick xmlns:r="http://schemas.openxmlformats.org/officeDocument/2006/relationships" r:id="rId4"/>
        </xdr:cNvPr>
        <xdr:cNvSpPr/>
      </xdr:nvSpPr>
      <xdr:spPr>
        <a:xfrm>
          <a:off x="772583" y="38629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1018910</xdr:colOff>
      <xdr:row>0</xdr:row>
      <xdr:rowOff>375707</xdr:rowOff>
    </xdr:from>
    <xdr:to>
      <xdr:col>3</xdr:col>
      <xdr:colOff>2016931</xdr:colOff>
      <xdr:row>1</xdr:row>
      <xdr:rowOff>316364</xdr:rowOff>
    </xdr:to>
    <xdr:sp macro="" textlink="">
      <xdr:nvSpPr>
        <xdr:cNvPr id="70" name="Retângulo 69">
          <a:hlinkClick xmlns:r="http://schemas.openxmlformats.org/officeDocument/2006/relationships" r:id="rId11"/>
        </xdr:cNvPr>
        <xdr:cNvSpPr/>
      </xdr:nvSpPr>
      <xdr:spPr>
        <a:xfrm>
          <a:off x="2955660" y="375707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1150497</xdr:colOff>
      <xdr:row>0</xdr:row>
      <xdr:rowOff>365123</xdr:rowOff>
    </xdr:from>
    <xdr:to>
      <xdr:col>5</xdr:col>
      <xdr:colOff>103375</xdr:colOff>
      <xdr:row>1</xdr:row>
      <xdr:rowOff>305780</xdr:rowOff>
    </xdr:to>
    <xdr:sp macro="" textlink="">
      <xdr:nvSpPr>
        <xdr:cNvPr id="71" name="Retângulo 70">
          <a:hlinkClick xmlns:r="http://schemas.openxmlformats.org/officeDocument/2006/relationships" r:id="rId12"/>
        </xdr:cNvPr>
        <xdr:cNvSpPr/>
      </xdr:nvSpPr>
      <xdr:spPr>
        <a:xfrm>
          <a:off x="5140414" y="36512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1289403</xdr:colOff>
      <xdr:row>0</xdr:row>
      <xdr:rowOff>354539</xdr:rowOff>
    </xdr:from>
    <xdr:to>
      <xdr:col>7</xdr:col>
      <xdr:colOff>423522</xdr:colOff>
      <xdr:row>1</xdr:row>
      <xdr:rowOff>295196</xdr:rowOff>
    </xdr:to>
    <xdr:sp macro="" textlink="">
      <xdr:nvSpPr>
        <xdr:cNvPr id="72" name="Retângulo 71">
          <a:hlinkClick xmlns:r="http://schemas.openxmlformats.org/officeDocument/2006/relationships" r:id="rId13"/>
        </xdr:cNvPr>
        <xdr:cNvSpPr/>
      </xdr:nvSpPr>
      <xdr:spPr>
        <a:xfrm>
          <a:off x="7332486" y="35453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412221</xdr:colOff>
      <xdr:row>0</xdr:row>
      <xdr:rowOff>343955</xdr:rowOff>
    </xdr:from>
    <xdr:to>
      <xdr:col>9</xdr:col>
      <xdr:colOff>219880</xdr:colOff>
      <xdr:row>1</xdr:row>
      <xdr:rowOff>284612</xdr:rowOff>
    </xdr:to>
    <xdr:sp macro="" textlink="">
      <xdr:nvSpPr>
        <xdr:cNvPr id="73" name="Retângulo 72">
          <a:hlinkClick xmlns:r="http://schemas.openxmlformats.org/officeDocument/2006/relationships" r:id="rId14"/>
        </xdr:cNvPr>
        <xdr:cNvSpPr/>
      </xdr:nvSpPr>
      <xdr:spPr>
        <a:xfrm>
          <a:off x="9513888" y="34395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1404496</xdr:colOff>
      <xdr:row>0</xdr:row>
      <xdr:rowOff>333371</xdr:rowOff>
    </xdr:from>
    <xdr:to>
      <xdr:col>10</xdr:col>
      <xdr:colOff>580948</xdr:colOff>
      <xdr:row>1</xdr:row>
      <xdr:rowOff>274028</xdr:rowOff>
    </xdr:to>
    <xdr:sp macro="" textlink="">
      <xdr:nvSpPr>
        <xdr:cNvPr id="74" name="Retângulo 73">
          <a:hlinkClick xmlns:r="http://schemas.openxmlformats.org/officeDocument/2006/relationships" r:id="rId15"/>
        </xdr:cNvPr>
        <xdr:cNvSpPr/>
      </xdr:nvSpPr>
      <xdr:spPr>
        <a:xfrm>
          <a:off x="11702079" y="33337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616476</xdr:colOff>
      <xdr:row>1</xdr:row>
      <xdr:rowOff>103183</xdr:rowOff>
    </xdr:from>
    <xdr:to>
      <xdr:col>3</xdr:col>
      <xdr:colOff>907266</xdr:colOff>
      <xdr:row>1</xdr:row>
      <xdr:rowOff>446007</xdr:rowOff>
    </xdr:to>
    <xdr:sp macro="" textlink="">
      <xdr:nvSpPr>
        <xdr:cNvPr id="75" name="Retângulo 74">
          <a:hlinkClick xmlns:r="http://schemas.openxmlformats.org/officeDocument/2006/relationships" r:id="rId16"/>
        </xdr:cNvPr>
        <xdr:cNvSpPr/>
      </xdr:nvSpPr>
      <xdr:spPr>
        <a:xfrm>
          <a:off x="1844143" y="505350"/>
          <a:ext cx="999873" cy="342824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37303</xdr:colOff>
      <xdr:row>1</xdr:row>
      <xdr:rowOff>92599</xdr:rowOff>
    </xdr:from>
    <xdr:to>
      <xdr:col>4</xdr:col>
      <xdr:colOff>1035324</xdr:colOff>
      <xdr:row>1</xdr:row>
      <xdr:rowOff>435423</xdr:rowOff>
    </xdr:to>
    <xdr:sp macro="" textlink="">
      <xdr:nvSpPr>
        <xdr:cNvPr id="76" name="Retângulo 75">
          <a:hlinkClick xmlns:r="http://schemas.openxmlformats.org/officeDocument/2006/relationships" r:id="rId17"/>
        </xdr:cNvPr>
        <xdr:cNvSpPr/>
      </xdr:nvSpPr>
      <xdr:spPr>
        <a:xfrm>
          <a:off x="4027220" y="49476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168891</xdr:colOff>
      <xdr:row>1</xdr:row>
      <xdr:rowOff>82015</xdr:rowOff>
    </xdr:from>
    <xdr:to>
      <xdr:col>5</xdr:col>
      <xdr:colOff>1174935</xdr:colOff>
      <xdr:row>1</xdr:row>
      <xdr:rowOff>424839</xdr:rowOff>
    </xdr:to>
    <xdr:sp macro="" textlink="">
      <xdr:nvSpPr>
        <xdr:cNvPr id="77" name="Retângulo 76">
          <a:hlinkClick xmlns:r="http://schemas.openxmlformats.org/officeDocument/2006/relationships" r:id="rId18"/>
        </xdr:cNvPr>
        <xdr:cNvSpPr/>
      </xdr:nvSpPr>
      <xdr:spPr>
        <a:xfrm>
          <a:off x="6211974" y="48418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498296</xdr:colOff>
      <xdr:row>1</xdr:row>
      <xdr:rowOff>71431</xdr:rowOff>
    </xdr:from>
    <xdr:to>
      <xdr:col>8</xdr:col>
      <xdr:colOff>299165</xdr:colOff>
      <xdr:row>1</xdr:row>
      <xdr:rowOff>414255</xdr:rowOff>
    </xdr:to>
    <xdr:sp macro="" textlink="">
      <xdr:nvSpPr>
        <xdr:cNvPr id="78" name="Retângulo 77">
          <a:hlinkClick xmlns:r="http://schemas.openxmlformats.org/officeDocument/2006/relationships" r:id="rId19"/>
        </xdr:cNvPr>
        <xdr:cNvSpPr/>
      </xdr:nvSpPr>
      <xdr:spPr>
        <a:xfrm>
          <a:off x="8404046" y="47359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287865</xdr:colOff>
      <xdr:row>1</xdr:row>
      <xdr:rowOff>60847</xdr:rowOff>
    </xdr:from>
    <xdr:to>
      <xdr:col>9</xdr:col>
      <xdr:colOff>1291440</xdr:colOff>
      <xdr:row>1</xdr:row>
      <xdr:rowOff>403671</xdr:rowOff>
    </xdr:to>
    <xdr:sp macro="" textlink="">
      <xdr:nvSpPr>
        <xdr:cNvPr id="79" name="Retângulo 78">
          <a:hlinkClick xmlns:r="http://schemas.openxmlformats.org/officeDocument/2006/relationships" r:id="rId20"/>
        </xdr:cNvPr>
        <xdr:cNvSpPr/>
      </xdr:nvSpPr>
      <xdr:spPr>
        <a:xfrm>
          <a:off x="10585448" y="46301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11</xdr:col>
      <xdr:colOff>41889</xdr:colOff>
      <xdr:row>1</xdr:row>
      <xdr:rowOff>50263</xdr:rowOff>
    </xdr:from>
    <xdr:to>
      <xdr:col>12</xdr:col>
      <xdr:colOff>424842</xdr:colOff>
      <xdr:row>1</xdr:row>
      <xdr:rowOff>393087</xdr:rowOff>
    </xdr:to>
    <xdr:sp macro="" textlink="">
      <xdr:nvSpPr>
        <xdr:cNvPr id="80" name="Retângulo 79">
          <a:hlinkClick xmlns:r="http://schemas.openxmlformats.org/officeDocument/2006/relationships" r:id="rId21"/>
        </xdr:cNvPr>
        <xdr:cNvSpPr/>
      </xdr:nvSpPr>
      <xdr:spPr>
        <a:xfrm>
          <a:off x="12773639" y="45243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  <xdr:twoCellAnchor>
    <xdr:from>
      <xdr:col>12</xdr:col>
      <xdr:colOff>557893</xdr:colOff>
      <xdr:row>1</xdr:row>
      <xdr:rowOff>54429</xdr:rowOff>
    </xdr:from>
    <xdr:to>
      <xdr:col>13</xdr:col>
      <xdr:colOff>650773</xdr:colOff>
      <xdr:row>1</xdr:row>
      <xdr:rowOff>394607</xdr:rowOff>
    </xdr:to>
    <xdr:sp macro="" textlink="">
      <xdr:nvSpPr>
        <xdr:cNvPr id="81" name="Retângulo 80">
          <a:hlinkClick xmlns:r="http://schemas.openxmlformats.org/officeDocument/2006/relationships" r:id="rId22"/>
        </xdr:cNvPr>
        <xdr:cNvSpPr/>
      </xdr:nvSpPr>
      <xdr:spPr>
        <a:xfrm>
          <a:off x="13906500" y="449036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726925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822176</xdr:colOff>
      <xdr:row>0</xdr:row>
      <xdr:rowOff>43543</xdr:rowOff>
    </xdr:from>
    <xdr:to>
      <xdr:col>17</xdr:col>
      <xdr:colOff>421520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1261809</xdr:colOff>
      <xdr:row>0</xdr:row>
      <xdr:rowOff>52917</xdr:rowOff>
    </xdr:from>
    <xdr:to>
      <xdr:col>8</xdr:col>
      <xdr:colOff>353153</xdr:colOff>
      <xdr:row>0</xdr:row>
      <xdr:rowOff>393095</xdr:rowOff>
    </xdr:to>
    <xdr:sp macro="" textlink="">
      <xdr:nvSpPr>
        <xdr:cNvPr id="56" name="Retângulo 55">
          <a:hlinkClick xmlns:r="http://schemas.openxmlformats.org/officeDocument/2006/relationships" r:id="rId4"/>
        </xdr:cNvPr>
        <xdr:cNvSpPr/>
      </xdr:nvSpPr>
      <xdr:spPr>
        <a:xfrm>
          <a:off x="7304892" y="5291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105834</xdr:colOff>
      <xdr:row>1</xdr:row>
      <xdr:rowOff>15874</xdr:rowOff>
    </xdr:from>
    <xdr:to>
      <xdr:col>2</xdr:col>
      <xdr:colOff>491873</xdr:colOff>
      <xdr:row>1</xdr:row>
      <xdr:rowOff>358698</xdr:rowOff>
    </xdr:to>
    <xdr:sp macro="" textlink="">
      <xdr:nvSpPr>
        <xdr:cNvPr id="57" name="Retângulo 56">
          <a:hlinkClick xmlns:r="http://schemas.openxmlformats.org/officeDocument/2006/relationships" r:id="rId4"/>
        </xdr:cNvPr>
        <xdr:cNvSpPr/>
      </xdr:nvSpPr>
      <xdr:spPr>
        <a:xfrm>
          <a:off x="719667" y="41804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965994</xdr:colOff>
      <xdr:row>1</xdr:row>
      <xdr:rowOff>5290</xdr:rowOff>
    </xdr:from>
    <xdr:to>
      <xdr:col>3</xdr:col>
      <xdr:colOff>1964015</xdr:colOff>
      <xdr:row>1</xdr:row>
      <xdr:rowOff>348114</xdr:rowOff>
    </xdr:to>
    <xdr:sp macro="" textlink="">
      <xdr:nvSpPr>
        <xdr:cNvPr id="58" name="Retângulo 57">
          <a:hlinkClick xmlns:r="http://schemas.openxmlformats.org/officeDocument/2006/relationships" r:id="rId11"/>
        </xdr:cNvPr>
        <xdr:cNvSpPr/>
      </xdr:nvSpPr>
      <xdr:spPr>
        <a:xfrm>
          <a:off x="2902744" y="407457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1097581</xdr:colOff>
      <xdr:row>0</xdr:row>
      <xdr:rowOff>396873</xdr:rowOff>
    </xdr:from>
    <xdr:to>
      <xdr:col>5</xdr:col>
      <xdr:colOff>50459</xdr:colOff>
      <xdr:row>1</xdr:row>
      <xdr:rowOff>337530</xdr:rowOff>
    </xdr:to>
    <xdr:sp macro="" textlink="">
      <xdr:nvSpPr>
        <xdr:cNvPr id="59" name="Retângulo 58">
          <a:hlinkClick xmlns:r="http://schemas.openxmlformats.org/officeDocument/2006/relationships" r:id="rId12"/>
        </xdr:cNvPr>
        <xdr:cNvSpPr/>
      </xdr:nvSpPr>
      <xdr:spPr>
        <a:xfrm>
          <a:off x="5087498" y="39687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1236487</xdr:colOff>
      <xdr:row>0</xdr:row>
      <xdr:rowOff>386289</xdr:rowOff>
    </xdr:from>
    <xdr:to>
      <xdr:col>7</xdr:col>
      <xdr:colOff>370606</xdr:colOff>
      <xdr:row>1</xdr:row>
      <xdr:rowOff>326946</xdr:rowOff>
    </xdr:to>
    <xdr:sp macro="" textlink="">
      <xdr:nvSpPr>
        <xdr:cNvPr id="60" name="Retângulo 59">
          <a:hlinkClick xmlns:r="http://schemas.openxmlformats.org/officeDocument/2006/relationships" r:id="rId13"/>
        </xdr:cNvPr>
        <xdr:cNvSpPr/>
      </xdr:nvSpPr>
      <xdr:spPr>
        <a:xfrm>
          <a:off x="7279570" y="38628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359305</xdr:colOff>
      <xdr:row>0</xdr:row>
      <xdr:rowOff>375705</xdr:rowOff>
    </xdr:from>
    <xdr:to>
      <xdr:col>9</xdr:col>
      <xdr:colOff>166964</xdr:colOff>
      <xdr:row>1</xdr:row>
      <xdr:rowOff>316362</xdr:rowOff>
    </xdr:to>
    <xdr:sp macro="" textlink="">
      <xdr:nvSpPr>
        <xdr:cNvPr id="61" name="Retângulo 60">
          <a:hlinkClick xmlns:r="http://schemas.openxmlformats.org/officeDocument/2006/relationships" r:id="rId14"/>
        </xdr:cNvPr>
        <xdr:cNvSpPr/>
      </xdr:nvSpPr>
      <xdr:spPr>
        <a:xfrm>
          <a:off x="9460972" y="37570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1351580</xdr:colOff>
      <xdr:row>0</xdr:row>
      <xdr:rowOff>365121</xdr:rowOff>
    </xdr:from>
    <xdr:to>
      <xdr:col>10</xdr:col>
      <xdr:colOff>528032</xdr:colOff>
      <xdr:row>1</xdr:row>
      <xdr:rowOff>305778</xdr:rowOff>
    </xdr:to>
    <xdr:sp macro="" textlink="">
      <xdr:nvSpPr>
        <xdr:cNvPr id="62" name="Retângulo 61">
          <a:hlinkClick xmlns:r="http://schemas.openxmlformats.org/officeDocument/2006/relationships" r:id="rId15"/>
        </xdr:cNvPr>
        <xdr:cNvSpPr/>
      </xdr:nvSpPr>
      <xdr:spPr>
        <a:xfrm>
          <a:off x="11649163" y="36512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563560</xdr:colOff>
      <xdr:row>1</xdr:row>
      <xdr:rowOff>134933</xdr:rowOff>
    </xdr:from>
    <xdr:to>
      <xdr:col>3</xdr:col>
      <xdr:colOff>854350</xdr:colOff>
      <xdr:row>2</xdr:row>
      <xdr:rowOff>22674</xdr:rowOff>
    </xdr:to>
    <xdr:sp macro="" textlink="">
      <xdr:nvSpPr>
        <xdr:cNvPr id="63" name="Retângulo 62">
          <a:hlinkClick xmlns:r="http://schemas.openxmlformats.org/officeDocument/2006/relationships" r:id="rId16"/>
        </xdr:cNvPr>
        <xdr:cNvSpPr/>
      </xdr:nvSpPr>
      <xdr:spPr>
        <a:xfrm>
          <a:off x="1791227" y="537100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2037554</xdr:colOff>
      <xdr:row>1</xdr:row>
      <xdr:rowOff>124349</xdr:rowOff>
    </xdr:from>
    <xdr:to>
      <xdr:col>4</xdr:col>
      <xdr:colOff>982408</xdr:colOff>
      <xdr:row>2</xdr:row>
      <xdr:rowOff>12090</xdr:rowOff>
    </xdr:to>
    <xdr:sp macro="" textlink="">
      <xdr:nvSpPr>
        <xdr:cNvPr id="64" name="Retângulo 63">
          <a:hlinkClick xmlns:r="http://schemas.openxmlformats.org/officeDocument/2006/relationships" r:id="rId17"/>
        </xdr:cNvPr>
        <xdr:cNvSpPr/>
      </xdr:nvSpPr>
      <xdr:spPr>
        <a:xfrm>
          <a:off x="3974304" y="52651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115975</xdr:colOff>
      <xdr:row>1</xdr:row>
      <xdr:rowOff>113765</xdr:rowOff>
    </xdr:from>
    <xdr:to>
      <xdr:col>5</xdr:col>
      <xdr:colOff>1122019</xdr:colOff>
      <xdr:row>2</xdr:row>
      <xdr:rowOff>1506</xdr:rowOff>
    </xdr:to>
    <xdr:sp macro="" textlink="">
      <xdr:nvSpPr>
        <xdr:cNvPr id="65" name="Retângulo 64">
          <a:hlinkClick xmlns:r="http://schemas.openxmlformats.org/officeDocument/2006/relationships" r:id="rId18"/>
        </xdr:cNvPr>
        <xdr:cNvSpPr/>
      </xdr:nvSpPr>
      <xdr:spPr>
        <a:xfrm>
          <a:off x="6159058" y="51593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445380</xdr:colOff>
      <xdr:row>1</xdr:row>
      <xdr:rowOff>103181</xdr:rowOff>
    </xdr:from>
    <xdr:to>
      <xdr:col>8</xdr:col>
      <xdr:colOff>246249</xdr:colOff>
      <xdr:row>1</xdr:row>
      <xdr:rowOff>446005</xdr:rowOff>
    </xdr:to>
    <xdr:sp macro="" textlink="">
      <xdr:nvSpPr>
        <xdr:cNvPr id="66" name="Retângulo 65">
          <a:hlinkClick xmlns:r="http://schemas.openxmlformats.org/officeDocument/2006/relationships" r:id="rId19"/>
        </xdr:cNvPr>
        <xdr:cNvSpPr/>
      </xdr:nvSpPr>
      <xdr:spPr>
        <a:xfrm>
          <a:off x="8351130" y="50534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234949</xdr:colOff>
      <xdr:row>1</xdr:row>
      <xdr:rowOff>92597</xdr:rowOff>
    </xdr:from>
    <xdr:to>
      <xdr:col>9</xdr:col>
      <xdr:colOff>1238524</xdr:colOff>
      <xdr:row>1</xdr:row>
      <xdr:rowOff>435421</xdr:rowOff>
    </xdr:to>
    <xdr:sp macro="" textlink="">
      <xdr:nvSpPr>
        <xdr:cNvPr id="67" name="Retângulo 66">
          <a:hlinkClick xmlns:r="http://schemas.openxmlformats.org/officeDocument/2006/relationships" r:id="rId20"/>
        </xdr:cNvPr>
        <xdr:cNvSpPr/>
      </xdr:nvSpPr>
      <xdr:spPr>
        <a:xfrm>
          <a:off x="10532532" y="49476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602806</xdr:colOff>
      <xdr:row>1</xdr:row>
      <xdr:rowOff>82013</xdr:rowOff>
    </xdr:from>
    <xdr:to>
      <xdr:col>12</xdr:col>
      <xdr:colOff>371926</xdr:colOff>
      <xdr:row>1</xdr:row>
      <xdr:rowOff>424837</xdr:rowOff>
    </xdr:to>
    <xdr:sp macro="" textlink="">
      <xdr:nvSpPr>
        <xdr:cNvPr id="68" name="Retângulo 67">
          <a:hlinkClick xmlns:r="http://schemas.openxmlformats.org/officeDocument/2006/relationships" r:id="rId21"/>
        </xdr:cNvPr>
        <xdr:cNvSpPr/>
      </xdr:nvSpPr>
      <xdr:spPr>
        <a:xfrm>
          <a:off x="12720723" y="48418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1272392</xdr:colOff>
      <xdr:row>0</xdr:row>
      <xdr:rowOff>31750</xdr:rowOff>
    </xdr:from>
    <xdr:to>
      <xdr:col>8</xdr:col>
      <xdr:colOff>363736</xdr:colOff>
      <xdr:row>0</xdr:row>
      <xdr:rowOff>371928</xdr:rowOff>
    </xdr:to>
    <xdr:sp macro="" textlink="">
      <xdr:nvSpPr>
        <xdr:cNvPr id="56" name="Retângulo 55">
          <a:hlinkClick xmlns:r="http://schemas.openxmlformats.org/officeDocument/2006/relationships" r:id="rId4"/>
        </xdr:cNvPr>
        <xdr:cNvSpPr/>
      </xdr:nvSpPr>
      <xdr:spPr>
        <a:xfrm>
          <a:off x="7315475" y="31750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116417</xdr:colOff>
      <xdr:row>0</xdr:row>
      <xdr:rowOff>396874</xdr:rowOff>
    </xdr:from>
    <xdr:to>
      <xdr:col>2</xdr:col>
      <xdr:colOff>502456</xdr:colOff>
      <xdr:row>1</xdr:row>
      <xdr:rowOff>337531</xdr:rowOff>
    </xdr:to>
    <xdr:sp macro="" textlink="">
      <xdr:nvSpPr>
        <xdr:cNvPr id="57" name="Retângulo 56">
          <a:hlinkClick xmlns:r="http://schemas.openxmlformats.org/officeDocument/2006/relationships" r:id="rId4"/>
        </xdr:cNvPr>
        <xdr:cNvSpPr/>
      </xdr:nvSpPr>
      <xdr:spPr>
        <a:xfrm>
          <a:off x="730250" y="39687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976577</xdr:colOff>
      <xdr:row>0</xdr:row>
      <xdr:rowOff>386290</xdr:rowOff>
    </xdr:from>
    <xdr:to>
      <xdr:col>3</xdr:col>
      <xdr:colOff>1974598</xdr:colOff>
      <xdr:row>1</xdr:row>
      <xdr:rowOff>326947</xdr:rowOff>
    </xdr:to>
    <xdr:sp macro="" textlink="">
      <xdr:nvSpPr>
        <xdr:cNvPr id="58" name="Retângulo 57">
          <a:hlinkClick xmlns:r="http://schemas.openxmlformats.org/officeDocument/2006/relationships" r:id="rId11"/>
        </xdr:cNvPr>
        <xdr:cNvSpPr/>
      </xdr:nvSpPr>
      <xdr:spPr>
        <a:xfrm>
          <a:off x="2913327" y="38629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1108164</xdr:colOff>
      <xdr:row>0</xdr:row>
      <xdr:rowOff>375706</xdr:rowOff>
    </xdr:from>
    <xdr:to>
      <xdr:col>5</xdr:col>
      <xdr:colOff>61042</xdr:colOff>
      <xdr:row>1</xdr:row>
      <xdr:rowOff>316363</xdr:rowOff>
    </xdr:to>
    <xdr:sp macro="" textlink="">
      <xdr:nvSpPr>
        <xdr:cNvPr id="59" name="Retângulo 58">
          <a:hlinkClick xmlns:r="http://schemas.openxmlformats.org/officeDocument/2006/relationships" r:id="rId12"/>
        </xdr:cNvPr>
        <xdr:cNvSpPr/>
      </xdr:nvSpPr>
      <xdr:spPr>
        <a:xfrm>
          <a:off x="5098081" y="37570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1247070</xdr:colOff>
      <xdr:row>0</xdr:row>
      <xdr:rowOff>365122</xdr:rowOff>
    </xdr:from>
    <xdr:to>
      <xdr:col>7</xdr:col>
      <xdr:colOff>381189</xdr:colOff>
      <xdr:row>1</xdr:row>
      <xdr:rowOff>305779</xdr:rowOff>
    </xdr:to>
    <xdr:sp macro="" textlink="">
      <xdr:nvSpPr>
        <xdr:cNvPr id="60" name="Retângulo 59">
          <a:hlinkClick xmlns:r="http://schemas.openxmlformats.org/officeDocument/2006/relationships" r:id="rId13"/>
        </xdr:cNvPr>
        <xdr:cNvSpPr/>
      </xdr:nvSpPr>
      <xdr:spPr>
        <a:xfrm>
          <a:off x="7290153" y="365122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369888</xdr:colOff>
      <xdr:row>0</xdr:row>
      <xdr:rowOff>354538</xdr:rowOff>
    </xdr:from>
    <xdr:to>
      <xdr:col>9</xdr:col>
      <xdr:colOff>177547</xdr:colOff>
      <xdr:row>1</xdr:row>
      <xdr:rowOff>295195</xdr:rowOff>
    </xdr:to>
    <xdr:sp macro="" textlink="">
      <xdr:nvSpPr>
        <xdr:cNvPr id="61" name="Retângulo 60">
          <a:hlinkClick xmlns:r="http://schemas.openxmlformats.org/officeDocument/2006/relationships" r:id="rId14"/>
        </xdr:cNvPr>
        <xdr:cNvSpPr/>
      </xdr:nvSpPr>
      <xdr:spPr>
        <a:xfrm>
          <a:off x="9471555" y="35453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1362163</xdr:colOff>
      <xdr:row>0</xdr:row>
      <xdr:rowOff>343954</xdr:rowOff>
    </xdr:from>
    <xdr:to>
      <xdr:col>10</xdr:col>
      <xdr:colOff>538615</xdr:colOff>
      <xdr:row>1</xdr:row>
      <xdr:rowOff>284611</xdr:rowOff>
    </xdr:to>
    <xdr:sp macro="" textlink="">
      <xdr:nvSpPr>
        <xdr:cNvPr id="62" name="Retângulo 61">
          <a:hlinkClick xmlns:r="http://schemas.openxmlformats.org/officeDocument/2006/relationships" r:id="rId15"/>
        </xdr:cNvPr>
        <xdr:cNvSpPr/>
      </xdr:nvSpPr>
      <xdr:spPr>
        <a:xfrm>
          <a:off x="11659746" y="34395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574143</xdr:colOff>
      <xdr:row>1</xdr:row>
      <xdr:rowOff>113766</xdr:rowOff>
    </xdr:from>
    <xdr:to>
      <xdr:col>3</xdr:col>
      <xdr:colOff>864933</xdr:colOff>
      <xdr:row>2</xdr:row>
      <xdr:rowOff>1507</xdr:rowOff>
    </xdr:to>
    <xdr:sp macro="" textlink="">
      <xdr:nvSpPr>
        <xdr:cNvPr id="63" name="Retângulo 62">
          <a:hlinkClick xmlns:r="http://schemas.openxmlformats.org/officeDocument/2006/relationships" r:id="rId16"/>
        </xdr:cNvPr>
        <xdr:cNvSpPr/>
      </xdr:nvSpPr>
      <xdr:spPr>
        <a:xfrm>
          <a:off x="1801810" y="515933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2048137</xdr:colOff>
      <xdr:row>1</xdr:row>
      <xdr:rowOff>103182</xdr:rowOff>
    </xdr:from>
    <xdr:to>
      <xdr:col>4</xdr:col>
      <xdr:colOff>992991</xdr:colOff>
      <xdr:row>1</xdr:row>
      <xdr:rowOff>446006</xdr:rowOff>
    </xdr:to>
    <xdr:sp macro="" textlink="">
      <xdr:nvSpPr>
        <xdr:cNvPr id="64" name="Retângulo 63">
          <a:hlinkClick xmlns:r="http://schemas.openxmlformats.org/officeDocument/2006/relationships" r:id="rId17"/>
        </xdr:cNvPr>
        <xdr:cNvSpPr/>
      </xdr:nvSpPr>
      <xdr:spPr>
        <a:xfrm>
          <a:off x="3984887" y="505349"/>
          <a:ext cx="998021" cy="342824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126558</xdr:colOff>
      <xdr:row>1</xdr:row>
      <xdr:rowOff>92598</xdr:rowOff>
    </xdr:from>
    <xdr:to>
      <xdr:col>5</xdr:col>
      <xdr:colOff>1132602</xdr:colOff>
      <xdr:row>1</xdr:row>
      <xdr:rowOff>435422</xdr:rowOff>
    </xdr:to>
    <xdr:sp macro="" textlink="">
      <xdr:nvSpPr>
        <xdr:cNvPr id="65" name="Retângulo 64">
          <a:hlinkClick xmlns:r="http://schemas.openxmlformats.org/officeDocument/2006/relationships" r:id="rId18"/>
        </xdr:cNvPr>
        <xdr:cNvSpPr/>
      </xdr:nvSpPr>
      <xdr:spPr>
        <a:xfrm>
          <a:off x="6169641" y="494765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455963</xdr:colOff>
      <xdr:row>1</xdr:row>
      <xdr:rowOff>82014</xdr:rowOff>
    </xdr:from>
    <xdr:to>
      <xdr:col>8</xdr:col>
      <xdr:colOff>256832</xdr:colOff>
      <xdr:row>1</xdr:row>
      <xdr:rowOff>424838</xdr:rowOff>
    </xdr:to>
    <xdr:sp macro="" textlink="">
      <xdr:nvSpPr>
        <xdr:cNvPr id="66" name="Retângulo 65">
          <a:hlinkClick xmlns:r="http://schemas.openxmlformats.org/officeDocument/2006/relationships" r:id="rId19"/>
        </xdr:cNvPr>
        <xdr:cNvSpPr/>
      </xdr:nvSpPr>
      <xdr:spPr>
        <a:xfrm>
          <a:off x="8361713" y="48418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245532</xdr:colOff>
      <xdr:row>1</xdr:row>
      <xdr:rowOff>71430</xdr:rowOff>
    </xdr:from>
    <xdr:to>
      <xdr:col>9</xdr:col>
      <xdr:colOff>1249107</xdr:colOff>
      <xdr:row>1</xdr:row>
      <xdr:rowOff>414254</xdr:rowOff>
    </xdr:to>
    <xdr:sp macro="" textlink="">
      <xdr:nvSpPr>
        <xdr:cNvPr id="67" name="Retângulo 66">
          <a:hlinkClick xmlns:r="http://schemas.openxmlformats.org/officeDocument/2006/relationships" r:id="rId20"/>
        </xdr:cNvPr>
        <xdr:cNvSpPr/>
      </xdr:nvSpPr>
      <xdr:spPr>
        <a:xfrm>
          <a:off x="10543115" y="473597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613389</xdr:colOff>
      <xdr:row>1</xdr:row>
      <xdr:rowOff>60846</xdr:rowOff>
    </xdr:from>
    <xdr:to>
      <xdr:col>12</xdr:col>
      <xdr:colOff>382509</xdr:colOff>
      <xdr:row>1</xdr:row>
      <xdr:rowOff>403670</xdr:rowOff>
    </xdr:to>
    <xdr:sp macro="" textlink="">
      <xdr:nvSpPr>
        <xdr:cNvPr id="68" name="Retângulo 67">
          <a:hlinkClick xmlns:r="http://schemas.openxmlformats.org/officeDocument/2006/relationships" r:id="rId21"/>
        </xdr:cNvPr>
        <xdr:cNvSpPr/>
      </xdr:nvSpPr>
      <xdr:spPr>
        <a:xfrm>
          <a:off x="12731306" y="46301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1293558</xdr:colOff>
      <xdr:row>0</xdr:row>
      <xdr:rowOff>63501</xdr:rowOff>
    </xdr:from>
    <xdr:to>
      <xdr:col>8</xdr:col>
      <xdr:colOff>300236</xdr:colOff>
      <xdr:row>1</xdr:row>
      <xdr:rowOff>1512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336641" y="63501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137583</xdr:colOff>
      <xdr:row>1</xdr:row>
      <xdr:rowOff>26458</xdr:rowOff>
    </xdr:from>
    <xdr:to>
      <xdr:col>2</xdr:col>
      <xdr:colOff>523622</xdr:colOff>
      <xdr:row>1</xdr:row>
      <xdr:rowOff>369282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51416" y="428625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997743</xdr:colOff>
      <xdr:row>1</xdr:row>
      <xdr:rowOff>15874</xdr:rowOff>
    </xdr:from>
    <xdr:to>
      <xdr:col>3</xdr:col>
      <xdr:colOff>1995764</xdr:colOff>
      <xdr:row>1</xdr:row>
      <xdr:rowOff>358698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934493" y="418041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1129330</xdr:colOff>
      <xdr:row>1</xdr:row>
      <xdr:rowOff>5290</xdr:rowOff>
    </xdr:from>
    <xdr:to>
      <xdr:col>5</xdr:col>
      <xdr:colOff>82208</xdr:colOff>
      <xdr:row>1</xdr:row>
      <xdr:rowOff>348114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119247" y="407457"/>
          <a:ext cx="1006044" cy="34282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1268236</xdr:colOff>
      <xdr:row>0</xdr:row>
      <xdr:rowOff>396873</xdr:rowOff>
    </xdr:from>
    <xdr:to>
      <xdr:col>7</xdr:col>
      <xdr:colOff>402355</xdr:colOff>
      <xdr:row>1</xdr:row>
      <xdr:rowOff>337530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311319" y="39687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306388</xdr:colOff>
      <xdr:row>0</xdr:row>
      <xdr:rowOff>386289</xdr:rowOff>
    </xdr:from>
    <xdr:to>
      <xdr:col>9</xdr:col>
      <xdr:colOff>29379</xdr:colOff>
      <xdr:row>1</xdr:row>
      <xdr:rowOff>326946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492721" y="386289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1213995</xdr:colOff>
      <xdr:row>0</xdr:row>
      <xdr:rowOff>375705</xdr:rowOff>
    </xdr:from>
    <xdr:to>
      <xdr:col>10</xdr:col>
      <xdr:colOff>390448</xdr:colOff>
      <xdr:row>1</xdr:row>
      <xdr:rowOff>316362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80912" y="375705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595309</xdr:colOff>
      <xdr:row>1</xdr:row>
      <xdr:rowOff>145517</xdr:rowOff>
    </xdr:from>
    <xdr:to>
      <xdr:col>3</xdr:col>
      <xdr:colOff>886099</xdr:colOff>
      <xdr:row>2</xdr:row>
      <xdr:rowOff>33258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822976" y="54768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16136</xdr:colOff>
      <xdr:row>1</xdr:row>
      <xdr:rowOff>134933</xdr:rowOff>
    </xdr:from>
    <xdr:to>
      <xdr:col>4</xdr:col>
      <xdr:colOff>1014157</xdr:colOff>
      <xdr:row>2</xdr:row>
      <xdr:rowOff>22674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4006053" y="53710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147724</xdr:colOff>
      <xdr:row>1</xdr:row>
      <xdr:rowOff>124349</xdr:rowOff>
    </xdr:from>
    <xdr:to>
      <xdr:col>5</xdr:col>
      <xdr:colOff>1153768</xdr:colOff>
      <xdr:row>2</xdr:row>
      <xdr:rowOff>12090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190807" y="52651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477129</xdr:colOff>
      <xdr:row>1</xdr:row>
      <xdr:rowOff>113765</xdr:rowOff>
    </xdr:from>
    <xdr:to>
      <xdr:col>8</xdr:col>
      <xdr:colOff>193332</xdr:colOff>
      <xdr:row>2</xdr:row>
      <xdr:rowOff>1506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82879" y="515932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97364</xdr:colOff>
      <xdr:row>1</xdr:row>
      <xdr:rowOff>103181</xdr:rowOff>
    </xdr:from>
    <xdr:to>
      <xdr:col>9</xdr:col>
      <xdr:colOff>1100939</xdr:colOff>
      <xdr:row>1</xdr:row>
      <xdr:rowOff>446005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64281" y="50534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465222</xdr:colOff>
      <xdr:row>1</xdr:row>
      <xdr:rowOff>92597</xdr:rowOff>
    </xdr:from>
    <xdr:to>
      <xdr:col>12</xdr:col>
      <xdr:colOff>234341</xdr:colOff>
      <xdr:row>1</xdr:row>
      <xdr:rowOff>435421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52472" y="49476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1304141</xdr:colOff>
      <xdr:row>0</xdr:row>
      <xdr:rowOff>52917</xdr:rowOff>
    </xdr:from>
    <xdr:to>
      <xdr:col>8</xdr:col>
      <xdr:colOff>395485</xdr:colOff>
      <xdr:row>0</xdr:row>
      <xdr:rowOff>393095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347224" y="5291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148166</xdr:colOff>
      <xdr:row>1</xdr:row>
      <xdr:rowOff>15874</xdr:rowOff>
    </xdr:from>
    <xdr:to>
      <xdr:col>2</xdr:col>
      <xdr:colOff>534205</xdr:colOff>
      <xdr:row>1</xdr:row>
      <xdr:rowOff>358698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61999" y="41804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1008326</xdr:colOff>
      <xdr:row>1</xdr:row>
      <xdr:rowOff>5290</xdr:rowOff>
    </xdr:from>
    <xdr:to>
      <xdr:col>3</xdr:col>
      <xdr:colOff>2006347</xdr:colOff>
      <xdr:row>1</xdr:row>
      <xdr:rowOff>348114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945076" y="407457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1139913</xdr:colOff>
      <xdr:row>0</xdr:row>
      <xdr:rowOff>396873</xdr:rowOff>
    </xdr:from>
    <xdr:to>
      <xdr:col>5</xdr:col>
      <xdr:colOff>92791</xdr:colOff>
      <xdr:row>1</xdr:row>
      <xdr:rowOff>337530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129830" y="39687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1278819</xdr:colOff>
      <xdr:row>0</xdr:row>
      <xdr:rowOff>386289</xdr:rowOff>
    </xdr:from>
    <xdr:to>
      <xdr:col>7</xdr:col>
      <xdr:colOff>412938</xdr:colOff>
      <xdr:row>1</xdr:row>
      <xdr:rowOff>326946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321902" y="38628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401637</xdr:colOff>
      <xdr:row>0</xdr:row>
      <xdr:rowOff>375705</xdr:rowOff>
    </xdr:from>
    <xdr:to>
      <xdr:col>9</xdr:col>
      <xdr:colOff>209296</xdr:colOff>
      <xdr:row>1</xdr:row>
      <xdr:rowOff>316362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503304" y="37570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1393912</xdr:colOff>
      <xdr:row>0</xdr:row>
      <xdr:rowOff>365121</xdr:rowOff>
    </xdr:from>
    <xdr:to>
      <xdr:col>10</xdr:col>
      <xdr:colOff>570364</xdr:colOff>
      <xdr:row>1</xdr:row>
      <xdr:rowOff>305778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91495" y="36512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605892</xdr:colOff>
      <xdr:row>1</xdr:row>
      <xdr:rowOff>134933</xdr:rowOff>
    </xdr:from>
    <xdr:to>
      <xdr:col>3</xdr:col>
      <xdr:colOff>896682</xdr:colOff>
      <xdr:row>2</xdr:row>
      <xdr:rowOff>22674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833559" y="537100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26719</xdr:colOff>
      <xdr:row>1</xdr:row>
      <xdr:rowOff>124349</xdr:rowOff>
    </xdr:from>
    <xdr:to>
      <xdr:col>4</xdr:col>
      <xdr:colOff>1024740</xdr:colOff>
      <xdr:row>2</xdr:row>
      <xdr:rowOff>12090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4016636" y="52651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158307</xdr:colOff>
      <xdr:row>1</xdr:row>
      <xdr:rowOff>113765</xdr:rowOff>
    </xdr:from>
    <xdr:to>
      <xdr:col>5</xdr:col>
      <xdr:colOff>1164351</xdr:colOff>
      <xdr:row>2</xdr:row>
      <xdr:rowOff>1506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201390" y="51593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487712</xdr:colOff>
      <xdr:row>1</xdr:row>
      <xdr:rowOff>103181</xdr:rowOff>
    </xdr:from>
    <xdr:to>
      <xdr:col>8</xdr:col>
      <xdr:colOff>288581</xdr:colOff>
      <xdr:row>1</xdr:row>
      <xdr:rowOff>446005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93462" y="50534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277281</xdr:colOff>
      <xdr:row>1</xdr:row>
      <xdr:rowOff>92597</xdr:rowOff>
    </xdr:from>
    <xdr:to>
      <xdr:col>9</xdr:col>
      <xdr:colOff>1280856</xdr:colOff>
      <xdr:row>1</xdr:row>
      <xdr:rowOff>435421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74864" y="49476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11</xdr:col>
      <xdr:colOff>31305</xdr:colOff>
      <xdr:row>1</xdr:row>
      <xdr:rowOff>82013</xdr:rowOff>
    </xdr:from>
    <xdr:to>
      <xdr:col>12</xdr:col>
      <xdr:colOff>414258</xdr:colOff>
      <xdr:row>1</xdr:row>
      <xdr:rowOff>424837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63055" y="48418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726925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822176</xdr:colOff>
      <xdr:row>0</xdr:row>
      <xdr:rowOff>43543</xdr:rowOff>
    </xdr:from>
    <xdr:to>
      <xdr:col>17</xdr:col>
      <xdr:colOff>421520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1251225</xdr:colOff>
      <xdr:row>0</xdr:row>
      <xdr:rowOff>31750</xdr:rowOff>
    </xdr:from>
    <xdr:to>
      <xdr:col>8</xdr:col>
      <xdr:colOff>342569</xdr:colOff>
      <xdr:row>0</xdr:row>
      <xdr:rowOff>371928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294308" y="31750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95250</xdr:colOff>
      <xdr:row>0</xdr:row>
      <xdr:rowOff>396874</xdr:rowOff>
    </xdr:from>
    <xdr:to>
      <xdr:col>2</xdr:col>
      <xdr:colOff>481289</xdr:colOff>
      <xdr:row>1</xdr:row>
      <xdr:rowOff>337531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09083" y="39687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955410</xdr:colOff>
      <xdr:row>0</xdr:row>
      <xdr:rowOff>386290</xdr:rowOff>
    </xdr:from>
    <xdr:to>
      <xdr:col>3</xdr:col>
      <xdr:colOff>1953431</xdr:colOff>
      <xdr:row>1</xdr:row>
      <xdr:rowOff>326947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892160" y="38629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1086997</xdr:colOff>
      <xdr:row>0</xdr:row>
      <xdr:rowOff>375706</xdr:rowOff>
    </xdr:from>
    <xdr:to>
      <xdr:col>5</xdr:col>
      <xdr:colOff>39875</xdr:colOff>
      <xdr:row>1</xdr:row>
      <xdr:rowOff>316363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076914" y="37570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1225903</xdr:colOff>
      <xdr:row>0</xdr:row>
      <xdr:rowOff>365122</xdr:rowOff>
    </xdr:from>
    <xdr:to>
      <xdr:col>7</xdr:col>
      <xdr:colOff>360022</xdr:colOff>
      <xdr:row>1</xdr:row>
      <xdr:rowOff>305779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268986" y="365122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348721</xdr:colOff>
      <xdr:row>0</xdr:row>
      <xdr:rowOff>354538</xdr:rowOff>
    </xdr:from>
    <xdr:to>
      <xdr:col>9</xdr:col>
      <xdr:colOff>156380</xdr:colOff>
      <xdr:row>1</xdr:row>
      <xdr:rowOff>295195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450388" y="35453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1340996</xdr:colOff>
      <xdr:row>0</xdr:row>
      <xdr:rowOff>343954</xdr:rowOff>
    </xdr:from>
    <xdr:to>
      <xdr:col>10</xdr:col>
      <xdr:colOff>517448</xdr:colOff>
      <xdr:row>1</xdr:row>
      <xdr:rowOff>284611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38579" y="34395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552976</xdr:colOff>
      <xdr:row>1</xdr:row>
      <xdr:rowOff>113766</xdr:rowOff>
    </xdr:from>
    <xdr:to>
      <xdr:col>3</xdr:col>
      <xdr:colOff>843766</xdr:colOff>
      <xdr:row>2</xdr:row>
      <xdr:rowOff>1507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780643" y="515933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2026970</xdr:colOff>
      <xdr:row>1</xdr:row>
      <xdr:rowOff>103182</xdr:rowOff>
    </xdr:from>
    <xdr:to>
      <xdr:col>4</xdr:col>
      <xdr:colOff>971824</xdr:colOff>
      <xdr:row>1</xdr:row>
      <xdr:rowOff>446006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3963720" y="505349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105391</xdr:colOff>
      <xdr:row>1</xdr:row>
      <xdr:rowOff>92598</xdr:rowOff>
    </xdr:from>
    <xdr:to>
      <xdr:col>5</xdr:col>
      <xdr:colOff>1111435</xdr:colOff>
      <xdr:row>1</xdr:row>
      <xdr:rowOff>435422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148474" y="494765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434796</xdr:colOff>
      <xdr:row>1</xdr:row>
      <xdr:rowOff>82014</xdr:rowOff>
    </xdr:from>
    <xdr:to>
      <xdr:col>8</xdr:col>
      <xdr:colOff>235665</xdr:colOff>
      <xdr:row>1</xdr:row>
      <xdr:rowOff>424838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40546" y="48418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224365</xdr:colOff>
      <xdr:row>1</xdr:row>
      <xdr:rowOff>71430</xdr:rowOff>
    </xdr:from>
    <xdr:to>
      <xdr:col>9</xdr:col>
      <xdr:colOff>1227940</xdr:colOff>
      <xdr:row>1</xdr:row>
      <xdr:rowOff>414254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21948" y="473597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592222</xdr:colOff>
      <xdr:row>1</xdr:row>
      <xdr:rowOff>60846</xdr:rowOff>
    </xdr:from>
    <xdr:to>
      <xdr:col>12</xdr:col>
      <xdr:colOff>361342</xdr:colOff>
      <xdr:row>1</xdr:row>
      <xdr:rowOff>403670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10139" y="46301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49893</xdr:colOff>
      <xdr:row>0</xdr:row>
      <xdr:rowOff>40822</xdr:rowOff>
    </xdr:from>
    <xdr:to>
      <xdr:col>2</xdr:col>
      <xdr:colOff>1596571</xdr:colOff>
      <xdr:row>0</xdr:row>
      <xdr:rowOff>381000</xdr:rowOff>
    </xdr:to>
    <xdr:sp macro="" textlink="">
      <xdr:nvSpPr>
        <xdr:cNvPr id="32" name="Retângulo 3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1626507</xdr:colOff>
      <xdr:row>0</xdr:row>
      <xdr:rowOff>43544</xdr:rowOff>
    </xdr:from>
    <xdr:to>
      <xdr:col>4</xdr:col>
      <xdr:colOff>29935</xdr:colOff>
      <xdr:row>0</xdr:row>
      <xdr:rowOff>383722</xdr:rowOff>
    </xdr:to>
    <xdr:sp macro="" textlink="">
      <xdr:nvSpPr>
        <xdr:cNvPr id="33" name="Retângulo 3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125185</xdr:colOff>
      <xdr:row>0</xdr:row>
      <xdr:rowOff>29936</xdr:rowOff>
    </xdr:from>
    <xdr:to>
      <xdr:col>5</xdr:col>
      <xdr:colOff>227238</xdr:colOff>
      <xdr:row>0</xdr:row>
      <xdr:rowOff>370114</xdr:rowOff>
    </xdr:to>
    <xdr:sp macro="" textlink="">
      <xdr:nvSpPr>
        <xdr:cNvPr id="34" name="Retângulo 3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322489</xdr:colOff>
      <xdr:row>0</xdr:row>
      <xdr:rowOff>43543</xdr:rowOff>
    </xdr:from>
    <xdr:to>
      <xdr:col>7</xdr:col>
      <xdr:colOff>599167</xdr:colOff>
      <xdr:row>0</xdr:row>
      <xdr:rowOff>383721</xdr:rowOff>
    </xdr:to>
    <xdr:sp macro="" textlink="">
      <xdr:nvSpPr>
        <xdr:cNvPr id="35" name="Retângulo 3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694418</xdr:colOff>
      <xdr:row>0</xdr:row>
      <xdr:rowOff>43543</xdr:rowOff>
    </xdr:from>
    <xdr:to>
      <xdr:col>9</xdr:col>
      <xdr:colOff>304346</xdr:colOff>
      <xdr:row>0</xdr:row>
      <xdr:rowOff>383721</xdr:rowOff>
    </xdr:to>
    <xdr:sp macro="" textlink="">
      <xdr:nvSpPr>
        <xdr:cNvPr id="36" name="Retângulo 3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399597</xdr:colOff>
      <xdr:row>0</xdr:row>
      <xdr:rowOff>43543</xdr:rowOff>
    </xdr:from>
    <xdr:to>
      <xdr:col>10</xdr:col>
      <xdr:colOff>231775</xdr:colOff>
      <xdr:row>0</xdr:row>
      <xdr:rowOff>383721</xdr:rowOff>
    </xdr:to>
    <xdr:sp macro="" textlink="">
      <xdr:nvSpPr>
        <xdr:cNvPr id="37" name="Retângulo 3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327026</xdr:colOff>
      <xdr:row>0</xdr:row>
      <xdr:rowOff>43543</xdr:rowOff>
    </xdr:from>
    <xdr:to>
      <xdr:col>12</xdr:col>
      <xdr:colOff>1270454</xdr:colOff>
      <xdr:row>0</xdr:row>
      <xdr:rowOff>383721</xdr:rowOff>
    </xdr:to>
    <xdr:sp macro="" textlink="">
      <xdr:nvSpPr>
        <xdr:cNvPr id="38" name="Retângulo 3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1365705</xdr:colOff>
      <xdr:row>0</xdr:row>
      <xdr:rowOff>43543</xdr:rowOff>
    </xdr:from>
    <xdr:to>
      <xdr:col>13</xdr:col>
      <xdr:colOff>1467758</xdr:colOff>
      <xdr:row>0</xdr:row>
      <xdr:rowOff>383721</xdr:rowOff>
    </xdr:to>
    <xdr:sp macro="" textlink="">
      <xdr:nvSpPr>
        <xdr:cNvPr id="39" name="Retângulo 3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1563009</xdr:colOff>
      <xdr:row>0</xdr:row>
      <xdr:rowOff>43543</xdr:rowOff>
    </xdr:from>
    <xdr:to>
      <xdr:col>15</xdr:col>
      <xdr:colOff>268062</xdr:colOff>
      <xdr:row>0</xdr:row>
      <xdr:rowOff>383721</xdr:rowOff>
    </xdr:to>
    <xdr:sp macro="" textlink="">
      <xdr:nvSpPr>
        <xdr:cNvPr id="40" name="Retângulo 3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41" name="Imagem 4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346350</xdr:colOff>
      <xdr:row>0</xdr:row>
      <xdr:rowOff>63500</xdr:rowOff>
    </xdr:from>
    <xdr:to>
      <xdr:col>7</xdr:col>
      <xdr:colOff>623028</xdr:colOff>
      <xdr:row>1</xdr:row>
      <xdr:rowOff>6803</xdr:rowOff>
    </xdr:to>
    <xdr:sp macro="" textlink="">
      <xdr:nvSpPr>
        <xdr:cNvPr id="42" name="Retângulo 41">
          <a:hlinkClick xmlns:r="http://schemas.openxmlformats.org/officeDocument/2006/relationships" r:id="rId4"/>
        </xdr:cNvPr>
        <xdr:cNvSpPr/>
      </xdr:nvSpPr>
      <xdr:spPr>
        <a:xfrm>
          <a:off x="7347225" y="63500"/>
          <a:ext cx="2149928" cy="340178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1</xdr:row>
      <xdr:rowOff>31749</xdr:rowOff>
    </xdr:from>
    <xdr:to>
      <xdr:col>2</xdr:col>
      <xdr:colOff>555373</xdr:colOff>
      <xdr:row>1</xdr:row>
      <xdr:rowOff>374573</xdr:rowOff>
    </xdr:to>
    <xdr:sp macro="" textlink="">
      <xdr:nvSpPr>
        <xdr:cNvPr id="43" name="Retângulo 42">
          <a:hlinkClick xmlns:r="http://schemas.openxmlformats.org/officeDocument/2006/relationships" r:id="rId4"/>
        </xdr:cNvPr>
        <xdr:cNvSpPr/>
      </xdr:nvSpPr>
      <xdr:spPr>
        <a:xfrm>
          <a:off x="762000" y="428624"/>
          <a:ext cx="999873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39952</xdr:colOff>
      <xdr:row>1</xdr:row>
      <xdr:rowOff>21165</xdr:rowOff>
    </xdr:from>
    <xdr:to>
      <xdr:col>3</xdr:col>
      <xdr:colOff>1037973</xdr:colOff>
      <xdr:row>1</xdr:row>
      <xdr:rowOff>363989</xdr:rowOff>
    </xdr:to>
    <xdr:sp macro="" textlink="">
      <xdr:nvSpPr>
        <xdr:cNvPr id="44" name="Retângulo 43">
          <a:hlinkClick xmlns:r="http://schemas.openxmlformats.org/officeDocument/2006/relationships" r:id="rId11"/>
        </xdr:cNvPr>
        <xdr:cNvSpPr/>
      </xdr:nvSpPr>
      <xdr:spPr>
        <a:xfrm>
          <a:off x="2945077" y="418040"/>
          <a:ext cx="998021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176831</xdr:colOff>
      <xdr:row>1</xdr:row>
      <xdr:rowOff>10581</xdr:rowOff>
    </xdr:from>
    <xdr:to>
      <xdr:col>4</xdr:col>
      <xdr:colOff>1182875</xdr:colOff>
      <xdr:row>1</xdr:row>
      <xdr:rowOff>353405</xdr:rowOff>
    </xdr:to>
    <xdr:sp macro="" textlink="">
      <xdr:nvSpPr>
        <xdr:cNvPr id="45" name="Retângulo 44">
          <a:hlinkClick xmlns:r="http://schemas.openxmlformats.org/officeDocument/2006/relationships" r:id="rId12"/>
        </xdr:cNvPr>
        <xdr:cNvSpPr/>
      </xdr:nvSpPr>
      <xdr:spPr>
        <a:xfrm>
          <a:off x="5129831" y="407456"/>
          <a:ext cx="1006044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321028</xdr:colOff>
      <xdr:row>0</xdr:row>
      <xdr:rowOff>396872</xdr:rowOff>
    </xdr:from>
    <xdr:to>
      <xdr:col>5</xdr:col>
      <xdr:colOff>1317814</xdr:colOff>
      <xdr:row>1</xdr:row>
      <xdr:rowOff>342821</xdr:rowOff>
    </xdr:to>
    <xdr:sp macro="" textlink="">
      <xdr:nvSpPr>
        <xdr:cNvPr id="46" name="Retângulo 45">
          <a:hlinkClick xmlns:r="http://schemas.openxmlformats.org/officeDocument/2006/relationships" r:id="rId13"/>
        </xdr:cNvPr>
        <xdr:cNvSpPr/>
      </xdr:nvSpPr>
      <xdr:spPr>
        <a:xfrm>
          <a:off x="7321903" y="396872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7</xdr:col>
      <xdr:colOff>629180</xdr:colOff>
      <xdr:row>0</xdr:row>
      <xdr:rowOff>386288</xdr:rowOff>
    </xdr:from>
    <xdr:to>
      <xdr:col>8</xdr:col>
      <xdr:colOff>362755</xdr:colOff>
      <xdr:row>1</xdr:row>
      <xdr:rowOff>332237</xdr:rowOff>
    </xdr:to>
    <xdr:sp macro="" textlink="">
      <xdr:nvSpPr>
        <xdr:cNvPr id="47" name="Retângulo 46">
          <a:hlinkClick xmlns:r="http://schemas.openxmlformats.org/officeDocument/2006/relationships" r:id="rId14"/>
        </xdr:cNvPr>
        <xdr:cNvSpPr/>
      </xdr:nvSpPr>
      <xdr:spPr>
        <a:xfrm>
          <a:off x="9503305" y="386288"/>
          <a:ext cx="1003575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277371</xdr:colOff>
      <xdr:row>0</xdr:row>
      <xdr:rowOff>375704</xdr:rowOff>
    </xdr:from>
    <xdr:to>
      <xdr:col>9</xdr:col>
      <xdr:colOff>1274157</xdr:colOff>
      <xdr:row>1</xdr:row>
      <xdr:rowOff>321653</xdr:rowOff>
    </xdr:to>
    <xdr:sp macro="" textlink="">
      <xdr:nvSpPr>
        <xdr:cNvPr id="48" name="Retângulo 47">
          <a:hlinkClick xmlns:r="http://schemas.openxmlformats.org/officeDocument/2006/relationships" r:id="rId15"/>
        </xdr:cNvPr>
        <xdr:cNvSpPr/>
      </xdr:nvSpPr>
      <xdr:spPr>
        <a:xfrm>
          <a:off x="11691496" y="375704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627060</xdr:colOff>
      <xdr:row>1</xdr:row>
      <xdr:rowOff>150808</xdr:rowOff>
    </xdr:from>
    <xdr:to>
      <xdr:col>2</xdr:col>
      <xdr:colOff>1626933</xdr:colOff>
      <xdr:row>2</xdr:row>
      <xdr:rowOff>33257</xdr:rowOff>
    </xdr:to>
    <xdr:sp macro="" textlink="">
      <xdr:nvSpPr>
        <xdr:cNvPr id="49" name="Retângulo 48">
          <a:hlinkClick xmlns:r="http://schemas.openxmlformats.org/officeDocument/2006/relationships" r:id="rId16"/>
        </xdr:cNvPr>
        <xdr:cNvSpPr/>
      </xdr:nvSpPr>
      <xdr:spPr>
        <a:xfrm>
          <a:off x="1833560" y="547683"/>
          <a:ext cx="999873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1111512</xdr:colOff>
      <xdr:row>1</xdr:row>
      <xdr:rowOff>140224</xdr:rowOff>
    </xdr:from>
    <xdr:to>
      <xdr:col>4</xdr:col>
      <xdr:colOff>61658</xdr:colOff>
      <xdr:row>2</xdr:row>
      <xdr:rowOff>22673</xdr:rowOff>
    </xdr:to>
    <xdr:sp macro="" textlink="">
      <xdr:nvSpPr>
        <xdr:cNvPr id="50" name="Retângulo 49">
          <a:hlinkClick xmlns:r="http://schemas.openxmlformats.org/officeDocument/2006/relationships" r:id="rId17"/>
        </xdr:cNvPr>
        <xdr:cNvSpPr/>
      </xdr:nvSpPr>
      <xdr:spPr>
        <a:xfrm>
          <a:off x="4016637" y="537099"/>
          <a:ext cx="998021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1248391</xdr:colOff>
      <xdr:row>1</xdr:row>
      <xdr:rowOff>129640</xdr:rowOff>
    </xdr:from>
    <xdr:to>
      <xdr:col>5</xdr:col>
      <xdr:colOff>206560</xdr:colOff>
      <xdr:row>2</xdr:row>
      <xdr:rowOff>12089</xdr:rowOff>
    </xdr:to>
    <xdr:sp macro="" textlink="">
      <xdr:nvSpPr>
        <xdr:cNvPr id="51" name="Retângulo 50">
          <a:hlinkClick xmlns:r="http://schemas.openxmlformats.org/officeDocument/2006/relationships" r:id="rId18"/>
        </xdr:cNvPr>
        <xdr:cNvSpPr/>
      </xdr:nvSpPr>
      <xdr:spPr>
        <a:xfrm>
          <a:off x="6201391" y="526515"/>
          <a:ext cx="1006044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5</xdr:col>
      <xdr:colOff>1392588</xdr:colOff>
      <xdr:row>1</xdr:row>
      <xdr:rowOff>119056</xdr:rowOff>
    </xdr:from>
    <xdr:to>
      <xdr:col>7</xdr:col>
      <xdr:colOff>516124</xdr:colOff>
      <xdr:row>2</xdr:row>
      <xdr:rowOff>1505</xdr:rowOff>
    </xdr:to>
    <xdr:sp macro="" textlink="">
      <xdr:nvSpPr>
        <xdr:cNvPr id="52" name="Retângulo 51">
          <a:hlinkClick xmlns:r="http://schemas.openxmlformats.org/officeDocument/2006/relationships" r:id="rId19"/>
        </xdr:cNvPr>
        <xdr:cNvSpPr/>
      </xdr:nvSpPr>
      <xdr:spPr>
        <a:xfrm>
          <a:off x="8393463" y="515931"/>
          <a:ext cx="996786" cy="342824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430740</xdr:colOff>
      <xdr:row>1</xdr:row>
      <xdr:rowOff>108472</xdr:rowOff>
    </xdr:from>
    <xdr:to>
      <xdr:col>9</xdr:col>
      <xdr:colOff>164315</xdr:colOff>
      <xdr:row>1</xdr:row>
      <xdr:rowOff>451296</xdr:rowOff>
    </xdr:to>
    <xdr:sp macro="" textlink="">
      <xdr:nvSpPr>
        <xdr:cNvPr id="53" name="Retângulo 52">
          <a:hlinkClick xmlns:r="http://schemas.openxmlformats.org/officeDocument/2006/relationships" r:id="rId20"/>
        </xdr:cNvPr>
        <xdr:cNvSpPr/>
      </xdr:nvSpPr>
      <xdr:spPr>
        <a:xfrm>
          <a:off x="10574865" y="505347"/>
          <a:ext cx="1003575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9</xdr:col>
      <xdr:colOff>1348931</xdr:colOff>
      <xdr:row>1</xdr:row>
      <xdr:rowOff>97888</xdr:rowOff>
    </xdr:from>
    <xdr:to>
      <xdr:col>10</xdr:col>
      <xdr:colOff>27967</xdr:colOff>
      <xdr:row>1</xdr:row>
      <xdr:rowOff>440712</xdr:rowOff>
    </xdr:to>
    <xdr:sp macro="" textlink="">
      <xdr:nvSpPr>
        <xdr:cNvPr id="54" name="Retângulo 53">
          <a:hlinkClick xmlns:r="http://schemas.openxmlformats.org/officeDocument/2006/relationships" r:id="rId21"/>
        </xdr:cNvPr>
        <xdr:cNvSpPr/>
      </xdr:nvSpPr>
      <xdr:spPr>
        <a:xfrm>
          <a:off x="12763056" y="494763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1261808</xdr:colOff>
      <xdr:row>0</xdr:row>
      <xdr:rowOff>52917</xdr:rowOff>
    </xdr:from>
    <xdr:to>
      <xdr:col>8</xdr:col>
      <xdr:colOff>268486</xdr:colOff>
      <xdr:row>0</xdr:row>
      <xdr:rowOff>393095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04891" y="52917"/>
          <a:ext cx="2149928" cy="340178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105833</xdr:colOff>
      <xdr:row>1</xdr:row>
      <xdr:rowOff>15874</xdr:rowOff>
    </xdr:from>
    <xdr:to>
      <xdr:col>2</xdr:col>
      <xdr:colOff>491872</xdr:colOff>
      <xdr:row>1</xdr:row>
      <xdr:rowOff>358698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19666" y="418041"/>
          <a:ext cx="999873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965993</xdr:colOff>
      <xdr:row>1</xdr:row>
      <xdr:rowOff>5290</xdr:rowOff>
    </xdr:from>
    <xdr:to>
      <xdr:col>3</xdr:col>
      <xdr:colOff>1964014</xdr:colOff>
      <xdr:row>1</xdr:row>
      <xdr:rowOff>348114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02743" y="407457"/>
          <a:ext cx="998021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1097580</xdr:colOff>
      <xdr:row>0</xdr:row>
      <xdr:rowOff>396873</xdr:rowOff>
    </xdr:from>
    <xdr:to>
      <xdr:col>5</xdr:col>
      <xdr:colOff>50458</xdr:colOff>
      <xdr:row>1</xdr:row>
      <xdr:rowOff>337530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087497" y="396873"/>
          <a:ext cx="1006044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1236486</xdr:colOff>
      <xdr:row>0</xdr:row>
      <xdr:rowOff>386289</xdr:rowOff>
    </xdr:from>
    <xdr:to>
      <xdr:col>7</xdr:col>
      <xdr:colOff>370605</xdr:colOff>
      <xdr:row>1</xdr:row>
      <xdr:rowOff>326946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279569" y="386289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274638</xdr:colOff>
      <xdr:row>0</xdr:row>
      <xdr:rowOff>375705</xdr:rowOff>
    </xdr:from>
    <xdr:to>
      <xdr:col>8</xdr:col>
      <xdr:colOff>1278213</xdr:colOff>
      <xdr:row>1</xdr:row>
      <xdr:rowOff>316362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460971" y="375705"/>
          <a:ext cx="1003575" cy="342824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1182245</xdr:colOff>
      <xdr:row>0</xdr:row>
      <xdr:rowOff>365121</xdr:rowOff>
    </xdr:from>
    <xdr:to>
      <xdr:col>10</xdr:col>
      <xdr:colOff>358698</xdr:colOff>
      <xdr:row>1</xdr:row>
      <xdr:rowOff>305778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649162" y="365121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563559</xdr:colOff>
      <xdr:row>1</xdr:row>
      <xdr:rowOff>134933</xdr:rowOff>
    </xdr:from>
    <xdr:to>
      <xdr:col>3</xdr:col>
      <xdr:colOff>854349</xdr:colOff>
      <xdr:row>2</xdr:row>
      <xdr:rowOff>22674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791226" y="537100"/>
          <a:ext cx="999873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2037553</xdr:colOff>
      <xdr:row>1</xdr:row>
      <xdr:rowOff>124349</xdr:rowOff>
    </xdr:from>
    <xdr:to>
      <xdr:col>4</xdr:col>
      <xdr:colOff>982407</xdr:colOff>
      <xdr:row>2</xdr:row>
      <xdr:rowOff>12090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3974303" y="526516"/>
          <a:ext cx="998021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115974</xdr:colOff>
      <xdr:row>1</xdr:row>
      <xdr:rowOff>113765</xdr:rowOff>
    </xdr:from>
    <xdr:to>
      <xdr:col>5</xdr:col>
      <xdr:colOff>1122018</xdr:colOff>
      <xdr:row>2</xdr:row>
      <xdr:rowOff>1506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159057" y="515932"/>
          <a:ext cx="1006044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445379</xdr:colOff>
      <xdr:row>1</xdr:row>
      <xdr:rowOff>103181</xdr:rowOff>
    </xdr:from>
    <xdr:to>
      <xdr:col>8</xdr:col>
      <xdr:colOff>161582</xdr:colOff>
      <xdr:row>1</xdr:row>
      <xdr:rowOff>446005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351129" y="505348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65614</xdr:colOff>
      <xdr:row>1</xdr:row>
      <xdr:rowOff>92597</xdr:rowOff>
    </xdr:from>
    <xdr:to>
      <xdr:col>9</xdr:col>
      <xdr:colOff>1069189</xdr:colOff>
      <xdr:row>1</xdr:row>
      <xdr:rowOff>435421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32531" y="494764"/>
          <a:ext cx="1003575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433472</xdr:colOff>
      <xdr:row>1</xdr:row>
      <xdr:rowOff>82013</xdr:rowOff>
    </xdr:from>
    <xdr:to>
      <xdr:col>12</xdr:col>
      <xdr:colOff>202591</xdr:colOff>
      <xdr:row>1</xdr:row>
      <xdr:rowOff>424837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20722" y="484180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358321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388257</xdr:colOff>
      <xdr:row>0</xdr:row>
      <xdr:rowOff>43544</xdr:rowOff>
    </xdr:from>
    <xdr:to>
      <xdr:col>4</xdr:col>
      <xdr:colOff>485018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580268</xdr:colOff>
      <xdr:row>0</xdr:row>
      <xdr:rowOff>29936</xdr:rowOff>
    </xdr:from>
    <xdr:to>
      <xdr:col>5</xdr:col>
      <xdr:colOff>677030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772281</xdr:colOff>
      <xdr:row>0</xdr:row>
      <xdr:rowOff>43543</xdr:rowOff>
    </xdr:from>
    <xdr:to>
      <xdr:col>7</xdr:col>
      <xdr:colOff>1059542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1154793</xdr:colOff>
      <xdr:row>0</xdr:row>
      <xdr:rowOff>43543</xdr:rowOff>
    </xdr:from>
    <xdr:to>
      <xdr:col>9</xdr:col>
      <xdr:colOff>743554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838805</xdr:colOff>
      <xdr:row>0</xdr:row>
      <xdr:rowOff>43543</xdr:rowOff>
    </xdr:from>
    <xdr:to>
      <xdr:col>11</xdr:col>
      <xdr:colOff>554567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35984</xdr:colOff>
      <xdr:row>0</xdr:row>
      <xdr:rowOff>43543</xdr:rowOff>
    </xdr:from>
    <xdr:to>
      <xdr:col>13</xdr:col>
      <xdr:colOff>132746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227997</xdr:colOff>
      <xdr:row>0</xdr:row>
      <xdr:rowOff>43543</xdr:rowOff>
    </xdr:from>
    <xdr:to>
      <xdr:col>14</xdr:col>
      <xdr:colOff>49591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144842</xdr:colOff>
      <xdr:row>0</xdr:row>
      <xdr:rowOff>43543</xdr:rowOff>
    </xdr:from>
    <xdr:to>
      <xdr:col>16</xdr:col>
      <xdr:colOff>358020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806725</xdr:colOff>
      <xdr:row>0</xdr:row>
      <xdr:rowOff>52917</xdr:rowOff>
    </xdr:from>
    <xdr:to>
      <xdr:col>7</xdr:col>
      <xdr:colOff>1079500</xdr:colOff>
      <xdr:row>0</xdr:row>
      <xdr:rowOff>382511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57808" y="52917"/>
          <a:ext cx="2135442" cy="32959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158751</xdr:colOff>
      <xdr:row>1</xdr:row>
      <xdr:rowOff>15956</xdr:rowOff>
    </xdr:from>
    <xdr:to>
      <xdr:col>2</xdr:col>
      <xdr:colOff>538053</xdr:colOff>
      <xdr:row>1</xdr:row>
      <xdr:rowOff>348114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72584" y="418123"/>
          <a:ext cx="99313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510911</xdr:colOff>
      <xdr:row>1</xdr:row>
      <xdr:rowOff>5372</xdr:rowOff>
    </xdr:from>
    <xdr:to>
      <xdr:col>3</xdr:col>
      <xdr:colOff>1502207</xdr:colOff>
      <xdr:row>1</xdr:row>
      <xdr:rowOff>337530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55661" y="407539"/>
          <a:ext cx="99129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642497</xdr:colOff>
      <xdr:row>0</xdr:row>
      <xdr:rowOff>396955</xdr:rowOff>
    </xdr:from>
    <xdr:to>
      <xdr:col>4</xdr:col>
      <xdr:colOff>1641762</xdr:colOff>
      <xdr:row>1</xdr:row>
      <xdr:rowOff>326946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40414" y="396955"/>
          <a:ext cx="999265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781403</xdr:colOff>
      <xdr:row>0</xdr:row>
      <xdr:rowOff>386371</xdr:rowOff>
    </xdr:from>
    <xdr:to>
      <xdr:col>5</xdr:col>
      <xdr:colOff>1771473</xdr:colOff>
      <xdr:row>1</xdr:row>
      <xdr:rowOff>316362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32486" y="386371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7</xdr:col>
      <xdr:colOff>1100138</xdr:colOff>
      <xdr:row>0</xdr:row>
      <xdr:rowOff>375787</xdr:rowOff>
    </xdr:from>
    <xdr:to>
      <xdr:col>8</xdr:col>
      <xdr:colOff>816368</xdr:colOff>
      <xdr:row>1</xdr:row>
      <xdr:rowOff>305778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513888" y="375787"/>
          <a:ext cx="996813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727162</xdr:colOff>
      <xdr:row>0</xdr:row>
      <xdr:rowOff>365203</xdr:rowOff>
    </xdr:from>
    <xdr:to>
      <xdr:col>9</xdr:col>
      <xdr:colOff>1717232</xdr:colOff>
      <xdr:row>1</xdr:row>
      <xdr:rowOff>295194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702079" y="365203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616477</xdr:colOff>
      <xdr:row>1</xdr:row>
      <xdr:rowOff>135015</xdr:rowOff>
    </xdr:from>
    <xdr:to>
      <xdr:col>3</xdr:col>
      <xdr:colOff>392530</xdr:colOff>
      <xdr:row>2</xdr:row>
      <xdr:rowOff>12090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44144" y="537182"/>
          <a:ext cx="99313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1582471</xdr:colOff>
      <xdr:row>1</xdr:row>
      <xdr:rowOff>124431</xdr:rowOff>
    </xdr:from>
    <xdr:to>
      <xdr:col>4</xdr:col>
      <xdr:colOff>520600</xdr:colOff>
      <xdr:row>2</xdr:row>
      <xdr:rowOff>1506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27221" y="526598"/>
          <a:ext cx="99129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1714057</xdr:colOff>
      <xdr:row>1</xdr:row>
      <xdr:rowOff>113847</xdr:rowOff>
    </xdr:from>
    <xdr:to>
      <xdr:col>5</xdr:col>
      <xdr:colOff>660156</xdr:colOff>
      <xdr:row>1</xdr:row>
      <xdr:rowOff>446005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211974" y="516014"/>
          <a:ext cx="999265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5</xdr:col>
      <xdr:colOff>1852963</xdr:colOff>
      <xdr:row>1</xdr:row>
      <xdr:rowOff>103263</xdr:rowOff>
    </xdr:from>
    <xdr:to>
      <xdr:col>7</xdr:col>
      <xdr:colOff>980366</xdr:colOff>
      <xdr:row>1</xdr:row>
      <xdr:rowOff>435421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404046" y="505430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891115</xdr:colOff>
      <xdr:row>1</xdr:row>
      <xdr:rowOff>92679</xdr:rowOff>
    </xdr:from>
    <xdr:to>
      <xdr:col>9</xdr:col>
      <xdr:colOff>607344</xdr:colOff>
      <xdr:row>1</xdr:row>
      <xdr:rowOff>424837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85448" y="494846"/>
          <a:ext cx="996813" cy="3321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9</xdr:col>
      <xdr:colOff>1798722</xdr:colOff>
      <xdr:row>1</xdr:row>
      <xdr:rowOff>82095</xdr:rowOff>
    </xdr:from>
    <xdr:to>
      <xdr:col>11</xdr:col>
      <xdr:colOff>354626</xdr:colOff>
      <xdr:row>1</xdr:row>
      <xdr:rowOff>414253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73639" y="484262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591154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621090</xdr:colOff>
      <xdr:row>0</xdr:row>
      <xdr:rowOff>43544</xdr:rowOff>
    </xdr:from>
    <xdr:to>
      <xdr:col>4</xdr:col>
      <xdr:colOff>717852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813102</xdr:colOff>
      <xdr:row>0</xdr:row>
      <xdr:rowOff>29936</xdr:rowOff>
    </xdr:from>
    <xdr:to>
      <xdr:col>5</xdr:col>
      <xdr:colOff>909863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1005114</xdr:colOff>
      <xdr:row>0</xdr:row>
      <xdr:rowOff>43543</xdr:rowOff>
    </xdr:from>
    <xdr:to>
      <xdr:col>8</xdr:col>
      <xdr:colOff>11792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107043</xdr:colOff>
      <xdr:row>0</xdr:row>
      <xdr:rowOff>43543</xdr:rowOff>
    </xdr:from>
    <xdr:to>
      <xdr:col>9</xdr:col>
      <xdr:colOff>976388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1071639</xdr:colOff>
      <xdr:row>0</xdr:row>
      <xdr:rowOff>43543</xdr:rowOff>
    </xdr:from>
    <xdr:to>
      <xdr:col>12</xdr:col>
      <xdr:colOff>173567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268818</xdr:colOff>
      <xdr:row>0</xdr:row>
      <xdr:rowOff>43543</xdr:rowOff>
    </xdr:from>
    <xdr:to>
      <xdr:col>13</xdr:col>
      <xdr:colOff>365579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460830</xdr:colOff>
      <xdr:row>0</xdr:row>
      <xdr:rowOff>43543</xdr:rowOff>
    </xdr:from>
    <xdr:to>
      <xdr:col>14</xdr:col>
      <xdr:colOff>282425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377676</xdr:colOff>
      <xdr:row>0</xdr:row>
      <xdr:rowOff>43543</xdr:rowOff>
    </xdr:from>
    <xdr:to>
      <xdr:col>16</xdr:col>
      <xdr:colOff>590854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1018391</xdr:colOff>
      <xdr:row>0</xdr:row>
      <xdr:rowOff>31750</xdr:rowOff>
    </xdr:from>
    <xdr:to>
      <xdr:col>8</xdr:col>
      <xdr:colOff>25069</xdr:colOff>
      <xdr:row>0</xdr:row>
      <xdr:rowOff>371928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36641" y="317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137583</xdr:colOff>
      <xdr:row>0</xdr:row>
      <xdr:rowOff>396874</xdr:rowOff>
    </xdr:from>
    <xdr:to>
      <xdr:col>2</xdr:col>
      <xdr:colOff>523622</xdr:colOff>
      <xdr:row>1</xdr:row>
      <xdr:rowOff>337531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51416" y="396874"/>
          <a:ext cx="999873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722576</xdr:colOff>
      <xdr:row>0</xdr:row>
      <xdr:rowOff>386290</xdr:rowOff>
    </xdr:from>
    <xdr:to>
      <xdr:col>3</xdr:col>
      <xdr:colOff>1720597</xdr:colOff>
      <xdr:row>1</xdr:row>
      <xdr:rowOff>326947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34493" y="386290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854164</xdr:colOff>
      <xdr:row>0</xdr:row>
      <xdr:rowOff>375706</xdr:rowOff>
    </xdr:from>
    <xdr:to>
      <xdr:col>4</xdr:col>
      <xdr:colOff>1860208</xdr:colOff>
      <xdr:row>1</xdr:row>
      <xdr:rowOff>316363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19247" y="375706"/>
          <a:ext cx="1006044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993069</xdr:colOff>
      <xdr:row>0</xdr:row>
      <xdr:rowOff>365122</xdr:rowOff>
    </xdr:from>
    <xdr:to>
      <xdr:col>7</xdr:col>
      <xdr:colOff>127188</xdr:colOff>
      <xdr:row>1</xdr:row>
      <xdr:rowOff>305779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11319" y="365122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31221</xdr:colOff>
      <xdr:row>0</xdr:row>
      <xdr:rowOff>354538</xdr:rowOff>
    </xdr:from>
    <xdr:to>
      <xdr:col>8</xdr:col>
      <xdr:colOff>1034796</xdr:colOff>
      <xdr:row>1</xdr:row>
      <xdr:rowOff>295195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492721" y="354538"/>
          <a:ext cx="1003575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938829</xdr:colOff>
      <xdr:row>0</xdr:row>
      <xdr:rowOff>343954</xdr:rowOff>
    </xdr:from>
    <xdr:to>
      <xdr:col>10</xdr:col>
      <xdr:colOff>115281</xdr:colOff>
      <xdr:row>1</xdr:row>
      <xdr:rowOff>284611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680912" y="343954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595309</xdr:colOff>
      <xdr:row>1</xdr:row>
      <xdr:rowOff>113766</xdr:rowOff>
    </xdr:from>
    <xdr:to>
      <xdr:col>3</xdr:col>
      <xdr:colOff>610932</xdr:colOff>
      <xdr:row>2</xdr:row>
      <xdr:rowOff>1507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22976" y="515933"/>
          <a:ext cx="999873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1794136</xdr:colOff>
      <xdr:row>1</xdr:row>
      <xdr:rowOff>103182</xdr:rowOff>
    </xdr:from>
    <xdr:to>
      <xdr:col>4</xdr:col>
      <xdr:colOff>738991</xdr:colOff>
      <xdr:row>1</xdr:row>
      <xdr:rowOff>446006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06053" y="505349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1925724</xdr:colOff>
      <xdr:row>1</xdr:row>
      <xdr:rowOff>92598</xdr:rowOff>
    </xdr:from>
    <xdr:to>
      <xdr:col>5</xdr:col>
      <xdr:colOff>878601</xdr:colOff>
      <xdr:row>1</xdr:row>
      <xdr:rowOff>435422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190807" y="494765"/>
          <a:ext cx="1006044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201962</xdr:colOff>
      <xdr:row>1</xdr:row>
      <xdr:rowOff>82014</xdr:rowOff>
    </xdr:from>
    <xdr:to>
      <xdr:col>7</xdr:col>
      <xdr:colOff>1198748</xdr:colOff>
      <xdr:row>1</xdr:row>
      <xdr:rowOff>424838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382879" y="484181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1102781</xdr:colOff>
      <xdr:row>1</xdr:row>
      <xdr:rowOff>71430</xdr:rowOff>
    </xdr:from>
    <xdr:to>
      <xdr:col>9</xdr:col>
      <xdr:colOff>825773</xdr:colOff>
      <xdr:row>1</xdr:row>
      <xdr:rowOff>414254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64281" y="473597"/>
          <a:ext cx="1003575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190055</xdr:colOff>
      <xdr:row>1</xdr:row>
      <xdr:rowOff>60846</xdr:rowOff>
    </xdr:from>
    <xdr:to>
      <xdr:col>11</xdr:col>
      <xdr:colOff>573008</xdr:colOff>
      <xdr:row>1</xdr:row>
      <xdr:rowOff>403670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52472" y="463013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665238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695174</xdr:colOff>
      <xdr:row>0</xdr:row>
      <xdr:rowOff>43544</xdr:rowOff>
    </xdr:from>
    <xdr:to>
      <xdr:col>4</xdr:col>
      <xdr:colOff>791935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887185</xdr:colOff>
      <xdr:row>0</xdr:row>
      <xdr:rowOff>29936</xdr:rowOff>
    </xdr:from>
    <xdr:to>
      <xdr:col>5</xdr:col>
      <xdr:colOff>983946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1079197</xdr:colOff>
      <xdr:row>0</xdr:row>
      <xdr:rowOff>43543</xdr:rowOff>
    </xdr:from>
    <xdr:to>
      <xdr:col>8</xdr:col>
      <xdr:colOff>170542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265793</xdr:colOff>
      <xdr:row>0</xdr:row>
      <xdr:rowOff>43543</xdr:rowOff>
    </xdr:from>
    <xdr:to>
      <xdr:col>9</xdr:col>
      <xdr:colOff>1219804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1315055</xdr:colOff>
      <xdr:row>0</xdr:row>
      <xdr:rowOff>43543</xdr:rowOff>
    </xdr:from>
    <xdr:to>
      <xdr:col>12</xdr:col>
      <xdr:colOff>416983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512234</xdr:colOff>
      <xdr:row>0</xdr:row>
      <xdr:rowOff>43543</xdr:rowOff>
    </xdr:from>
    <xdr:to>
      <xdr:col>13</xdr:col>
      <xdr:colOff>608996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704247</xdr:colOff>
      <xdr:row>0</xdr:row>
      <xdr:rowOff>43543</xdr:rowOff>
    </xdr:from>
    <xdr:to>
      <xdr:col>14</xdr:col>
      <xdr:colOff>652841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748092</xdr:colOff>
      <xdr:row>0</xdr:row>
      <xdr:rowOff>43543</xdr:rowOff>
    </xdr:from>
    <xdr:to>
      <xdr:col>17</xdr:col>
      <xdr:colOff>347437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1113641</xdr:colOff>
      <xdr:row>0</xdr:row>
      <xdr:rowOff>31750</xdr:rowOff>
    </xdr:from>
    <xdr:to>
      <xdr:col>8</xdr:col>
      <xdr:colOff>204986</xdr:colOff>
      <xdr:row>0</xdr:row>
      <xdr:rowOff>371928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57808" y="31750"/>
          <a:ext cx="2149928" cy="340178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0</xdr:row>
      <xdr:rowOff>396874</xdr:rowOff>
    </xdr:from>
    <xdr:to>
      <xdr:col>2</xdr:col>
      <xdr:colOff>544789</xdr:colOff>
      <xdr:row>1</xdr:row>
      <xdr:rowOff>337531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72583" y="396874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817827</xdr:colOff>
      <xdr:row>0</xdr:row>
      <xdr:rowOff>386290</xdr:rowOff>
    </xdr:from>
    <xdr:to>
      <xdr:col>3</xdr:col>
      <xdr:colOff>1815848</xdr:colOff>
      <xdr:row>1</xdr:row>
      <xdr:rowOff>326947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55660" y="386290"/>
          <a:ext cx="998021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949414</xdr:colOff>
      <xdr:row>0</xdr:row>
      <xdr:rowOff>375706</xdr:rowOff>
    </xdr:from>
    <xdr:to>
      <xdr:col>4</xdr:col>
      <xdr:colOff>1955458</xdr:colOff>
      <xdr:row>1</xdr:row>
      <xdr:rowOff>316363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40414" y="375706"/>
          <a:ext cx="1006044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1088319</xdr:colOff>
      <xdr:row>0</xdr:row>
      <xdr:rowOff>365122</xdr:rowOff>
    </xdr:from>
    <xdr:to>
      <xdr:col>7</xdr:col>
      <xdr:colOff>222439</xdr:colOff>
      <xdr:row>1</xdr:row>
      <xdr:rowOff>305779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32486" y="365122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211138</xdr:colOff>
      <xdr:row>0</xdr:row>
      <xdr:rowOff>354538</xdr:rowOff>
    </xdr:from>
    <xdr:to>
      <xdr:col>9</xdr:col>
      <xdr:colOff>18796</xdr:colOff>
      <xdr:row>1</xdr:row>
      <xdr:rowOff>295195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513888" y="354538"/>
          <a:ext cx="1003575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1203412</xdr:colOff>
      <xdr:row>0</xdr:row>
      <xdr:rowOff>343954</xdr:rowOff>
    </xdr:from>
    <xdr:to>
      <xdr:col>10</xdr:col>
      <xdr:colOff>379865</xdr:colOff>
      <xdr:row>1</xdr:row>
      <xdr:rowOff>284611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702079" y="343954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616476</xdr:colOff>
      <xdr:row>1</xdr:row>
      <xdr:rowOff>113766</xdr:rowOff>
    </xdr:from>
    <xdr:to>
      <xdr:col>3</xdr:col>
      <xdr:colOff>706183</xdr:colOff>
      <xdr:row>2</xdr:row>
      <xdr:rowOff>1507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44143" y="515933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1889387</xdr:colOff>
      <xdr:row>1</xdr:row>
      <xdr:rowOff>103182</xdr:rowOff>
    </xdr:from>
    <xdr:to>
      <xdr:col>4</xdr:col>
      <xdr:colOff>834241</xdr:colOff>
      <xdr:row>1</xdr:row>
      <xdr:rowOff>446006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27220" y="505349"/>
          <a:ext cx="998021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2020974</xdr:colOff>
      <xdr:row>1</xdr:row>
      <xdr:rowOff>92598</xdr:rowOff>
    </xdr:from>
    <xdr:to>
      <xdr:col>5</xdr:col>
      <xdr:colOff>973851</xdr:colOff>
      <xdr:row>1</xdr:row>
      <xdr:rowOff>435422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211974" y="494765"/>
          <a:ext cx="1006044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297213</xdr:colOff>
      <xdr:row>1</xdr:row>
      <xdr:rowOff>82014</xdr:rowOff>
    </xdr:from>
    <xdr:to>
      <xdr:col>8</xdr:col>
      <xdr:colOff>98082</xdr:colOff>
      <xdr:row>1</xdr:row>
      <xdr:rowOff>424838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404046" y="484181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86781</xdr:colOff>
      <xdr:row>1</xdr:row>
      <xdr:rowOff>71430</xdr:rowOff>
    </xdr:from>
    <xdr:to>
      <xdr:col>9</xdr:col>
      <xdr:colOff>1090356</xdr:colOff>
      <xdr:row>1</xdr:row>
      <xdr:rowOff>414254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85448" y="473597"/>
          <a:ext cx="1003575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454639</xdr:colOff>
      <xdr:row>1</xdr:row>
      <xdr:rowOff>60846</xdr:rowOff>
    </xdr:from>
    <xdr:to>
      <xdr:col>12</xdr:col>
      <xdr:colOff>223758</xdr:colOff>
      <xdr:row>1</xdr:row>
      <xdr:rowOff>403670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73639" y="463013"/>
          <a:ext cx="996786" cy="342824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66675</xdr:rowOff>
        </xdr:from>
        <xdr:to>
          <xdr:col>2</xdr:col>
          <xdr:colOff>2733675</xdr:colOff>
          <xdr:row>0</xdr:row>
          <xdr:rowOff>552450</xdr:rowOff>
        </xdr:to>
        <xdr:sp macro="" textlink="">
          <xdr:nvSpPr>
            <xdr:cNvPr id="74753" name="Drop Dow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5</xdr:row>
      <xdr:rowOff>0</xdr:rowOff>
    </xdr:from>
    <xdr:to>
      <xdr:col>9</xdr:col>
      <xdr:colOff>7408</xdr:colOff>
      <xdr:row>12</xdr:row>
      <xdr:rowOff>536573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93965" y="435428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993321</xdr:colOff>
      <xdr:row>1</xdr:row>
      <xdr:rowOff>54429</xdr:rowOff>
    </xdr:from>
    <xdr:to>
      <xdr:col>4</xdr:col>
      <xdr:colOff>494290</xdr:colOff>
      <xdr:row>1</xdr:row>
      <xdr:rowOff>394607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755571" y="449036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0422" y="40822"/>
          <a:ext cx="21431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23482" y="43544"/>
          <a:ext cx="214856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67299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2478" y="43543"/>
          <a:ext cx="215401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61739" y="43543"/>
          <a:ext cx="2155371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812361" y="43543"/>
          <a:ext cx="216081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68426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319048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64227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12" name="Retângulo 11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87994</xdr:colOff>
      <xdr:row>1</xdr:row>
      <xdr:rowOff>43996</xdr:rowOff>
    </xdr:from>
    <xdr:to>
      <xdr:col>2</xdr:col>
      <xdr:colOff>85624</xdr:colOff>
      <xdr:row>1</xdr:row>
      <xdr:rowOff>384174</xdr:rowOff>
    </xdr:to>
    <xdr:sp macro="" textlink="">
      <xdr:nvSpPr>
        <xdr:cNvPr id="13" name="Retângulo 12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523875</xdr:colOff>
      <xdr:row>1</xdr:row>
      <xdr:rowOff>31750</xdr:rowOff>
    </xdr:from>
    <xdr:to>
      <xdr:col>4</xdr:col>
      <xdr:colOff>29380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2"/>
        </xdr:cNvPr>
        <xdr:cNvSpPr/>
      </xdr:nvSpPr>
      <xdr:spPr>
        <a:xfrm>
          <a:off x="3270250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698500</xdr:colOff>
      <xdr:row>1</xdr:row>
      <xdr:rowOff>31750</xdr:rowOff>
    </xdr:from>
    <xdr:to>
      <xdr:col>6</xdr:col>
      <xdr:colOff>911678</xdr:colOff>
      <xdr:row>1</xdr:row>
      <xdr:rowOff>371928</xdr:rowOff>
    </xdr:to>
    <xdr:sp macro="" textlink="">
      <xdr:nvSpPr>
        <xdr:cNvPr id="15" name="Retângulo 14">
          <a:hlinkClick xmlns:r="http://schemas.openxmlformats.org/officeDocument/2006/relationships" r:id="rId13"/>
        </xdr:cNvPr>
        <xdr:cNvSpPr/>
      </xdr:nvSpPr>
      <xdr:spPr>
        <a:xfrm>
          <a:off x="5048250" y="428625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0422" y="40822"/>
          <a:ext cx="21431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23482" y="43544"/>
          <a:ext cx="214856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67299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2478" y="43543"/>
          <a:ext cx="215401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61739" y="43543"/>
          <a:ext cx="2155371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812361" y="43543"/>
          <a:ext cx="216081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68426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319048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64227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12" name="Retângulo 11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46055</xdr:colOff>
      <xdr:row>0</xdr:row>
      <xdr:rowOff>40822</xdr:rowOff>
    </xdr:from>
    <xdr:to>
      <xdr:col>2</xdr:col>
      <xdr:colOff>81642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111578</xdr:colOff>
      <xdr:row>0</xdr:row>
      <xdr:rowOff>43544</xdr:rowOff>
    </xdr:from>
    <xdr:to>
      <xdr:col>3</xdr:col>
      <xdr:colOff>2010298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54009</xdr:colOff>
      <xdr:row>0</xdr:row>
      <xdr:rowOff>29936</xdr:rowOff>
    </xdr:from>
    <xdr:to>
      <xdr:col>5</xdr:col>
      <xdr:colOff>1952728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2047979</xdr:colOff>
      <xdr:row>0</xdr:row>
      <xdr:rowOff>43543</xdr:rowOff>
    </xdr:from>
    <xdr:to>
      <xdr:col>7</xdr:col>
      <xdr:colOff>1895160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1990411</xdr:colOff>
      <xdr:row>0</xdr:row>
      <xdr:rowOff>43543</xdr:rowOff>
    </xdr:from>
    <xdr:to>
      <xdr:col>9</xdr:col>
      <xdr:colOff>1837592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1932843</xdr:colOff>
      <xdr:row>0</xdr:row>
      <xdr:rowOff>43543</xdr:rowOff>
    </xdr:from>
    <xdr:to>
      <xdr:col>11</xdr:col>
      <xdr:colOff>1780024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11</xdr:col>
      <xdr:colOff>1875275</xdr:colOff>
      <xdr:row>0</xdr:row>
      <xdr:rowOff>43543</xdr:rowOff>
    </xdr:from>
    <xdr:to>
      <xdr:col>14</xdr:col>
      <xdr:colOff>592016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687267</xdr:colOff>
      <xdr:row>0</xdr:row>
      <xdr:rowOff>43543</xdr:rowOff>
    </xdr:from>
    <xdr:to>
      <xdr:col>16</xdr:col>
      <xdr:colOff>346041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441292</xdr:colOff>
      <xdr:row>0</xdr:row>
      <xdr:rowOff>43543</xdr:rowOff>
    </xdr:from>
    <xdr:to>
      <xdr:col>20</xdr:col>
      <xdr:colOff>162868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</xdr:row>
      <xdr:rowOff>50800</xdr:rowOff>
    </xdr:from>
    <xdr:to>
      <xdr:col>2</xdr:col>
      <xdr:colOff>20309</xdr:colOff>
      <xdr:row>1</xdr:row>
      <xdr:rowOff>390978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12775" y="447675"/>
          <a:ext cx="21221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46055</xdr:colOff>
      <xdr:row>0</xdr:row>
      <xdr:rowOff>40822</xdr:rowOff>
    </xdr:from>
    <xdr:to>
      <xdr:col>2</xdr:col>
      <xdr:colOff>81642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111578</xdr:colOff>
      <xdr:row>0</xdr:row>
      <xdr:rowOff>43544</xdr:rowOff>
    </xdr:from>
    <xdr:to>
      <xdr:col>3</xdr:col>
      <xdr:colOff>2010298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54009</xdr:colOff>
      <xdr:row>0</xdr:row>
      <xdr:rowOff>29936</xdr:rowOff>
    </xdr:from>
    <xdr:to>
      <xdr:col>5</xdr:col>
      <xdr:colOff>1952728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73684" y="29936"/>
          <a:ext cx="214636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2047979</xdr:colOff>
      <xdr:row>0</xdr:row>
      <xdr:rowOff>43543</xdr:rowOff>
    </xdr:from>
    <xdr:to>
      <xdr:col>7</xdr:col>
      <xdr:colOff>1895160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5304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1990411</xdr:colOff>
      <xdr:row>0</xdr:row>
      <xdr:rowOff>43543</xdr:rowOff>
    </xdr:from>
    <xdr:to>
      <xdr:col>9</xdr:col>
      <xdr:colOff>1837592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53261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1932843</xdr:colOff>
      <xdr:row>0</xdr:row>
      <xdr:rowOff>43543</xdr:rowOff>
    </xdr:from>
    <xdr:to>
      <xdr:col>11</xdr:col>
      <xdr:colOff>1780024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791218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11</xdr:col>
      <xdr:colOff>1875275</xdr:colOff>
      <xdr:row>0</xdr:row>
      <xdr:rowOff>43543</xdr:rowOff>
    </xdr:from>
    <xdr:to>
      <xdr:col>14</xdr:col>
      <xdr:colOff>592016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29175" y="43543"/>
          <a:ext cx="214574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687267</xdr:colOff>
      <xdr:row>0</xdr:row>
      <xdr:rowOff>43543</xdr:rowOff>
    </xdr:from>
    <xdr:to>
      <xdr:col>16</xdr:col>
      <xdr:colOff>346041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270167" y="43543"/>
          <a:ext cx="214479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441292</xdr:colOff>
      <xdr:row>0</xdr:row>
      <xdr:rowOff>43543</xdr:rowOff>
    </xdr:from>
    <xdr:to>
      <xdr:col>20</xdr:col>
      <xdr:colOff>162868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10217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</xdr:row>
      <xdr:rowOff>0</xdr:rowOff>
    </xdr:from>
    <xdr:to>
      <xdr:col>10</xdr:col>
      <xdr:colOff>98785</xdr:colOff>
      <xdr:row>1</xdr:row>
      <xdr:rowOff>340178</xdr:rowOff>
    </xdr:to>
    <xdr:sp macro="" textlink="">
      <xdr:nvSpPr>
        <xdr:cNvPr id="13" name="Retângulo 12">
          <a:hlinkClick xmlns:r="http://schemas.openxmlformats.org/officeDocument/2006/relationships" r:id="rId11"/>
        </xdr:cNvPr>
        <xdr:cNvSpPr/>
      </xdr:nvSpPr>
      <xdr:spPr>
        <a:xfrm>
          <a:off x="10405613" y="404363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84155</xdr:colOff>
      <xdr:row>0</xdr:row>
      <xdr:rowOff>40822</xdr:rowOff>
    </xdr:from>
    <xdr:to>
      <xdr:col>2</xdr:col>
      <xdr:colOff>91167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121103</xdr:colOff>
      <xdr:row>0</xdr:row>
      <xdr:rowOff>43544</xdr:rowOff>
    </xdr:from>
    <xdr:to>
      <xdr:col>3</xdr:col>
      <xdr:colOff>291035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392146</xdr:colOff>
      <xdr:row>0</xdr:row>
      <xdr:rowOff>29936</xdr:rowOff>
    </xdr:from>
    <xdr:to>
      <xdr:col>4</xdr:col>
      <xdr:colOff>502547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83209" y="29936"/>
          <a:ext cx="214636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4</xdr:col>
      <xdr:colOff>597798</xdr:colOff>
      <xdr:row>0</xdr:row>
      <xdr:rowOff>43543</xdr:rowOff>
    </xdr:from>
    <xdr:to>
      <xdr:col>5</xdr:col>
      <xdr:colOff>773591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4829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5</xdr:col>
      <xdr:colOff>868842</xdr:colOff>
      <xdr:row>0</xdr:row>
      <xdr:rowOff>43543</xdr:rowOff>
    </xdr:from>
    <xdr:to>
      <xdr:col>6</xdr:col>
      <xdr:colOff>377886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72311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473137</xdr:colOff>
      <xdr:row>0</xdr:row>
      <xdr:rowOff>43543</xdr:rowOff>
    </xdr:from>
    <xdr:to>
      <xdr:col>7</xdr:col>
      <xdr:colOff>648930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9793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7</xdr:col>
      <xdr:colOff>744181</xdr:colOff>
      <xdr:row>0</xdr:row>
      <xdr:rowOff>43543</xdr:rowOff>
    </xdr:from>
    <xdr:to>
      <xdr:col>8</xdr:col>
      <xdr:colOff>896816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67275" y="43543"/>
          <a:ext cx="216479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8</xdr:col>
      <xdr:colOff>992067</xdr:colOff>
      <xdr:row>0</xdr:row>
      <xdr:rowOff>43543</xdr:rowOff>
    </xdr:from>
    <xdr:to>
      <xdr:col>9</xdr:col>
      <xdr:colOff>1110422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27317" y="43543"/>
          <a:ext cx="21543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9</xdr:col>
      <xdr:colOff>1205673</xdr:colOff>
      <xdr:row>0</xdr:row>
      <xdr:rowOff>43543</xdr:rowOff>
    </xdr:from>
    <xdr:to>
      <xdr:col>10</xdr:col>
      <xdr:colOff>1329680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76892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13607</xdr:colOff>
      <xdr:row>2</xdr:row>
      <xdr:rowOff>12560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006551" cy="6233449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19051" y="695326"/>
    <xdr:ext cx="4152900" cy="270510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4876801" y="933451"/>
    <xdr:ext cx="3276600" cy="2828924"/>
    <xdr:graphicFrame macro="">
      <xdr:nvGraphicFramePr>
        <xdr:cNvPr id="3" name="Gráfico 2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0" y="3438525"/>
    <xdr:ext cx="4783931" cy="3559969"/>
    <xdr:graphicFrame macro="">
      <xdr:nvGraphicFramePr>
        <xdr:cNvPr id="4" name="Gráfico 3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5238749" y="4010024"/>
    <xdr:ext cx="5648325" cy="3171825"/>
    <xdr:graphicFrame macro="">
      <xdr:nvGraphicFramePr>
        <xdr:cNvPr id="5" name="Gráfico 4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twoCellAnchor>
    <xdr:from>
      <xdr:col>16</xdr:col>
      <xdr:colOff>523875</xdr:colOff>
      <xdr:row>2</xdr:row>
      <xdr:rowOff>0</xdr:rowOff>
    </xdr:from>
    <xdr:to>
      <xdr:col>39</xdr:col>
      <xdr:colOff>368753</xdr:colOff>
      <xdr:row>20</xdr:row>
      <xdr:rowOff>170088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46055</xdr:colOff>
      <xdr:row>0</xdr:row>
      <xdr:rowOff>40822</xdr:rowOff>
    </xdr:from>
    <xdr:to>
      <xdr:col>4</xdr:col>
      <xdr:colOff>367392</xdr:colOff>
      <xdr:row>0</xdr:row>
      <xdr:rowOff>381000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397328</xdr:colOff>
      <xdr:row>0</xdr:row>
      <xdr:rowOff>43544</xdr:rowOff>
    </xdr:from>
    <xdr:to>
      <xdr:col>8</xdr:col>
      <xdr:colOff>105298</xdr:colOff>
      <xdr:row>0</xdr:row>
      <xdr:rowOff>383722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215934</xdr:colOff>
      <xdr:row>0</xdr:row>
      <xdr:rowOff>58511</xdr:rowOff>
    </xdr:from>
    <xdr:to>
      <xdr:col>11</xdr:col>
      <xdr:colOff>533503</xdr:colOff>
      <xdr:row>0</xdr:row>
      <xdr:rowOff>398689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5092734" y="58511"/>
          <a:ext cx="2146369" cy="340178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12</xdr:col>
      <xdr:colOff>9629</xdr:colOff>
      <xdr:row>0</xdr:row>
      <xdr:rowOff>43543</xdr:rowOff>
    </xdr:from>
    <xdr:to>
      <xdr:col>15</xdr:col>
      <xdr:colOff>333060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7324829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428311</xdr:colOff>
      <xdr:row>0</xdr:row>
      <xdr:rowOff>43543</xdr:rowOff>
    </xdr:from>
    <xdr:to>
      <xdr:col>19</xdr:col>
      <xdr:colOff>142142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10"/>
        </xdr:cNvPr>
        <xdr:cNvSpPr/>
      </xdr:nvSpPr>
      <xdr:spPr>
        <a:xfrm>
          <a:off x="9572311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237393</xdr:colOff>
      <xdr:row>0</xdr:row>
      <xdr:rowOff>43543</xdr:rowOff>
    </xdr:from>
    <xdr:to>
      <xdr:col>22</xdr:col>
      <xdr:colOff>560824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11819793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46475</xdr:colOff>
      <xdr:row>0</xdr:row>
      <xdr:rowOff>43543</xdr:rowOff>
    </xdr:from>
    <xdr:to>
      <xdr:col>26</xdr:col>
      <xdr:colOff>382466</xdr:colOff>
      <xdr:row>0</xdr:row>
      <xdr:rowOff>383721</xdr:rowOff>
    </xdr:to>
    <xdr:sp macro="" textlink="">
      <xdr:nvSpPr>
        <xdr:cNvPr id="33" name="Retângulo 32">
          <a:hlinkClick xmlns:r="http://schemas.openxmlformats.org/officeDocument/2006/relationships" r:id="rId12"/>
        </xdr:cNvPr>
        <xdr:cNvSpPr/>
      </xdr:nvSpPr>
      <xdr:spPr>
        <a:xfrm>
          <a:off x="14067275" y="43543"/>
          <a:ext cx="216479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477717</xdr:colOff>
      <xdr:row>0</xdr:row>
      <xdr:rowOff>43543</xdr:rowOff>
    </xdr:from>
    <xdr:to>
      <xdr:col>30</xdr:col>
      <xdr:colOff>193641</xdr:colOff>
      <xdr:row>0</xdr:row>
      <xdr:rowOff>383721</xdr:rowOff>
    </xdr:to>
    <xdr:sp macro="" textlink="">
      <xdr:nvSpPr>
        <xdr:cNvPr id="34" name="Retângulo 33">
          <a:hlinkClick xmlns:r="http://schemas.openxmlformats.org/officeDocument/2006/relationships" r:id="rId13"/>
        </xdr:cNvPr>
        <xdr:cNvSpPr/>
      </xdr:nvSpPr>
      <xdr:spPr>
        <a:xfrm>
          <a:off x="16327317" y="43543"/>
          <a:ext cx="21543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288892</xdr:colOff>
      <xdr:row>0</xdr:row>
      <xdr:rowOff>43543</xdr:rowOff>
    </xdr:from>
    <xdr:to>
      <xdr:col>34</xdr:col>
      <xdr:colOff>10468</xdr:colOff>
      <xdr:row>0</xdr:row>
      <xdr:rowOff>383721</xdr:rowOff>
    </xdr:to>
    <xdr:sp macro="" textlink="">
      <xdr:nvSpPr>
        <xdr:cNvPr id="35" name="Retângulo 34">
          <a:hlinkClick xmlns:r="http://schemas.openxmlformats.org/officeDocument/2006/relationships" r:id="rId14"/>
        </xdr:cNvPr>
        <xdr:cNvSpPr/>
      </xdr:nvSpPr>
      <xdr:spPr>
        <a:xfrm>
          <a:off x="18576892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36" name="Imagem 35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</xdr:row>
      <xdr:rowOff>0</xdr:rowOff>
    </xdr:from>
    <xdr:to>
      <xdr:col>4</xdr:col>
      <xdr:colOff>318759</xdr:colOff>
      <xdr:row>1</xdr:row>
      <xdr:rowOff>340178</xdr:rowOff>
    </xdr:to>
    <xdr:sp macro="" textlink="">
      <xdr:nvSpPr>
        <xdr:cNvPr id="37" name="Retângulo 36">
          <a:hlinkClick xmlns:r="http://schemas.openxmlformats.org/officeDocument/2006/relationships" r:id="rId16"/>
        </xdr:cNvPr>
        <xdr:cNvSpPr/>
      </xdr:nvSpPr>
      <xdr:spPr>
        <a:xfrm>
          <a:off x="609600" y="400050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171450</xdr:colOff>
      <xdr:row>1</xdr:row>
      <xdr:rowOff>28575</xdr:rowOff>
    </xdr:from>
    <xdr:to>
      <xdr:col>8</xdr:col>
      <xdr:colOff>483405</xdr:colOff>
      <xdr:row>1</xdr:row>
      <xdr:rowOff>368753</xdr:rowOff>
    </xdr:to>
    <xdr:sp macro="" textlink="">
      <xdr:nvSpPr>
        <xdr:cNvPr id="18" name="Retângulo 17">
          <a:hlinkClick xmlns:r="http://schemas.openxmlformats.org/officeDocument/2006/relationships" r:id="rId17"/>
        </xdr:cNvPr>
        <xdr:cNvSpPr/>
      </xdr:nvSpPr>
      <xdr:spPr>
        <a:xfrm>
          <a:off x="3219450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13608</xdr:colOff>
      <xdr:row>4</xdr:row>
      <xdr:rowOff>0</xdr:rowOff>
    </xdr:from>
    <xdr:to>
      <xdr:col>4</xdr:col>
      <xdr:colOff>1564823</xdr:colOff>
      <xdr:row>4</xdr:row>
      <xdr:rowOff>326572</xdr:rowOff>
    </xdr:to>
    <xdr:sp macro="" textlink="">
      <xdr:nvSpPr>
        <xdr:cNvPr id="4" name="Bisel 3"/>
        <xdr:cNvSpPr/>
      </xdr:nvSpPr>
      <xdr:spPr>
        <a:xfrm>
          <a:off x="1455965" y="0"/>
          <a:ext cx="2612572" cy="326572"/>
        </a:xfrm>
        <a:prstGeom prst="bevel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SELECIONE MÊS A VISUALIZAR</a:t>
          </a:r>
        </a:p>
      </xdr:txBody>
    </xdr:sp>
    <xdr:clientData/>
  </xdr:twoCellAnchor>
  <xdr:twoCellAnchor>
    <xdr:from>
      <xdr:col>1</xdr:col>
      <xdr:colOff>40822</xdr:colOff>
      <xdr:row>0</xdr:row>
      <xdr:rowOff>40822</xdr:rowOff>
    </xdr:from>
    <xdr:to>
      <xdr:col>3</xdr:col>
      <xdr:colOff>748392</xdr:colOff>
      <xdr:row>0</xdr:row>
      <xdr:rowOff>381000</xdr:rowOff>
    </xdr:to>
    <xdr:sp macro="" textlink="">
      <xdr:nvSpPr>
        <xdr:cNvPr id="24" name="Retângulo 23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778328</xdr:colOff>
      <xdr:row>0</xdr:row>
      <xdr:rowOff>43544</xdr:rowOff>
    </xdr:from>
    <xdr:to>
      <xdr:col>5</xdr:col>
      <xdr:colOff>261256</xdr:colOff>
      <xdr:row>0</xdr:row>
      <xdr:rowOff>383722</xdr:rowOff>
    </xdr:to>
    <xdr:sp macro="" textlink="">
      <xdr:nvSpPr>
        <xdr:cNvPr id="25" name="Retângulo 24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5</xdr:col>
      <xdr:colOff>356506</xdr:colOff>
      <xdr:row>0</xdr:row>
      <xdr:rowOff>29936</xdr:rowOff>
    </xdr:from>
    <xdr:to>
      <xdr:col>7</xdr:col>
      <xdr:colOff>751113</xdr:colOff>
      <xdr:row>0</xdr:row>
      <xdr:rowOff>370114</xdr:rowOff>
    </xdr:to>
    <xdr:sp macro="" textlink="">
      <xdr:nvSpPr>
        <xdr:cNvPr id="26" name="Retângulo 25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7</xdr:col>
      <xdr:colOff>846364</xdr:colOff>
      <xdr:row>0</xdr:row>
      <xdr:rowOff>43543</xdr:rowOff>
    </xdr:from>
    <xdr:to>
      <xdr:col>9</xdr:col>
      <xdr:colOff>587828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9</xdr:col>
      <xdr:colOff>683079</xdr:colOff>
      <xdr:row>0</xdr:row>
      <xdr:rowOff>43543</xdr:rowOff>
    </xdr:from>
    <xdr:to>
      <xdr:col>11</xdr:col>
      <xdr:colOff>247650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342901</xdr:colOff>
      <xdr:row>0</xdr:row>
      <xdr:rowOff>43543</xdr:rowOff>
    </xdr:from>
    <xdr:to>
      <xdr:col>13</xdr:col>
      <xdr:colOff>397329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13</xdr:col>
      <xdr:colOff>492580</xdr:colOff>
      <xdr:row>0</xdr:row>
      <xdr:rowOff>43543</xdr:rowOff>
    </xdr:from>
    <xdr:to>
      <xdr:col>14</xdr:col>
      <xdr:colOff>955222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1050473</xdr:colOff>
      <xdr:row>0</xdr:row>
      <xdr:rowOff>43543</xdr:rowOff>
    </xdr:from>
    <xdr:to>
      <xdr:col>16</xdr:col>
      <xdr:colOff>152401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247652</xdr:colOff>
      <xdr:row>0</xdr:row>
      <xdr:rowOff>43543</xdr:rowOff>
    </xdr:from>
    <xdr:to>
      <xdr:col>19</xdr:col>
      <xdr:colOff>560616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31750</xdr:colOff>
      <xdr:row>1</xdr:row>
      <xdr:rowOff>47625</xdr:rowOff>
    </xdr:from>
    <xdr:to>
      <xdr:col>3</xdr:col>
      <xdr:colOff>750559</xdr:colOff>
      <xdr:row>1</xdr:row>
      <xdr:rowOff>387803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635000" y="44450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920750</xdr:colOff>
      <xdr:row>1</xdr:row>
      <xdr:rowOff>31750</xdr:rowOff>
    </xdr:from>
    <xdr:to>
      <xdr:col>6</xdr:col>
      <xdr:colOff>156380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2"/>
        </xdr:cNvPr>
        <xdr:cNvSpPr/>
      </xdr:nvSpPr>
      <xdr:spPr>
        <a:xfrm>
          <a:off x="4016375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1047750</xdr:colOff>
      <xdr:row>1</xdr:row>
      <xdr:rowOff>47625</xdr:rowOff>
    </xdr:from>
    <xdr:to>
      <xdr:col>10</xdr:col>
      <xdr:colOff>879928</xdr:colOff>
      <xdr:row>1</xdr:row>
      <xdr:rowOff>387803</xdr:rowOff>
    </xdr:to>
    <xdr:sp macro="" textlink="">
      <xdr:nvSpPr>
        <xdr:cNvPr id="15" name="Retângulo 14">
          <a:hlinkClick xmlns:r="http://schemas.openxmlformats.org/officeDocument/2006/relationships" r:id="rId13"/>
        </xdr:cNvPr>
        <xdr:cNvSpPr/>
      </xdr:nvSpPr>
      <xdr:spPr>
        <a:xfrm>
          <a:off x="8842375" y="44450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45924</xdr:colOff>
      <xdr:row>0</xdr:row>
      <xdr:rowOff>40822</xdr:rowOff>
    </xdr:from>
    <xdr:to>
      <xdr:col>2</xdr:col>
      <xdr:colOff>409915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439851</xdr:colOff>
      <xdr:row>0</xdr:row>
      <xdr:rowOff>43544</xdr:rowOff>
    </xdr:from>
    <xdr:to>
      <xdr:col>4</xdr:col>
      <xdr:colOff>446654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541904</xdr:colOff>
      <xdr:row>0</xdr:row>
      <xdr:rowOff>29936</xdr:rowOff>
    </xdr:from>
    <xdr:to>
      <xdr:col>6</xdr:col>
      <xdr:colOff>715394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6</xdr:col>
      <xdr:colOff>810645</xdr:colOff>
      <xdr:row>0</xdr:row>
      <xdr:rowOff>43543</xdr:rowOff>
    </xdr:from>
    <xdr:to>
      <xdr:col>9</xdr:col>
      <xdr:colOff>186417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9</xdr:col>
      <xdr:colOff>281668</xdr:colOff>
      <xdr:row>0</xdr:row>
      <xdr:rowOff>43543</xdr:rowOff>
    </xdr:from>
    <xdr:to>
      <xdr:col>11</xdr:col>
      <xdr:colOff>657565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752816</xdr:colOff>
      <xdr:row>0</xdr:row>
      <xdr:rowOff>43543</xdr:rowOff>
    </xdr:from>
    <xdr:to>
      <xdr:col>13</xdr:col>
      <xdr:colOff>914400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13</xdr:col>
      <xdr:colOff>1009651</xdr:colOff>
      <xdr:row>0</xdr:row>
      <xdr:rowOff>43543</xdr:rowOff>
    </xdr:from>
    <xdr:to>
      <xdr:col>15</xdr:col>
      <xdr:colOff>921204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15</xdr:col>
      <xdr:colOff>1016455</xdr:colOff>
      <xdr:row>0</xdr:row>
      <xdr:rowOff>43543</xdr:rowOff>
    </xdr:from>
    <xdr:to>
      <xdr:col>19</xdr:col>
      <xdr:colOff>237445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19</xdr:col>
      <xdr:colOff>332696</xdr:colOff>
      <xdr:row>0</xdr:row>
      <xdr:rowOff>43543</xdr:rowOff>
    </xdr:from>
    <xdr:to>
      <xdr:col>23</xdr:col>
      <xdr:colOff>53749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23812</xdr:colOff>
      <xdr:row>1</xdr:row>
      <xdr:rowOff>71437</xdr:rowOff>
    </xdr:from>
    <xdr:to>
      <xdr:col>2</xdr:col>
      <xdr:colOff>385434</xdr:colOff>
      <xdr:row>1</xdr:row>
      <xdr:rowOff>411615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31031" y="47625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444500</xdr:colOff>
      <xdr:row>1</xdr:row>
      <xdr:rowOff>63500</xdr:rowOff>
    </xdr:from>
    <xdr:to>
      <xdr:col>5</xdr:col>
      <xdr:colOff>537380</xdr:colOff>
      <xdr:row>1</xdr:row>
      <xdr:rowOff>403678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921125" y="46037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49893</xdr:colOff>
      <xdr:row>0</xdr:row>
      <xdr:rowOff>40822</xdr:rowOff>
    </xdr:from>
    <xdr:to>
      <xdr:col>3</xdr:col>
      <xdr:colOff>707571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737507</xdr:colOff>
      <xdr:row>0</xdr:row>
      <xdr:rowOff>43544</xdr:rowOff>
    </xdr:from>
    <xdr:to>
      <xdr:col>6</xdr:col>
      <xdr:colOff>29935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6</xdr:col>
      <xdr:colOff>125185</xdr:colOff>
      <xdr:row>0</xdr:row>
      <xdr:rowOff>29936</xdr:rowOff>
    </xdr:from>
    <xdr:to>
      <xdr:col>9</xdr:col>
      <xdr:colOff>20863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9</xdr:col>
      <xdr:colOff>116114</xdr:colOff>
      <xdr:row>0</xdr:row>
      <xdr:rowOff>43543</xdr:rowOff>
    </xdr:from>
    <xdr:to>
      <xdr:col>11</xdr:col>
      <xdr:colOff>1408792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11</xdr:col>
      <xdr:colOff>1504043</xdr:colOff>
      <xdr:row>0</xdr:row>
      <xdr:rowOff>43543</xdr:rowOff>
    </xdr:from>
    <xdr:to>
      <xdr:col>13</xdr:col>
      <xdr:colOff>812346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907597</xdr:colOff>
      <xdr:row>0</xdr:row>
      <xdr:rowOff>43543</xdr:rowOff>
    </xdr:from>
    <xdr:to>
      <xdr:col>15</xdr:col>
      <xdr:colOff>676275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15</xdr:col>
      <xdr:colOff>771526</xdr:colOff>
      <xdr:row>0</xdr:row>
      <xdr:rowOff>43543</xdr:rowOff>
    </xdr:from>
    <xdr:to>
      <xdr:col>19</xdr:col>
      <xdr:colOff>222704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19</xdr:col>
      <xdr:colOff>317955</xdr:colOff>
      <xdr:row>0</xdr:row>
      <xdr:rowOff>43543</xdr:rowOff>
    </xdr:from>
    <xdr:to>
      <xdr:col>23</xdr:col>
      <xdr:colOff>54883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23</xdr:col>
      <xdr:colOff>150134</xdr:colOff>
      <xdr:row>0</xdr:row>
      <xdr:rowOff>43543</xdr:rowOff>
    </xdr:from>
    <xdr:to>
      <xdr:col>26</xdr:col>
      <xdr:colOff>490312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79375</xdr:colOff>
      <xdr:row>1</xdr:row>
      <xdr:rowOff>31750</xdr:rowOff>
    </xdr:from>
    <xdr:to>
      <xdr:col>3</xdr:col>
      <xdr:colOff>734684</xdr:colOff>
      <xdr:row>1</xdr:row>
      <xdr:rowOff>371928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82625" y="428625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222250</xdr:colOff>
      <xdr:row>1</xdr:row>
      <xdr:rowOff>79375</xdr:rowOff>
    </xdr:from>
    <xdr:to>
      <xdr:col>5</xdr:col>
      <xdr:colOff>1061255</xdr:colOff>
      <xdr:row>1</xdr:row>
      <xdr:rowOff>419553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873500" y="476250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197759</xdr:colOff>
      <xdr:row>1</xdr:row>
      <xdr:rowOff>91168</xdr:rowOff>
    </xdr:from>
    <xdr:to>
      <xdr:col>21</xdr:col>
      <xdr:colOff>236312</xdr:colOff>
      <xdr:row>1</xdr:row>
      <xdr:rowOff>431346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16882384" y="4880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66675</xdr:rowOff>
    </xdr:from>
    <xdr:to>
      <xdr:col>20</xdr:col>
      <xdr:colOff>142875</xdr:colOff>
      <xdr:row>23</xdr:row>
      <xdr:rowOff>123825</xdr:rowOff>
    </xdr:to>
    <xdr:sp macro="" textlink="">
      <xdr:nvSpPr>
        <xdr:cNvPr id="2" name="Retângulo 1"/>
        <xdr:cNvSpPr/>
      </xdr:nvSpPr>
      <xdr:spPr>
        <a:xfrm>
          <a:off x="133350" y="66675"/>
          <a:ext cx="12201525" cy="44386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266700</xdr:colOff>
      <xdr:row>0</xdr:row>
      <xdr:rowOff>114300</xdr:rowOff>
    </xdr:from>
    <xdr:to>
      <xdr:col>20</xdr:col>
      <xdr:colOff>28575</xdr:colOff>
      <xdr:row>3</xdr:row>
      <xdr:rowOff>0</xdr:rowOff>
    </xdr:to>
    <xdr:sp macro="" textlink="">
      <xdr:nvSpPr>
        <xdr:cNvPr id="3" name="Retângulo 2"/>
        <xdr:cNvSpPr/>
      </xdr:nvSpPr>
      <xdr:spPr>
        <a:xfrm>
          <a:off x="266700" y="114300"/>
          <a:ext cx="11953875" cy="4572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3</xdr:row>
      <xdr:rowOff>151488</xdr:rowOff>
    </xdr:from>
    <xdr:to>
      <xdr:col>4</xdr:col>
      <xdr:colOff>485775</xdr:colOff>
      <xdr:row>7</xdr:row>
      <xdr:rowOff>185016</xdr:rowOff>
    </xdr:to>
    <xdr:sp macro="" textlink="">
      <xdr:nvSpPr>
        <xdr:cNvPr id="4" name="Retângulo 3"/>
        <xdr:cNvSpPr/>
      </xdr:nvSpPr>
      <xdr:spPr>
        <a:xfrm>
          <a:off x="304801" y="722988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 LINHAS E 1 COLUNA</a:t>
          </a:r>
        </a:p>
      </xdr:txBody>
    </xdr:sp>
    <xdr:clientData/>
  </xdr:twoCellAnchor>
  <xdr:twoCellAnchor>
    <xdr:from>
      <xdr:col>5</xdr:col>
      <xdr:colOff>276226</xdr:colOff>
      <xdr:row>3</xdr:row>
      <xdr:rowOff>151488</xdr:rowOff>
    </xdr:from>
    <xdr:to>
      <xdr:col>9</xdr:col>
      <xdr:colOff>552450</xdr:colOff>
      <xdr:row>7</xdr:row>
      <xdr:rowOff>185016</xdr:rowOff>
    </xdr:to>
    <xdr:sp macro="" textlink="">
      <xdr:nvSpPr>
        <xdr:cNvPr id="9" name="Retângulo 8"/>
        <xdr:cNvSpPr/>
      </xdr:nvSpPr>
      <xdr:spPr>
        <a:xfrm>
          <a:off x="3324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276226</xdr:colOff>
      <xdr:row>3</xdr:row>
      <xdr:rowOff>151488</xdr:rowOff>
    </xdr:from>
    <xdr:to>
      <xdr:col>14</xdr:col>
      <xdr:colOff>552450</xdr:colOff>
      <xdr:row>7</xdr:row>
      <xdr:rowOff>185016</xdr:rowOff>
    </xdr:to>
    <xdr:sp macro="" textlink="">
      <xdr:nvSpPr>
        <xdr:cNvPr id="10" name="Retângulo 9"/>
        <xdr:cNvSpPr/>
      </xdr:nvSpPr>
      <xdr:spPr>
        <a:xfrm>
          <a:off x="6372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276226</xdr:colOff>
      <xdr:row>3</xdr:row>
      <xdr:rowOff>151488</xdr:rowOff>
    </xdr:from>
    <xdr:to>
      <xdr:col>19</xdr:col>
      <xdr:colOff>552450</xdr:colOff>
      <xdr:row>7</xdr:row>
      <xdr:rowOff>185016</xdr:rowOff>
    </xdr:to>
    <xdr:sp macro="" textlink="">
      <xdr:nvSpPr>
        <xdr:cNvPr id="11" name="Retângulo 10"/>
        <xdr:cNvSpPr/>
      </xdr:nvSpPr>
      <xdr:spPr>
        <a:xfrm>
          <a:off x="9420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8</xdr:row>
      <xdr:rowOff>141963</xdr:rowOff>
    </xdr:from>
    <xdr:to>
      <xdr:col>4</xdr:col>
      <xdr:colOff>485775</xdr:colOff>
      <xdr:row>12</xdr:row>
      <xdr:rowOff>175491</xdr:rowOff>
    </xdr:to>
    <xdr:sp macro="" textlink="">
      <xdr:nvSpPr>
        <xdr:cNvPr id="12" name="Retângulo 11"/>
        <xdr:cNvSpPr/>
      </xdr:nvSpPr>
      <xdr:spPr>
        <a:xfrm>
          <a:off x="304801" y="1665963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13</xdr:row>
      <xdr:rowOff>132438</xdr:rowOff>
    </xdr:from>
    <xdr:to>
      <xdr:col>4</xdr:col>
      <xdr:colOff>485775</xdr:colOff>
      <xdr:row>17</xdr:row>
      <xdr:rowOff>165966</xdr:rowOff>
    </xdr:to>
    <xdr:sp macro="" textlink="">
      <xdr:nvSpPr>
        <xdr:cNvPr id="13" name="Retângulo 12"/>
        <xdr:cNvSpPr/>
      </xdr:nvSpPr>
      <xdr:spPr>
        <a:xfrm>
          <a:off x="304801" y="2608938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18</xdr:row>
      <xdr:rowOff>122913</xdr:rowOff>
    </xdr:from>
    <xdr:to>
      <xdr:col>4</xdr:col>
      <xdr:colOff>485775</xdr:colOff>
      <xdr:row>22</xdr:row>
      <xdr:rowOff>156441</xdr:rowOff>
    </xdr:to>
    <xdr:sp macro="" textlink="">
      <xdr:nvSpPr>
        <xdr:cNvPr id="14" name="Retângulo 13"/>
        <xdr:cNvSpPr/>
      </xdr:nvSpPr>
      <xdr:spPr>
        <a:xfrm>
          <a:off x="304801" y="3551913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238125</xdr:colOff>
      <xdr:row>8</xdr:row>
      <xdr:rowOff>46713</xdr:rowOff>
    </xdr:from>
    <xdr:to>
      <xdr:col>19</xdr:col>
      <xdr:colOff>571857</xdr:colOff>
      <xdr:row>22</xdr:row>
      <xdr:rowOff>180975</xdr:rowOff>
    </xdr:to>
    <xdr:sp macro="" textlink="">
      <xdr:nvSpPr>
        <xdr:cNvPr id="15" name="Retângulo 14"/>
        <xdr:cNvSpPr/>
      </xdr:nvSpPr>
      <xdr:spPr>
        <a:xfrm>
          <a:off x="3286125" y="1570713"/>
          <a:ext cx="8868132" cy="2801262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%20Formata&#231;&#227;o%20e%20Finaliza&#231;&#227;o%20do%20Painel%20de%20Contro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UXO DE CAIXA"/>
      <sheetName val="GRAFICO ANUAL"/>
      <sheetName val="GRAFICO ANUAL (2)"/>
      <sheetName val="JANEIRO"/>
      <sheetName val="FEVEREIRO"/>
      <sheetName val="MARÇO"/>
      <sheetName val="ABRIL"/>
      <sheetName val="MAIO"/>
      <sheetName val="JUNHO"/>
      <sheetName val="JULHO"/>
      <sheetName val="AGOSTO"/>
      <sheetName val="SETEMBRO"/>
      <sheetName val="OUTUBRO"/>
      <sheetName val="NOVEMBRO"/>
      <sheetName val="DEZEMBRO"/>
      <sheetName val="DASHBOARD"/>
      <sheetName val="AUXILIAR 2"/>
      <sheetName val="FLUXO DE CAIXA (2)"/>
      <sheetName val="COMPARAÇAO CENTROS DE CUSTO"/>
      <sheetName val="FLUXO DE CAIXA CENTROS"/>
      <sheetName val="plano de contas"/>
      <sheetName val="CENTRO DE CUSTO"/>
      <sheetName val="DRE"/>
      <sheetName val="GRAFICO DESPESAS"/>
      <sheetName val="GRAFICOS"/>
      <sheetName val="FC-DIARIO"/>
      <sheetName val="DRE1"/>
      <sheetName val="AUXILIAR"/>
      <sheetName val="INDICADORES"/>
      <sheetName val="RASCUNH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7">
          <cell r="C7" t="str">
            <v>JAN</v>
          </cell>
          <cell r="D7" t="str">
            <v>FEB</v>
          </cell>
          <cell r="E7" t="str">
            <v>MAR</v>
          </cell>
          <cell r="F7" t="str">
            <v>APR</v>
          </cell>
          <cell r="G7" t="str">
            <v>MAY</v>
          </cell>
          <cell r="H7" t="str">
            <v>JUN</v>
          </cell>
          <cell r="I7" t="str">
            <v>JUL</v>
          </cell>
          <cell r="J7" t="str">
            <v>AUG</v>
          </cell>
          <cell r="K7" t="str">
            <v>SEP</v>
          </cell>
          <cell r="L7" t="str">
            <v>OCT</v>
          </cell>
          <cell r="M7" t="str">
            <v>NOV</v>
          </cell>
          <cell r="N7" t="str">
            <v>DEC</v>
          </cell>
        </row>
        <row r="9">
          <cell r="B9" t="str">
            <v>RECEITAS</v>
          </cell>
          <cell r="C9">
            <v>1505</v>
          </cell>
          <cell r="D9">
            <v>1301</v>
          </cell>
          <cell r="E9">
            <v>198</v>
          </cell>
          <cell r="F9">
            <v>0</v>
          </cell>
          <cell r="G9">
            <v>1174</v>
          </cell>
          <cell r="H9">
            <v>0</v>
          </cell>
          <cell r="I9">
            <v>490</v>
          </cell>
          <cell r="J9">
            <v>9</v>
          </cell>
          <cell r="K9">
            <v>13</v>
          </cell>
          <cell r="L9">
            <v>40.8333333333333</v>
          </cell>
          <cell r="M9">
            <v>486</v>
          </cell>
          <cell r="N9">
            <v>8018</v>
          </cell>
        </row>
        <row r="10">
          <cell r="B10" t="str">
            <v>DESPESAS</v>
          </cell>
          <cell r="C10">
            <v>1205</v>
          </cell>
          <cell r="D10">
            <v>517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100</v>
          </cell>
          <cell r="J10">
            <v>9</v>
          </cell>
          <cell r="K10">
            <v>619</v>
          </cell>
          <cell r="L10">
            <v>1487.2333333333329</v>
          </cell>
          <cell r="M10">
            <v>771.6666666666664</v>
          </cell>
          <cell r="N10">
            <v>11535</v>
          </cell>
        </row>
        <row r="11">
          <cell r="B11" t="str">
            <v>SALDO FINANCEIRO</v>
          </cell>
          <cell r="C11">
            <v>300</v>
          </cell>
          <cell r="D11">
            <v>784</v>
          </cell>
          <cell r="E11">
            <v>198</v>
          </cell>
          <cell r="F11">
            <v>0</v>
          </cell>
          <cell r="G11">
            <v>1174</v>
          </cell>
          <cell r="H11">
            <v>0</v>
          </cell>
          <cell r="I11">
            <v>390</v>
          </cell>
          <cell r="J11">
            <v>0</v>
          </cell>
          <cell r="K11">
            <v>-606</v>
          </cell>
          <cell r="L11">
            <v>-1446.3999999999996</v>
          </cell>
          <cell r="M11">
            <v>-285.6666666666664</v>
          </cell>
          <cell r="N11">
            <v>-3517</v>
          </cell>
          <cell r="O11">
            <v>-3009.0666666666662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9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37"/>
  <sheetViews>
    <sheetView showGridLines="0" zoomScale="60" zoomScaleNormal="60" workbookViewId="0"/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1:15" s="60" customFormat="1" ht="31.5" customHeight="1" x14ac:dyDescent="0.25"/>
    <row r="2" spans="1:15" s="60" customFormat="1" ht="36" customHeight="1" x14ac:dyDescent="0.25"/>
    <row r="3" spans="1:15" x14ac:dyDescent="0.25">
      <c r="B3" s="64" t="s">
        <v>108</v>
      </c>
    </row>
    <row r="5" spans="1:15" ht="31.5" customHeight="1" x14ac:dyDescent="0.25"/>
    <row r="6" spans="1:15" ht="30" customHeight="1" x14ac:dyDescent="0.25"/>
    <row r="7" spans="1:15" ht="23.25" x14ac:dyDescent="0.25">
      <c r="A7" s="13" t="s">
        <v>102</v>
      </c>
      <c r="B7" s="14" t="s">
        <v>20</v>
      </c>
      <c r="C7" s="14" t="s">
        <v>21</v>
      </c>
      <c r="D7" s="14" t="s">
        <v>22</v>
      </c>
      <c r="E7" s="14" t="s">
        <v>23</v>
      </c>
      <c r="F7" s="14" t="s">
        <v>24</v>
      </c>
      <c r="G7" s="14" t="s">
        <v>25</v>
      </c>
      <c r="H7" s="14" t="s">
        <v>26</v>
      </c>
      <c r="I7" s="14" t="s">
        <v>27</v>
      </c>
      <c r="J7" s="14" t="s">
        <v>28</v>
      </c>
      <c r="K7" s="14" t="s">
        <v>29</v>
      </c>
      <c r="L7" s="14" t="s">
        <v>30</v>
      </c>
      <c r="M7" s="14" t="s">
        <v>31</v>
      </c>
      <c r="N7" s="14" t="s">
        <v>37</v>
      </c>
      <c r="O7" s="14" t="s">
        <v>32</v>
      </c>
    </row>
    <row r="8" spans="1:15" ht="23.25" x14ac:dyDescent="0.25">
      <c r="A8" s="13" t="s">
        <v>33</v>
      </c>
      <c r="B8" s="47">
        <v>111</v>
      </c>
      <c r="C8" s="47">
        <f>B12</f>
        <v>411</v>
      </c>
      <c r="D8" s="47">
        <f t="shared" ref="D8:M8" si="0">C12</f>
        <v>1195</v>
      </c>
      <c r="E8" s="47">
        <f t="shared" si="0"/>
        <v>1393</v>
      </c>
      <c r="F8" s="47">
        <f t="shared" si="0"/>
        <v>1393</v>
      </c>
      <c r="G8" s="47">
        <f t="shared" si="0"/>
        <v>2567</v>
      </c>
      <c r="H8" s="47">
        <f t="shared" si="0"/>
        <v>2567</v>
      </c>
      <c r="I8" s="47">
        <f t="shared" si="0"/>
        <v>2957</v>
      </c>
      <c r="J8" s="47">
        <f t="shared" si="0"/>
        <v>2957</v>
      </c>
      <c r="K8" s="47">
        <f t="shared" si="0"/>
        <v>2351</v>
      </c>
      <c r="L8" s="47">
        <f t="shared" si="0"/>
        <v>904.60000000000036</v>
      </c>
      <c r="M8" s="47">
        <f t="shared" si="0"/>
        <v>618.93333333333396</v>
      </c>
      <c r="N8" s="47">
        <f>SUM(B8:M8)</f>
        <v>19425.533333333333</v>
      </c>
      <c r="O8" s="47">
        <f>B8</f>
        <v>111</v>
      </c>
    </row>
    <row r="9" spans="1:15" ht="23.25" x14ac:dyDescent="0.25">
      <c r="A9" s="13" t="s">
        <v>34</v>
      </c>
      <c r="B9" s="47">
        <f>JANEIRO!$N$8</f>
        <v>1505</v>
      </c>
      <c r="C9" s="47">
        <f>FEVEREIRO!$N$8</f>
        <v>1301</v>
      </c>
      <c r="D9" s="47">
        <f>MARÇO!$N$8</f>
        <v>198</v>
      </c>
      <c r="E9" s="47">
        <f>ABRIL!$N$8</f>
        <v>0</v>
      </c>
      <c r="F9" s="47">
        <f>MAIO!$N$8</f>
        <v>1174</v>
      </c>
      <c r="G9" s="47">
        <f>JUNHO!$N$8</f>
        <v>0</v>
      </c>
      <c r="H9" s="47">
        <f>JULHO!$N$8</f>
        <v>490</v>
      </c>
      <c r="I9" s="47">
        <f>AGOSTO!$N$8</f>
        <v>9</v>
      </c>
      <c r="J9" s="47">
        <f>SETEMBRO!$N$8</f>
        <v>13</v>
      </c>
      <c r="K9" s="47">
        <f>OUTUBRO!$N$8</f>
        <v>40.8333333333333</v>
      </c>
      <c r="L9" s="47">
        <f>NOVEMBRO!$N$8</f>
        <v>486</v>
      </c>
      <c r="M9" s="47">
        <f>NOVEMBRO!$N$8</f>
        <v>486</v>
      </c>
      <c r="N9" s="47">
        <f>SUM(B9:M9)</f>
        <v>5702.833333333333</v>
      </c>
      <c r="O9" s="47">
        <f>SUM(B9:M9)</f>
        <v>5702.833333333333</v>
      </c>
    </row>
    <row r="10" spans="1:15" ht="23.25" x14ac:dyDescent="0.25">
      <c r="A10" s="13" t="s">
        <v>35</v>
      </c>
      <c r="B10" s="47">
        <f>JANEIRO!$N$9</f>
        <v>1205</v>
      </c>
      <c r="C10" s="47">
        <f>FEVEREIRO!$N$9</f>
        <v>517</v>
      </c>
      <c r="D10" s="47">
        <f>MARÇO!$N$9</f>
        <v>0</v>
      </c>
      <c r="E10" s="47">
        <f>ABRIL!$N$9</f>
        <v>0</v>
      </c>
      <c r="F10" s="47">
        <f>MAIO!$N$9</f>
        <v>0</v>
      </c>
      <c r="G10" s="47">
        <f>JUNHO!$N$9</f>
        <v>0</v>
      </c>
      <c r="H10" s="47">
        <f>JULHO!$N$9</f>
        <v>100</v>
      </c>
      <c r="I10" s="47">
        <f>AGOSTO!$N$9</f>
        <v>9</v>
      </c>
      <c r="J10" s="47">
        <f>SETEMBRO!$N$9</f>
        <v>619</v>
      </c>
      <c r="K10" s="47">
        <f>OUTUBRO!$N$9</f>
        <v>1487.2333333333329</v>
      </c>
      <c r="L10" s="47">
        <f>NOVEMBRO!$N$9</f>
        <v>771.6666666666664</v>
      </c>
      <c r="M10" s="47">
        <f>NOVEMBRO!$N$9</f>
        <v>771.6666666666664</v>
      </c>
      <c r="N10" s="47">
        <f>SUM(B10:M10)</f>
        <v>5480.5666666666648</v>
      </c>
      <c r="O10" s="47">
        <f>SUM(B10:M10)</f>
        <v>5480.5666666666648</v>
      </c>
    </row>
    <row r="11" spans="1:15" ht="23.25" x14ac:dyDescent="0.25">
      <c r="A11" s="13" t="s">
        <v>15</v>
      </c>
      <c r="B11" s="47">
        <f>B9-B10</f>
        <v>300</v>
      </c>
      <c r="C11" s="47">
        <f t="shared" ref="C11:M11" si="1">C9-C10</f>
        <v>784</v>
      </c>
      <c r="D11" s="47">
        <f t="shared" si="1"/>
        <v>198</v>
      </c>
      <c r="E11" s="47">
        <f t="shared" si="1"/>
        <v>0</v>
      </c>
      <c r="F11" s="47">
        <f t="shared" si="1"/>
        <v>1174</v>
      </c>
      <c r="G11" s="47">
        <f t="shared" si="1"/>
        <v>0</v>
      </c>
      <c r="H11" s="47">
        <f t="shared" si="1"/>
        <v>390</v>
      </c>
      <c r="I11" s="47">
        <f t="shared" si="1"/>
        <v>0</v>
      </c>
      <c r="J11" s="47">
        <f t="shared" si="1"/>
        <v>-606</v>
      </c>
      <c r="K11" s="47">
        <f t="shared" si="1"/>
        <v>-1446.3999999999996</v>
      </c>
      <c r="L11" s="47">
        <f t="shared" si="1"/>
        <v>-285.6666666666664</v>
      </c>
      <c r="M11" s="47">
        <f t="shared" si="1"/>
        <v>-285.6666666666664</v>
      </c>
      <c r="N11" s="47">
        <f>SUM(B11:M11)</f>
        <v>222.26666666666756</v>
      </c>
      <c r="O11" s="47">
        <f>O9-O10</f>
        <v>222.26666666666824</v>
      </c>
    </row>
    <row r="12" spans="1:15" ht="23.25" x14ac:dyDescent="0.25">
      <c r="A12" s="13" t="s">
        <v>36</v>
      </c>
      <c r="B12" s="47">
        <f>B8+B11</f>
        <v>411</v>
      </c>
      <c r="C12" s="47">
        <f t="shared" ref="C12:M12" si="2">C8+C11</f>
        <v>1195</v>
      </c>
      <c r="D12" s="47">
        <f t="shared" si="2"/>
        <v>1393</v>
      </c>
      <c r="E12" s="47">
        <f t="shared" si="2"/>
        <v>1393</v>
      </c>
      <c r="F12" s="47">
        <f t="shared" si="2"/>
        <v>2567</v>
      </c>
      <c r="G12" s="47">
        <f t="shared" si="2"/>
        <v>2567</v>
      </c>
      <c r="H12" s="47">
        <f t="shared" si="2"/>
        <v>2957</v>
      </c>
      <c r="I12" s="47">
        <f t="shared" si="2"/>
        <v>2957</v>
      </c>
      <c r="J12" s="47">
        <f t="shared" si="2"/>
        <v>2351</v>
      </c>
      <c r="K12" s="47">
        <f t="shared" si="2"/>
        <v>904.60000000000036</v>
      </c>
      <c r="L12" s="47">
        <f t="shared" si="2"/>
        <v>618.93333333333396</v>
      </c>
      <c r="M12" s="47">
        <f t="shared" si="2"/>
        <v>333.26666666666756</v>
      </c>
      <c r="N12" s="47">
        <f>SUM(B12:M12)</f>
        <v>19647.8</v>
      </c>
      <c r="O12" s="47">
        <f>M12</f>
        <v>333.26666666666756</v>
      </c>
    </row>
    <row r="13" spans="1:15" ht="23.25" x14ac:dyDescent="0.35">
      <c r="E13" s="11" t="s">
        <v>38</v>
      </c>
    </row>
    <row r="14" spans="1:15" ht="30" customHeight="1" x14ac:dyDescent="0.25"/>
    <row r="15" spans="1:15" ht="30" customHeight="1" x14ac:dyDescent="0.25"/>
    <row r="16" spans="1:1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  <row r="3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A8">
    <cfRule type="cellIs" dxfId="576" priority="16" operator="equal">
      <formula>"RECEITA"</formula>
    </cfRule>
    <cfRule type="cellIs" dxfId="575" priority="17" operator="equal">
      <formula>"DESPESA"</formula>
    </cfRule>
    <cfRule type="cellIs" dxfId="574" priority="18" operator="equal">
      <formula>"RECEITA"</formula>
    </cfRule>
    <cfRule type="cellIs" dxfId="573" priority="19" operator="equal">
      <formula>"DESPESA"</formula>
    </cfRule>
    <cfRule type="cellIs" dxfId="572" priority="20" operator="equal">
      <formula>"RECEITA"</formula>
    </cfRule>
    <cfRule type="cellIs" dxfId="571" priority="21" operator="equal">
      <formula>"DESPESA"</formula>
    </cfRule>
  </conditionalFormatting>
  <conditionalFormatting sqref="A9">
    <cfRule type="cellIs" dxfId="570" priority="10" operator="equal">
      <formula>"RECEITA"</formula>
    </cfRule>
    <cfRule type="cellIs" dxfId="569" priority="11" operator="equal">
      <formula>"DESPESA"</formula>
    </cfRule>
    <cfRule type="cellIs" dxfId="568" priority="12" operator="equal">
      <formula>"RECEITA"</formula>
    </cfRule>
    <cfRule type="cellIs" dxfId="567" priority="13" operator="equal">
      <formula>"DESPESA"</formula>
    </cfRule>
    <cfRule type="cellIs" dxfId="566" priority="14" operator="equal">
      <formula>"RECEITA"</formula>
    </cfRule>
    <cfRule type="cellIs" dxfId="565" priority="15" operator="equal">
      <formula>"DESPESA"</formula>
    </cfRule>
  </conditionalFormatting>
  <conditionalFormatting sqref="B11:N11">
    <cfRule type="cellIs" dxfId="564" priority="3" operator="lessThan">
      <formula>0</formula>
    </cfRule>
    <cfRule type="cellIs" dxfId="563" priority="4" operator="greaterThan">
      <formula>0</formula>
    </cfRule>
  </conditionalFormatting>
  <conditionalFormatting sqref="B12:O12">
    <cfRule type="cellIs" dxfId="562" priority="1" operator="lessThan">
      <formula>0</formula>
    </cfRule>
    <cfRule type="cellIs" dxfId="561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2"/>
  <sheetViews>
    <sheetView showGridLines="0" showRowColHeaders="0" zoomScale="60" zoomScaleNormal="60" workbookViewId="0"/>
  </sheetViews>
  <sheetFormatPr defaultRowHeight="15" x14ac:dyDescent="0.25"/>
  <sheetData>
    <row r="1" s="60" customFormat="1" ht="31.5" customHeight="1" x14ac:dyDescent="0.25"/>
    <row r="2" s="60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2"/>
  <sheetViews>
    <sheetView workbookViewId="0"/>
  </sheetViews>
  <sheetFormatPr defaultRowHeight="15" x14ac:dyDescent="0.25"/>
  <sheetData>
    <row r="1" s="60" customFormat="1" ht="31.5" customHeight="1" x14ac:dyDescent="0.25"/>
    <row r="2" s="60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B1:O84"/>
  <sheetViews>
    <sheetView showGridLines="0" zoomScale="60" zoomScaleNormal="60" workbookViewId="0">
      <selection activeCell="G9" sqref="G9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31.5703125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87" t="s">
        <v>19</v>
      </c>
      <c r="D5" s="87"/>
      <c r="E5" s="87"/>
      <c r="F5" s="87"/>
      <c r="G5" s="87"/>
      <c r="H5" s="8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39</v>
      </c>
      <c r="E7" s="5" t="s">
        <v>45</v>
      </c>
      <c r="F7" s="5" t="s">
        <v>5</v>
      </c>
      <c r="G7" s="5" t="s">
        <v>114</v>
      </c>
      <c r="H7" s="6">
        <v>19</v>
      </c>
      <c r="I7" s="4">
        <v>46023</v>
      </c>
      <c r="J7" t="str">
        <f>VLOOKUP(D7,'plano de contas'!$O$8:$P$13,2,0)</f>
        <v>REC_PROD</v>
      </c>
      <c r="M7" s="86" t="s">
        <v>14</v>
      </c>
      <c r="N7" s="8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40</v>
      </c>
      <c r="E8" s="5" t="s">
        <v>48</v>
      </c>
      <c r="F8" s="5" t="s">
        <v>11</v>
      </c>
      <c r="G8" s="5"/>
      <c r="H8" s="6">
        <v>2</v>
      </c>
      <c r="I8" s="4">
        <v>46024</v>
      </c>
      <c r="J8" t="str">
        <f>VLOOKUP(D8,'plano de contas'!$O$8:$P$13,2,0)</f>
        <v>REC_SER</v>
      </c>
      <c r="M8" s="7" t="s">
        <v>3</v>
      </c>
      <c r="N8" s="8">
        <f>'FLUXO DE CAIXA (2)'!C9</f>
        <v>1505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46025</v>
      </c>
      <c r="D9" s="5" t="s">
        <v>43</v>
      </c>
      <c r="E9" s="5" t="s">
        <v>46</v>
      </c>
      <c r="F9" s="5" t="s">
        <v>6</v>
      </c>
      <c r="G9" s="5" t="s">
        <v>114</v>
      </c>
      <c r="H9" s="6">
        <v>100</v>
      </c>
      <c r="I9" s="4">
        <v>46025</v>
      </c>
      <c r="J9" t="str">
        <f>VLOOKUP(D9,'plano de contas'!$O$8:$P$13,2,0)</f>
        <v>DESP_OP</v>
      </c>
      <c r="M9" s="7" t="s">
        <v>4</v>
      </c>
      <c r="N9" s="8">
        <f>'FLUXO DE CAIXA (2)'!C10</f>
        <v>1205</v>
      </c>
      <c r="O9" t="str">
        <f t="shared" si="0"/>
        <v>DESPESAS</v>
      </c>
    </row>
    <row r="10" spans="2:15" ht="30" customHeight="1" x14ac:dyDescent="0.35">
      <c r="C10" s="4">
        <v>46026</v>
      </c>
      <c r="D10" s="5" t="s">
        <v>40</v>
      </c>
      <c r="E10" s="5" t="s">
        <v>44</v>
      </c>
      <c r="F10" s="5" t="s">
        <v>7</v>
      </c>
      <c r="G10" s="5"/>
      <c r="H10" s="6">
        <v>4</v>
      </c>
      <c r="I10" s="4">
        <v>46026</v>
      </c>
      <c r="J10" t="str">
        <f>VLOOKUP(D10,'plano de contas'!$O$8:$P$13,2,0)</f>
        <v>REC_SER</v>
      </c>
      <c r="M10" s="9" t="s">
        <v>15</v>
      </c>
      <c r="N10" s="10">
        <f>N8-N9</f>
        <v>300</v>
      </c>
      <c r="O10" t="str">
        <f t="shared" si="0"/>
        <v>RECEITAS</v>
      </c>
    </row>
    <row r="11" spans="2:15" ht="30" customHeight="1" x14ac:dyDescent="0.25">
      <c r="C11" s="4">
        <v>46027</v>
      </c>
      <c r="D11" s="5" t="s">
        <v>40</v>
      </c>
      <c r="E11" s="5" t="s">
        <v>48</v>
      </c>
      <c r="F11" s="5" t="s">
        <v>8</v>
      </c>
      <c r="G11" s="5"/>
      <c r="H11" s="6">
        <v>5</v>
      </c>
      <c r="I11" s="4"/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46028</v>
      </c>
      <c r="D12" s="5" t="s">
        <v>40</v>
      </c>
      <c r="E12" s="5" t="s">
        <v>44</v>
      </c>
      <c r="F12" s="5" t="s">
        <v>9</v>
      </c>
      <c r="G12" s="5" t="s">
        <v>113</v>
      </c>
      <c r="H12" s="6">
        <v>6</v>
      </c>
      <c r="I12" s="4"/>
      <c r="J12" t="str">
        <f>VLOOKUP(D12,'plano de contas'!$O$8:$P$13,2,0)</f>
        <v>REC_SER</v>
      </c>
      <c r="O12" t="str">
        <f t="shared" si="0"/>
        <v>RECEITAS</v>
      </c>
    </row>
    <row r="13" spans="2:15" ht="30" customHeight="1" x14ac:dyDescent="0.25">
      <c r="C13" s="4">
        <v>46029</v>
      </c>
      <c r="D13" s="5" t="s">
        <v>40</v>
      </c>
      <c r="E13" s="5" t="s">
        <v>44</v>
      </c>
      <c r="F13" s="5" t="s">
        <v>12</v>
      </c>
      <c r="G13" s="5"/>
      <c r="H13" s="6">
        <v>7</v>
      </c>
      <c r="I13" s="4"/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46030</v>
      </c>
      <c r="D14" s="5" t="s">
        <v>42</v>
      </c>
      <c r="E14" s="5" t="s">
        <v>57</v>
      </c>
      <c r="F14" s="5" t="s">
        <v>5</v>
      </c>
      <c r="G14" s="5"/>
      <c r="H14" s="6">
        <v>8</v>
      </c>
      <c r="I14" s="4">
        <v>46030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46031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76</v>
      </c>
      <c r="E16" s="5" t="s">
        <v>44</v>
      </c>
      <c r="F16" s="5" t="s">
        <v>6</v>
      </c>
      <c r="G16" s="5" t="s">
        <v>111</v>
      </c>
      <c r="H16" s="6">
        <v>10</v>
      </c>
      <c r="I16" s="4">
        <v>46032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46033</v>
      </c>
      <c r="D17" s="5" t="s">
        <v>42</v>
      </c>
      <c r="E17" s="5" t="s">
        <v>51</v>
      </c>
      <c r="F17" s="5" t="s">
        <v>7</v>
      </c>
      <c r="G17" s="5" t="s">
        <v>111</v>
      </c>
      <c r="H17" s="6">
        <v>1000</v>
      </c>
      <c r="I17" s="4">
        <v>46033</v>
      </c>
      <c r="J17" t="str">
        <f>VLOOKUP(D17,'plano de contas'!$O$8:$P$13,2,0)</f>
        <v>DESP_RH</v>
      </c>
      <c r="O17" t="str">
        <f t="shared" si="0"/>
        <v>DESPESAS</v>
      </c>
    </row>
    <row r="18" spans="3:15" ht="30" customHeight="1" x14ac:dyDescent="0.25">
      <c r="C18" s="4">
        <v>46034</v>
      </c>
      <c r="D18" s="5" t="s">
        <v>76</v>
      </c>
      <c r="E18" s="5" t="s">
        <v>44</v>
      </c>
      <c r="F18" s="5" t="s">
        <v>13</v>
      </c>
      <c r="G18" s="5" t="s">
        <v>111</v>
      </c>
      <c r="H18" s="6">
        <v>12</v>
      </c>
      <c r="I18" s="4">
        <v>46034</v>
      </c>
      <c r="J18" t="str">
        <f>VLOOKUP(D18,'plano de contas'!$O$8:$P$13,2,0)</f>
        <v>DESP_MKT</v>
      </c>
      <c r="O18" t="str">
        <f t="shared" si="0"/>
        <v>DESPESAS</v>
      </c>
    </row>
    <row r="19" spans="3:15" ht="30" customHeight="1" x14ac:dyDescent="0.25">
      <c r="C19" s="4">
        <v>46035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46035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46036</v>
      </c>
      <c r="D20" s="5" t="s">
        <v>40</v>
      </c>
      <c r="E20" s="5" t="s">
        <v>44</v>
      </c>
      <c r="F20" s="5" t="s">
        <v>10</v>
      </c>
      <c r="G20" s="5" t="s">
        <v>116</v>
      </c>
      <c r="H20" s="6">
        <v>14</v>
      </c>
      <c r="I20" s="4">
        <v>46036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46037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46037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46038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46038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46039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46039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46040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46040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46041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46041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46042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46042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46043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46043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46044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46044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46045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46045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46046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46046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46047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46047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46048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46048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46049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46049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46050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46050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46051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46051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46052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46052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46053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46053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46023</v>
      </c>
      <c r="D38" s="5" t="s">
        <v>40</v>
      </c>
      <c r="E38" s="5" t="s">
        <v>44</v>
      </c>
      <c r="F38" s="5" t="s">
        <v>18</v>
      </c>
      <c r="G38" s="5"/>
      <c r="H38" s="6">
        <v>32</v>
      </c>
      <c r="I38" s="4">
        <v>46054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46024</v>
      </c>
      <c r="D39" s="5" t="s">
        <v>40</v>
      </c>
      <c r="E39" s="5" t="s">
        <v>49</v>
      </c>
      <c r="F39" s="5" t="s">
        <v>18</v>
      </c>
      <c r="G39" s="5"/>
      <c r="H39" s="6">
        <v>33</v>
      </c>
      <c r="I39" s="4">
        <v>46055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46025</v>
      </c>
      <c r="D40" s="5" t="s">
        <v>40</v>
      </c>
      <c r="E40" s="5" t="s">
        <v>44</v>
      </c>
      <c r="F40" s="5" t="s">
        <v>18</v>
      </c>
      <c r="G40" s="5"/>
      <c r="H40" s="6">
        <v>34</v>
      </c>
      <c r="I40" s="4">
        <v>46056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46026</v>
      </c>
      <c r="D41" s="5" t="s">
        <v>40</v>
      </c>
      <c r="E41" s="5" t="s">
        <v>44</v>
      </c>
      <c r="F41" s="5" t="s">
        <v>18</v>
      </c>
      <c r="G41" s="5"/>
      <c r="H41" s="6">
        <v>35</v>
      </c>
      <c r="I41" s="4">
        <v>46057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46027</v>
      </c>
      <c r="D42" s="5" t="s">
        <v>40</v>
      </c>
      <c r="E42" s="5" t="s">
        <v>44</v>
      </c>
      <c r="F42" s="5" t="s">
        <v>18</v>
      </c>
      <c r="G42" s="5"/>
      <c r="H42" s="6">
        <v>36</v>
      </c>
      <c r="I42" s="4">
        <v>46058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46028</v>
      </c>
      <c r="D43" s="5" t="s">
        <v>40</v>
      </c>
      <c r="E43" s="5" t="s">
        <v>44</v>
      </c>
      <c r="F43" s="5" t="s">
        <v>18</v>
      </c>
      <c r="G43" s="5"/>
      <c r="H43" s="6">
        <v>37</v>
      </c>
      <c r="I43" s="4">
        <v>46059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46029</v>
      </c>
      <c r="D44" s="5" t="s">
        <v>40</v>
      </c>
      <c r="E44" s="5" t="s">
        <v>44</v>
      </c>
      <c r="F44" s="5" t="s">
        <v>18</v>
      </c>
      <c r="G44" s="5"/>
      <c r="H44" s="6">
        <v>38</v>
      </c>
      <c r="I44" s="4">
        <v>46060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46030</v>
      </c>
      <c r="D45" s="5" t="s">
        <v>40</v>
      </c>
      <c r="E45" s="5" t="s">
        <v>44</v>
      </c>
      <c r="F45" s="5" t="s">
        <v>18</v>
      </c>
      <c r="G45" s="5"/>
      <c r="H45" s="6">
        <v>39</v>
      </c>
      <c r="I45" s="4">
        <v>46061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46031</v>
      </c>
      <c r="D46" s="5" t="s">
        <v>40</v>
      </c>
      <c r="E46" s="5" t="s">
        <v>44</v>
      </c>
      <c r="F46" s="5" t="s">
        <v>18</v>
      </c>
      <c r="G46" s="5"/>
      <c r="H46" s="6">
        <v>40</v>
      </c>
      <c r="I46" s="4">
        <v>46062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46032</v>
      </c>
      <c r="D47" s="5" t="s">
        <v>40</v>
      </c>
      <c r="E47" s="5" t="s">
        <v>44</v>
      </c>
      <c r="F47" s="5" t="s">
        <v>18</v>
      </c>
      <c r="G47" s="5"/>
      <c r="H47" s="6">
        <v>41</v>
      </c>
      <c r="I47" s="4">
        <v>46063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46033</v>
      </c>
      <c r="D48" s="5" t="s">
        <v>40</v>
      </c>
      <c r="E48" s="5" t="s">
        <v>44</v>
      </c>
      <c r="F48" s="5" t="s">
        <v>18</v>
      </c>
      <c r="G48" s="5"/>
      <c r="H48" s="6">
        <v>42</v>
      </c>
      <c r="I48" s="4">
        <v>46064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46034</v>
      </c>
      <c r="D49" s="5" t="s">
        <v>40</v>
      </c>
      <c r="E49" s="5" t="s">
        <v>44</v>
      </c>
      <c r="F49" s="5" t="s">
        <v>18</v>
      </c>
      <c r="G49" s="5"/>
      <c r="H49" s="6">
        <v>43</v>
      </c>
      <c r="I49" s="4">
        <v>46065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46035</v>
      </c>
      <c r="D50" s="5" t="s">
        <v>40</v>
      </c>
      <c r="E50" s="5" t="s">
        <v>44</v>
      </c>
      <c r="F50" s="5" t="s">
        <v>18</v>
      </c>
      <c r="G50" s="5"/>
      <c r="H50" s="6">
        <v>44</v>
      </c>
      <c r="I50" s="4">
        <v>46066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46036</v>
      </c>
      <c r="D51" s="5" t="s">
        <v>40</v>
      </c>
      <c r="E51" s="5" t="s">
        <v>44</v>
      </c>
      <c r="F51" s="5" t="s">
        <v>18</v>
      </c>
      <c r="G51" s="5"/>
      <c r="H51" s="6">
        <v>45</v>
      </c>
      <c r="I51" s="4">
        <v>46067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46037</v>
      </c>
      <c r="D52" s="5" t="s">
        <v>40</v>
      </c>
      <c r="E52" s="5" t="s">
        <v>44</v>
      </c>
      <c r="F52" s="5" t="s">
        <v>18</v>
      </c>
      <c r="G52" s="5"/>
      <c r="H52" s="6">
        <v>46</v>
      </c>
      <c r="I52" s="4">
        <v>46068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46038</v>
      </c>
      <c r="D53" s="5" t="s">
        <v>40</v>
      </c>
      <c r="E53" s="5" t="s">
        <v>44</v>
      </c>
      <c r="F53" s="5" t="s">
        <v>18</v>
      </c>
      <c r="G53" s="5"/>
      <c r="H53" s="6">
        <v>47</v>
      </c>
      <c r="I53" s="4">
        <v>46069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46039</v>
      </c>
      <c r="D54" s="5" t="s">
        <v>40</v>
      </c>
      <c r="E54" s="5" t="s">
        <v>44</v>
      </c>
      <c r="F54" s="5" t="s">
        <v>18</v>
      </c>
      <c r="G54" s="5"/>
      <c r="H54" s="6">
        <v>48</v>
      </c>
      <c r="I54" s="4">
        <v>46070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46040</v>
      </c>
      <c r="D55" s="5" t="s">
        <v>40</v>
      </c>
      <c r="E55" s="5" t="s">
        <v>44</v>
      </c>
      <c r="F55" s="5" t="s">
        <v>18</v>
      </c>
      <c r="G55" s="5"/>
      <c r="H55" s="6">
        <v>49</v>
      </c>
      <c r="I55" s="4">
        <v>46071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46041</v>
      </c>
      <c r="D56" s="5" t="s">
        <v>40</v>
      </c>
      <c r="E56" s="5" t="s">
        <v>44</v>
      </c>
      <c r="F56" s="5" t="s">
        <v>18</v>
      </c>
      <c r="G56" s="5"/>
      <c r="H56" s="6">
        <v>50</v>
      </c>
      <c r="I56" s="4">
        <v>46072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46042</v>
      </c>
      <c r="D57" s="5" t="s">
        <v>40</v>
      </c>
      <c r="E57" s="5" t="s">
        <v>44</v>
      </c>
      <c r="F57" s="5" t="s">
        <v>18</v>
      </c>
      <c r="G57" s="5"/>
      <c r="H57" s="6">
        <v>51</v>
      </c>
      <c r="I57" s="4">
        <v>46073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46043</v>
      </c>
      <c r="D58" s="5" t="s">
        <v>40</v>
      </c>
      <c r="E58" s="5" t="s">
        <v>44</v>
      </c>
      <c r="F58" s="5" t="s">
        <v>18</v>
      </c>
      <c r="G58" s="5"/>
      <c r="H58" s="6">
        <v>52</v>
      </c>
      <c r="I58" s="4">
        <v>46074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46044</v>
      </c>
      <c r="D59" s="5" t="s">
        <v>40</v>
      </c>
      <c r="E59" s="5" t="s">
        <v>44</v>
      </c>
      <c r="F59" s="5" t="s">
        <v>18</v>
      </c>
      <c r="G59" s="5"/>
      <c r="H59" s="6">
        <v>53</v>
      </c>
      <c r="I59" s="4">
        <v>46075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46045</v>
      </c>
      <c r="D60" s="5" t="s">
        <v>40</v>
      </c>
      <c r="E60" s="5" t="s">
        <v>44</v>
      </c>
      <c r="F60" s="5" t="s">
        <v>18</v>
      </c>
      <c r="G60" s="5"/>
      <c r="H60" s="6">
        <v>54</v>
      </c>
      <c r="I60" s="4">
        <v>46076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46046</v>
      </c>
      <c r="D61" s="5" t="s">
        <v>40</v>
      </c>
      <c r="E61" s="5" t="s">
        <v>44</v>
      </c>
      <c r="F61" s="5" t="s">
        <v>18</v>
      </c>
      <c r="G61" s="5"/>
      <c r="H61" s="6">
        <v>55</v>
      </c>
      <c r="I61" s="4">
        <v>46077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46047</v>
      </c>
      <c r="D62" s="5" t="s">
        <v>40</v>
      </c>
      <c r="E62" s="5" t="s">
        <v>44</v>
      </c>
      <c r="F62" s="5" t="s">
        <v>18</v>
      </c>
      <c r="G62" s="5"/>
      <c r="H62" s="6">
        <v>56</v>
      </c>
      <c r="I62" s="4">
        <v>46078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46048</v>
      </c>
      <c r="D63" s="5" t="s">
        <v>40</v>
      </c>
      <c r="E63" s="5" t="s">
        <v>44</v>
      </c>
      <c r="F63" s="5" t="s">
        <v>18</v>
      </c>
      <c r="G63" s="5"/>
      <c r="H63" s="6">
        <v>57</v>
      </c>
      <c r="I63" s="4">
        <v>46079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46049</v>
      </c>
      <c r="D64" s="5" t="s">
        <v>40</v>
      </c>
      <c r="E64" s="5" t="s">
        <v>44</v>
      </c>
      <c r="F64" s="5" t="s">
        <v>18</v>
      </c>
      <c r="G64" s="5"/>
      <c r="H64" s="6">
        <v>58</v>
      </c>
      <c r="I64" s="4">
        <v>46080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46050</v>
      </c>
      <c r="D65" s="5" t="s">
        <v>40</v>
      </c>
      <c r="E65" s="5" t="s">
        <v>44</v>
      </c>
      <c r="F65" s="5" t="s">
        <v>18</v>
      </c>
      <c r="G65" s="5"/>
      <c r="H65" s="6">
        <v>59</v>
      </c>
      <c r="I65" s="4">
        <v>46081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46051</v>
      </c>
      <c r="D66" s="5" t="s">
        <v>40</v>
      </c>
      <c r="E66" s="5" t="s">
        <v>44</v>
      </c>
      <c r="F66" s="5" t="s">
        <v>18</v>
      </c>
      <c r="G66" s="5"/>
      <c r="H66" s="6">
        <v>60</v>
      </c>
      <c r="I66" s="4">
        <v>46082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46052</v>
      </c>
      <c r="D67" s="5" t="s">
        <v>40</v>
      </c>
      <c r="E67" s="5" t="s">
        <v>44</v>
      </c>
      <c r="F67" s="5" t="s">
        <v>18</v>
      </c>
      <c r="G67" s="5"/>
      <c r="H67" s="6">
        <v>61</v>
      </c>
      <c r="I67" s="4">
        <v>46083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46023</v>
      </c>
      <c r="D68" s="5" t="s">
        <v>40</v>
      </c>
      <c r="E68" s="5" t="s">
        <v>44</v>
      </c>
      <c r="F68" s="5" t="s">
        <v>18</v>
      </c>
      <c r="G68" s="5"/>
      <c r="H68" s="6">
        <v>62</v>
      </c>
      <c r="I68" s="4">
        <v>46084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46024</v>
      </c>
      <c r="D69" s="5" t="s">
        <v>40</v>
      </c>
      <c r="E69" s="5" t="s">
        <v>44</v>
      </c>
      <c r="F69" s="5" t="s">
        <v>18</v>
      </c>
      <c r="G69" s="5"/>
      <c r="H69" s="6">
        <v>63</v>
      </c>
      <c r="I69" s="4">
        <v>46023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46025</v>
      </c>
      <c r="D70" s="5" t="s">
        <v>40</v>
      </c>
      <c r="E70" s="5" t="s">
        <v>44</v>
      </c>
      <c r="F70" s="5" t="s">
        <v>18</v>
      </c>
      <c r="G70" s="5"/>
      <c r="H70" s="6">
        <v>64</v>
      </c>
      <c r="I70" s="4">
        <v>46024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46026</v>
      </c>
      <c r="D71" s="5" t="s">
        <v>40</v>
      </c>
      <c r="E71" s="5" t="s">
        <v>44</v>
      </c>
      <c r="F71" s="5" t="s">
        <v>18</v>
      </c>
      <c r="G71" s="5"/>
      <c r="H71" s="6">
        <v>65</v>
      </c>
      <c r="I71" s="4">
        <v>46025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46027</v>
      </c>
      <c r="D72" s="5" t="s">
        <v>40</v>
      </c>
      <c r="E72" s="5" t="s">
        <v>44</v>
      </c>
      <c r="F72" s="5" t="s">
        <v>18</v>
      </c>
      <c r="G72" s="5"/>
      <c r="H72" s="6">
        <v>66</v>
      </c>
      <c r="I72" s="4">
        <v>46026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46028</v>
      </c>
      <c r="D73" s="5" t="s">
        <v>40</v>
      </c>
      <c r="E73" s="5" t="s">
        <v>44</v>
      </c>
      <c r="F73" s="5" t="s">
        <v>18</v>
      </c>
      <c r="G73" s="5"/>
      <c r="H73" s="6">
        <v>67</v>
      </c>
      <c r="I73" s="4">
        <v>46027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46029</v>
      </c>
      <c r="D74" s="5" t="s">
        <v>40</v>
      </c>
      <c r="E74" s="5" t="s">
        <v>44</v>
      </c>
      <c r="F74" s="5" t="s">
        <v>18</v>
      </c>
      <c r="G74" s="5"/>
      <c r="H74" s="6">
        <v>68</v>
      </c>
      <c r="I74" s="4">
        <v>46028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46030</v>
      </c>
      <c r="D75" s="5" t="s">
        <v>40</v>
      </c>
      <c r="E75" s="5" t="s">
        <v>44</v>
      </c>
      <c r="F75" s="5" t="s">
        <v>18</v>
      </c>
      <c r="G75" s="5"/>
      <c r="H75" s="6">
        <v>69</v>
      </c>
      <c r="I75" s="4">
        <v>46029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46031</v>
      </c>
      <c r="D76" s="5" t="s">
        <v>40</v>
      </c>
      <c r="E76" s="5" t="s">
        <v>44</v>
      </c>
      <c r="F76" s="5" t="s">
        <v>18</v>
      </c>
      <c r="G76" s="5"/>
      <c r="H76" s="6">
        <v>70</v>
      </c>
      <c r="I76" s="4">
        <v>46030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46032</v>
      </c>
      <c r="D77" s="5" t="s">
        <v>40</v>
      </c>
      <c r="E77" s="5" t="s">
        <v>44</v>
      </c>
      <c r="F77" s="5" t="s">
        <v>18</v>
      </c>
      <c r="G77" s="5"/>
      <c r="H77" s="6">
        <v>71</v>
      </c>
      <c r="I77" s="4">
        <v>46031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46033</v>
      </c>
      <c r="D78" s="5" t="s">
        <v>40</v>
      </c>
      <c r="E78" s="5" t="s">
        <v>44</v>
      </c>
      <c r="F78" s="5" t="s">
        <v>18</v>
      </c>
      <c r="G78" s="5"/>
      <c r="H78" s="6">
        <v>72</v>
      </c>
      <c r="I78" s="4">
        <v>46032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46034</v>
      </c>
      <c r="D79" s="5" t="s">
        <v>40</v>
      </c>
      <c r="E79" s="5" t="s">
        <v>44</v>
      </c>
      <c r="F79" s="5" t="s">
        <v>18</v>
      </c>
      <c r="G79" s="5"/>
      <c r="H79" s="6">
        <v>73</v>
      </c>
      <c r="I79" s="4">
        <v>46033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46035</v>
      </c>
      <c r="D80" s="5" t="s">
        <v>40</v>
      </c>
      <c r="E80" s="5" t="s">
        <v>44</v>
      </c>
      <c r="F80" s="5" t="s">
        <v>18</v>
      </c>
      <c r="G80" s="5" t="s">
        <v>113</v>
      </c>
      <c r="H80" s="6">
        <v>74</v>
      </c>
      <c r="I80" s="4">
        <v>46034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46036</v>
      </c>
      <c r="D81" s="5" t="s">
        <v>76</v>
      </c>
      <c r="E81" s="5" t="s">
        <v>52</v>
      </c>
      <c r="F81" s="5" t="s">
        <v>18</v>
      </c>
      <c r="G81" s="5"/>
      <c r="H81" s="6">
        <v>75</v>
      </c>
      <c r="I81" s="4">
        <v>46035</v>
      </c>
      <c r="J81" t="str">
        <f>VLOOKUP(D81,'plano de contas'!$O$8:$P$13,2,0)</f>
        <v>DESP_MKT</v>
      </c>
      <c r="O81" t="str">
        <f t="shared" si="1"/>
        <v>DESPESAS</v>
      </c>
    </row>
    <row r="82" spans="3:15" x14ac:dyDescent="0.25">
      <c r="C82" s="4">
        <v>46037</v>
      </c>
      <c r="D82" s="5" t="s">
        <v>40</v>
      </c>
      <c r="E82" s="5" t="s">
        <v>44</v>
      </c>
      <c r="F82" s="5" t="s">
        <v>18</v>
      </c>
      <c r="G82" s="5"/>
      <c r="H82" s="6">
        <v>76</v>
      </c>
      <c r="I82" s="4">
        <v>46036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46038</v>
      </c>
      <c r="D83" s="5" t="s">
        <v>40</v>
      </c>
      <c r="E83" s="5" t="s">
        <v>44</v>
      </c>
      <c r="F83" s="5" t="s">
        <v>18</v>
      </c>
      <c r="G83" s="5"/>
      <c r="H83" s="6">
        <v>77</v>
      </c>
      <c r="I83" s="4">
        <v>46037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46039</v>
      </c>
      <c r="D84" s="5" t="s">
        <v>40</v>
      </c>
      <c r="E84" s="5" t="s">
        <v>44</v>
      </c>
      <c r="F84" s="5" t="s">
        <v>18</v>
      </c>
      <c r="G84" s="5" t="s">
        <v>114</v>
      </c>
      <c r="H84" s="6">
        <v>78</v>
      </c>
      <c r="I84" s="4">
        <v>46038</v>
      </c>
      <c r="J84" t="str">
        <f>VLOOKUP(D84,'plano de contas'!$O$8:$P$13,2,0)</f>
        <v>REC_SER</v>
      </c>
      <c r="O84" t="str">
        <f t="shared" si="1"/>
        <v>RECEITAS</v>
      </c>
    </row>
  </sheetData>
  <autoFilter ref="C6:J84"/>
  <mergeCells count="2">
    <mergeCell ref="M7:N7"/>
    <mergeCell ref="C5:H5"/>
  </mergeCells>
  <conditionalFormatting sqref="F85:G1048576 D7:E84">
    <cfRule type="cellIs" dxfId="560" priority="20" operator="equal">
      <formula>"RECEITA"</formula>
    </cfRule>
    <cfRule type="cellIs" dxfId="559" priority="21" operator="equal">
      <formula>"DESPESA"</formula>
    </cfRule>
    <cfRule type="cellIs" dxfId="558" priority="22" operator="equal">
      <formula>"RECEITA"</formula>
    </cfRule>
    <cfRule type="cellIs" dxfId="557" priority="23" operator="equal">
      <formula>"DESPESA"</formula>
    </cfRule>
  </conditionalFormatting>
  <conditionalFormatting sqref="M8">
    <cfRule type="cellIs" dxfId="556" priority="12" operator="equal">
      <formula>"RECEITA"</formula>
    </cfRule>
    <cfRule type="cellIs" dxfId="555" priority="13" operator="equal">
      <formula>"DESPESA"</formula>
    </cfRule>
    <cfRule type="cellIs" dxfId="554" priority="14" operator="equal">
      <formula>"RECEITA"</formula>
    </cfRule>
    <cfRule type="cellIs" dxfId="553" priority="15" operator="equal">
      <formula>"DESPESA"</formula>
    </cfRule>
    <cfRule type="cellIs" dxfId="552" priority="16" operator="equal">
      <formula>"RECEITA"</formula>
    </cfRule>
    <cfRule type="cellIs" dxfId="551" priority="17" operator="equal">
      <formula>"DESPESA"</formula>
    </cfRule>
  </conditionalFormatting>
  <conditionalFormatting sqref="M9">
    <cfRule type="cellIs" dxfId="550" priority="6" operator="equal">
      <formula>"RECEITA"</formula>
    </cfRule>
    <cfRule type="cellIs" dxfId="549" priority="7" operator="equal">
      <formula>"DESPESA"</formula>
    </cfRule>
    <cfRule type="cellIs" dxfId="548" priority="8" operator="equal">
      <formula>"RECEITA"</formula>
    </cfRule>
    <cfRule type="cellIs" dxfId="547" priority="9" operator="equal">
      <formula>"DESPESA"</formula>
    </cfRule>
    <cfRule type="cellIs" dxfId="546" priority="10" operator="equal">
      <formula>"RECEITA"</formula>
    </cfRule>
    <cfRule type="cellIs" dxfId="545" priority="11" operator="equal">
      <formula>"DESPESA"</formula>
    </cfRule>
  </conditionalFormatting>
  <conditionalFormatting sqref="N10">
    <cfRule type="cellIs" dxfId="544" priority="1" operator="greaterThan">
      <formula>0</formula>
    </cfRule>
    <cfRule type="cellIs" dxfId="543" priority="2" operator="greaterThan">
      <formula>0</formula>
    </cfRule>
    <cfRule type="cellIs" dxfId="542" priority="3" operator="greaterThan">
      <formula>0</formula>
    </cfRule>
    <cfRule type="cellIs" dxfId="541" priority="4" operator="lessThan">
      <formula>0</formula>
    </cfRule>
    <cfRule type="cellIs" dxfId="540" priority="5" operator="greaterThan">
      <formula>0</formula>
    </cfRule>
  </conditionalFormatting>
  <dataValidations xWindow="208" yWindow="466" count="2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  <dataValidation type="custom" allowBlank="1" showInputMessage="1" showErrorMessage="1" sqref="F7">
      <formula1>INDIRECT(E7)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5CFD4986-8886-4BF5-A80A-01A2C1FE419F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19" stopIfTrue="1" operator="containsText" id="{458C738C-7CC5-49B4-B72D-1E500D563F5A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F85:G1048576 D7:E84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208" yWindow="466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B1:O84"/>
  <sheetViews>
    <sheetView showGridLines="0" zoomScale="70" zoomScaleNormal="7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87" t="s">
        <v>19</v>
      </c>
      <c r="D5" s="87"/>
      <c r="E5" s="87"/>
      <c r="F5" s="87"/>
      <c r="G5" s="87"/>
      <c r="H5" s="8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46054</v>
      </c>
      <c r="D7" s="5" t="s">
        <v>40</v>
      </c>
      <c r="E7" s="5" t="s">
        <v>53</v>
      </c>
      <c r="F7" s="5" t="s">
        <v>5</v>
      </c>
      <c r="G7" s="5"/>
      <c r="H7" s="6">
        <v>1</v>
      </c>
      <c r="I7" s="4">
        <v>46307</v>
      </c>
      <c r="J7" t="str">
        <f>VLOOKUP(D7,'plano de contas'!$O$8:$P$13,2,0)</f>
        <v>REC_SER</v>
      </c>
      <c r="M7" s="86" t="s">
        <v>14</v>
      </c>
      <c r="N7" s="8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46055</v>
      </c>
      <c r="D8" s="5" t="s">
        <v>41</v>
      </c>
      <c r="E8" s="5" t="s">
        <v>44</v>
      </c>
      <c r="F8" s="5" t="s">
        <v>11</v>
      </c>
      <c r="G8" s="5"/>
      <c r="H8" s="6">
        <v>2</v>
      </c>
      <c r="I8" s="4">
        <v>46073</v>
      </c>
      <c r="J8" t="str">
        <f>VLOOKUP(D8,'plano de contas'!$O$8:$P$13,2,0)</f>
        <v>DESP_PROD</v>
      </c>
      <c r="M8" s="7" t="s">
        <v>3</v>
      </c>
      <c r="N8" s="8">
        <f>'FLUXO DE CAIXA (2)'!D9</f>
        <v>1301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46056</v>
      </c>
      <c r="D9" s="5" t="s">
        <v>42</v>
      </c>
      <c r="E9" s="5" t="s">
        <v>53</v>
      </c>
      <c r="F9" s="5" t="s">
        <v>6</v>
      </c>
      <c r="G9" s="5"/>
      <c r="H9" s="6">
        <v>20</v>
      </c>
      <c r="I9" s="4">
        <v>46074</v>
      </c>
      <c r="J9" t="str">
        <f>VLOOKUP(D9,'plano de contas'!$O$8:$P$13,2,0)</f>
        <v>DESP_RH</v>
      </c>
      <c r="M9" s="7" t="s">
        <v>4</v>
      </c>
      <c r="N9" s="8">
        <f>'FLUXO DE CAIXA (2)'!D10</f>
        <v>517</v>
      </c>
      <c r="O9" t="str">
        <f t="shared" si="0"/>
        <v>DESPESAS</v>
      </c>
    </row>
    <row r="10" spans="2:15" ht="30" customHeight="1" x14ac:dyDescent="0.35">
      <c r="C10" s="4">
        <v>46057</v>
      </c>
      <c r="D10" s="5" t="s">
        <v>41</v>
      </c>
      <c r="E10" s="5" t="s">
        <v>57</v>
      </c>
      <c r="F10" s="5" t="s">
        <v>7</v>
      </c>
      <c r="G10" s="5"/>
      <c r="H10" s="6">
        <v>4</v>
      </c>
      <c r="I10" s="4">
        <v>46075</v>
      </c>
      <c r="J10" t="str">
        <f>VLOOKUP(D10,'plano de contas'!$O$8:$P$13,2,0)</f>
        <v>DESP_PROD</v>
      </c>
      <c r="M10" s="9" t="s">
        <v>15</v>
      </c>
      <c r="N10" s="10">
        <f>N8-N9</f>
        <v>784</v>
      </c>
      <c r="O10" t="str">
        <f t="shared" si="0"/>
        <v>DESPESAS</v>
      </c>
    </row>
    <row r="11" spans="2:15" ht="30" customHeight="1" x14ac:dyDescent="0.25">
      <c r="C11" s="4">
        <v>46058</v>
      </c>
      <c r="D11" s="5" t="s">
        <v>41</v>
      </c>
      <c r="E11" s="5" t="s">
        <v>50</v>
      </c>
      <c r="F11" s="5" t="s">
        <v>8</v>
      </c>
      <c r="G11" s="5"/>
      <c r="H11" s="6">
        <v>5</v>
      </c>
      <c r="I11" s="4">
        <v>46076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46059</v>
      </c>
      <c r="D12" s="5" t="s">
        <v>41</v>
      </c>
      <c r="E12" s="5" t="s">
        <v>53</v>
      </c>
      <c r="F12" s="5" t="s">
        <v>9</v>
      </c>
      <c r="G12" s="5" t="s">
        <v>113</v>
      </c>
      <c r="H12" s="6">
        <v>6</v>
      </c>
      <c r="I12" s="4">
        <v>46077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46060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46078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46061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46079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46062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46080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46063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46054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46064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46055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46065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46056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46066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46057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46067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46058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46068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46059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46069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46060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46070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46061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46071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46062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46072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46063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46073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46064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46074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46065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46075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46066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46076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46067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46077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46068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46078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46069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46079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46070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46080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46071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46081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46072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D35" s="5" t="s">
        <v>41</v>
      </c>
      <c r="E35" s="5" t="s">
        <v>44</v>
      </c>
      <c r="G35" s="5"/>
      <c r="H35" s="6">
        <v>29</v>
      </c>
      <c r="I35" s="4">
        <v>46073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D36" s="5" t="s">
        <v>41</v>
      </c>
      <c r="E36" s="5" t="s">
        <v>44</v>
      </c>
      <c r="G36" s="5"/>
      <c r="H36" s="6">
        <v>30</v>
      </c>
      <c r="I36" s="4">
        <v>46074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D37" s="5" t="s">
        <v>41</v>
      </c>
      <c r="E37" s="5" t="s">
        <v>44</v>
      </c>
      <c r="G37" s="5"/>
      <c r="H37" s="6">
        <v>31</v>
      </c>
      <c r="I37" s="4">
        <v>46075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H38" s="48">
        <v>1</v>
      </c>
      <c r="I38" s="4">
        <v>46076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H39" s="48">
        <v>1</v>
      </c>
      <c r="I39" s="4">
        <v>46077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H40" s="48">
        <v>1</v>
      </c>
      <c r="I40" s="4">
        <v>46078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H41" s="48">
        <v>1</v>
      </c>
      <c r="I41" s="4">
        <v>46079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H42" s="48">
        <v>1</v>
      </c>
      <c r="I42" s="4">
        <v>46054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H43" s="48">
        <v>1</v>
      </c>
      <c r="I43" s="4">
        <v>46055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H44" s="48">
        <v>1</v>
      </c>
      <c r="I44" s="4">
        <v>46056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H45" s="48">
        <v>1</v>
      </c>
      <c r="I45" s="4">
        <v>46057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H46" s="48">
        <v>1</v>
      </c>
      <c r="I46" s="4">
        <v>46058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H47" s="48">
        <v>1</v>
      </c>
      <c r="I47" s="4">
        <v>46059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H48" s="48">
        <v>1</v>
      </c>
      <c r="I48" s="4">
        <v>46060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H49" s="48">
        <v>1</v>
      </c>
      <c r="I49" s="4">
        <v>46061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H50" s="48">
        <v>1</v>
      </c>
      <c r="I50" s="4">
        <v>46062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H51" s="48">
        <v>1</v>
      </c>
      <c r="I51" s="4">
        <v>46063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39</v>
      </c>
      <c r="E52" s="5" t="s">
        <v>44</v>
      </c>
      <c r="G52" s="5"/>
      <c r="H52" s="48">
        <v>1</v>
      </c>
      <c r="I52" s="4">
        <v>46064</v>
      </c>
      <c r="J52" t="str">
        <f>VLOOKUP(D52,'plano de contas'!$O$8:$P$13,2,0)</f>
        <v>REC_PROD</v>
      </c>
      <c r="O52" t="str">
        <f t="shared" si="0"/>
        <v>RECEITAS</v>
      </c>
    </row>
    <row r="53" spans="4:15" x14ac:dyDescent="0.25">
      <c r="D53" s="5" t="s">
        <v>39</v>
      </c>
      <c r="E53" s="5" t="s">
        <v>44</v>
      </c>
      <c r="G53" s="5"/>
      <c r="H53" s="48">
        <v>1</v>
      </c>
      <c r="I53" s="4">
        <v>46065</v>
      </c>
      <c r="J53" t="str">
        <f>VLOOKUP(D53,'plano de contas'!$O$8:$P$13,2,0)</f>
        <v>REC_PROD</v>
      </c>
      <c r="O53" t="str">
        <f t="shared" si="0"/>
        <v>RECEITAS</v>
      </c>
    </row>
    <row r="54" spans="4:15" x14ac:dyDescent="0.25">
      <c r="D54" s="5" t="s">
        <v>39</v>
      </c>
      <c r="E54" s="5" t="s">
        <v>44</v>
      </c>
      <c r="G54" s="5"/>
      <c r="H54" s="48">
        <v>1</v>
      </c>
      <c r="I54" s="4">
        <v>46066</v>
      </c>
      <c r="J54" t="str">
        <f>VLOOKUP(D54,'plano de contas'!$O$8:$P$13,2,0)</f>
        <v>REC_PROD</v>
      </c>
      <c r="O54" t="str">
        <f t="shared" si="0"/>
        <v>RECEITAS</v>
      </c>
    </row>
    <row r="55" spans="4:15" x14ac:dyDescent="0.25">
      <c r="D55" s="5" t="s">
        <v>39</v>
      </c>
      <c r="E55" s="5" t="s">
        <v>44</v>
      </c>
      <c r="G55" s="5"/>
      <c r="H55" s="48">
        <v>1</v>
      </c>
      <c r="I55" s="4">
        <v>46067</v>
      </c>
      <c r="J55" t="str">
        <f>VLOOKUP(D55,'plano de contas'!$O$8:$P$13,2,0)</f>
        <v>REC_PROD</v>
      </c>
      <c r="O55" t="str">
        <f t="shared" si="0"/>
        <v>RECEITAS</v>
      </c>
    </row>
    <row r="56" spans="4:15" x14ac:dyDescent="0.25">
      <c r="D56" s="5" t="s">
        <v>39</v>
      </c>
      <c r="E56" s="5" t="s">
        <v>44</v>
      </c>
      <c r="G56" s="5"/>
      <c r="H56" s="48">
        <v>1</v>
      </c>
      <c r="I56" s="4">
        <v>46068</v>
      </c>
      <c r="J56" t="str">
        <f>VLOOKUP(D56,'plano de contas'!$O$8:$P$13,2,0)</f>
        <v>REC_PROD</v>
      </c>
      <c r="O56" t="str">
        <f t="shared" si="0"/>
        <v>RECEITAS</v>
      </c>
    </row>
    <row r="57" spans="4:15" x14ac:dyDescent="0.25">
      <c r="D57" s="5" t="s">
        <v>39</v>
      </c>
      <c r="E57" s="5" t="s">
        <v>44</v>
      </c>
      <c r="G57" s="5"/>
      <c r="H57" s="48">
        <v>1</v>
      </c>
      <c r="I57" s="4">
        <v>46069</v>
      </c>
      <c r="J57" t="str">
        <f>VLOOKUP(D57,'plano de contas'!$O$8:$P$13,2,0)</f>
        <v>REC_PROD</v>
      </c>
      <c r="O57" t="str">
        <f t="shared" si="0"/>
        <v>RECEITAS</v>
      </c>
    </row>
    <row r="58" spans="4:15" x14ac:dyDescent="0.25">
      <c r="D58" s="5" t="s">
        <v>39</v>
      </c>
      <c r="E58" s="5" t="s">
        <v>44</v>
      </c>
      <c r="G58" s="5"/>
      <c r="H58" s="48">
        <v>1</v>
      </c>
      <c r="I58" s="4">
        <v>46070</v>
      </c>
      <c r="J58" t="str">
        <f>VLOOKUP(D58,'plano de contas'!$O$8:$P$13,2,0)</f>
        <v>REC_PROD</v>
      </c>
      <c r="O58" t="str">
        <f t="shared" si="0"/>
        <v>RECEITAS</v>
      </c>
    </row>
    <row r="59" spans="4:15" x14ac:dyDescent="0.25">
      <c r="D59" s="5" t="s">
        <v>39</v>
      </c>
      <c r="E59" s="5" t="s">
        <v>44</v>
      </c>
      <c r="G59" s="5"/>
      <c r="H59" s="48">
        <v>1</v>
      </c>
      <c r="I59" s="4">
        <v>46071</v>
      </c>
      <c r="J59" t="str">
        <f>VLOOKUP(D59,'plano de contas'!$O$8:$P$13,2,0)</f>
        <v>REC_PROD</v>
      </c>
      <c r="O59" t="str">
        <f t="shared" si="0"/>
        <v>RECEITAS</v>
      </c>
    </row>
    <row r="60" spans="4:15" x14ac:dyDescent="0.25">
      <c r="D60" s="5" t="s">
        <v>39</v>
      </c>
      <c r="E60" s="5" t="s">
        <v>44</v>
      </c>
      <c r="G60" s="5"/>
      <c r="H60" s="48">
        <v>1</v>
      </c>
      <c r="I60" s="4">
        <v>46072</v>
      </c>
      <c r="J60" t="str">
        <f>VLOOKUP(D60,'plano de contas'!$O$8:$P$13,2,0)</f>
        <v>REC_PROD</v>
      </c>
      <c r="O60" t="str">
        <f t="shared" si="0"/>
        <v>RECEITAS</v>
      </c>
    </row>
    <row r="61" spans="4:15" x14ac:dyDescent="0.25">
      <c r="D61" s="5" t="s">
        <v>39</v>
      </c>
      <c r="E61" s="5" t="s">
        <v>44</v>
      </c>
      <c r="G61" s="5"/>
      <c r="H61" s="48">
        <v>1</v>
      </c>
      <c r="I61" s="4">
        <v>46073</v>
      </c>
      <c r="J61" t="str">
        <f>VLOOKUP(D61,'plano de contas'!$O$8:$P$13,2,0)</f>
        <v>REC_PROD</v>
      </c>
      <c r="O61" t="str">
        <f t="shared" si="0"/>
        <v>RECEITAS</v>
      </c>
    </row>
    <row r="62" spans="4:15" x14ac:dyDescent="0.25">
      <c r="D62" s="5" t="s">
        <v>39</v>
      </c>
      <c r="E62" s="5" t="s">
        <v>44</v>
      </c>
      <c r="G62" s="5"/>
      <c r="H62" s="48">
        <v>1</v>
      </c>
      <c r="I62" s="4">
        <v>46074</v>
      </c>
      <c r="J62" t="str">
        <f>VLOOKUP(D62,'plano de contas'!$O$8:$P$13,2,0)</f>
        <v>REC_PROD</v>
      </c>
      <c r="O62" t="str">
        <f t="shared" si="0"/>
        <v>RECEITAS</v>
      </c>
    </row>
    <row r="63" spans="4:15" x14ac:dyDescent="0.25">
      <c r="D63" s="5" t="s">
        <v>39</v>
      </c>
      <c r="E63" s="5" t="s">
        <v>44</v>
      </c>
      <c r="G63" s="5"/>
      <c r="H63" s="48">
        <v>1</v>
      </c>
      <c r="I63" s="4">
        <v>46075</v>
      </c>
      <c r="J63" t="str">
        <f>VLOOKUP(D63,'plano de contas'!$O$8:$P$13,2,0)</f>
        <v>REC_PROD</v>
      </c>
      <c r="O63" t="str">
        <f t="shared" si="0"/>
        <v>RECEITAS</v>
      </c>
    </row>
    <row r="64" spans="4:15" x14ac:dyDescent="0.25">
      <c r="D64" s="5" t="s">
        <v>39</v>
      </c>
      <c r="E64" s="5" t="s">
        <v>44</v>
      </c>
      <c r="G64" s="5"/>
      <c r="H64" s="48">
        <v>1</v>
      </c>
      <c r="I64" s="4">
        <v>46076</v>
      </c>
      <c r="J64" t="str">
        <f>VLOOKUP(D64,'plano de contas'!$O$8:$P$13,2,0)</f>
        <v>REC_PROD</v>
      </c>
      <c r="O64" t="str">
        <f t="shared" si="0"/>
        <v>RECEITAS</v>
      </c>
    </row>
    <row r="65" spans="4:15" x14ac:dyDescent="0.25">
      <c r="D65" s="5" t="s">
        <v>39</v>
      </c>
      <c r="E65" s="5" t="s">
        <v>44</v>
      </c>
      <c r="G65" s="5"/>
      <c r="H65" s="48">
        <v>1</v>
      </c>
      <c r="I65" s="4">
        <v>46077</v>
      </c>
      <c r="J65" t="str">
        <f>VLOOKUP(D65,'plano de contas'!$O$8:$P$13,2,0)</f>
        <v>REC_PROD</v>
      </c>
      <c r="O65" t="str">
        <f t="shared" si="0"/>
        <v>RECEITAS</v>
      </c>
    </row>
    <row r="66" spans="4:15" x14ac:dyDescent="0.25">
      <c r="D66" s="5" t="s">
        <v>39</v>
      </c>
      <c r="E66" s="5" t="s">
        <v>44</v>
      </c>
      <c r="G66" s="5"/>
      <c r="H66" s="48">
        <v>1</v>
      </c>
      <c r="I66" s="4">
        <v>46078</v>
      </c>
      <c r="J66" t="str">
        <f>VLOOKUP(D66,'plano de contas'!$O$8:$P$13,2,0)</f>
        <v>REC_PROD</v>
      </c>
      <c r="O66" t="str">
        <f t="shared" si="0"/>
        <v>RECEITAS</v>
      </c>
    </row>
    <row r="67" spans="4:15" x14ac:dyDescent="0.25">
      <c r="D67" s="5" t="s">
        <v>39</v>
      </c>
      <c r="E67" s="5" t="s">
        <v>44</v>
      </c>
      <c r="G67" s="5"/>
      <c r="H67" s="48">
        <v>1</v>
      </c>
      <c r="I67" s="4">
        <v>46079</v>
      </c>
      <c r="J67" t="str">
        <f>VLOOKUP(D67,'plano de contas'!$O$8:$P$13,2,0)</f>
        <v>REC_PROD</v>
      </c>
      <c r="O67" t="str">
        <f t="shared" si="0"/>
        <v>RECEITAS</v>
      </c>
    </row>
    <row r="68" spans="4:15" x14ac:dyDescent="0.25">
      <c r="D68" s="5" t="s">
        <v>39</v>
      </c>
      <c r="E68" s="5" t="s">
        <v>44</v>
      </c>
      <c r="G68" s="5"/>
      <c r="H68" s="48">
        <v>1</v>
      </c>
      <c r="I68" s="4">
        <v>46080</v>
      </c>
      <c r="J68" t="str">
        <f>VLOOKUP(D68,'plano de contas'!$O$8:$P$13,2,0)</f>
        <v>REC_PROD</v>
      </c>
      <c r="O68" t="str">
        <f t="shared" si="0"/>
        <v>RECEITAS</v>
      </c>
    </row>
    <row r="69" spans="4:15" x14ac:dyDescent="0.25">
      <c r="D69" s="5" t="s">
        <v>39</v>
      </c>
      <c r="E69" s="5" t="s">
        <v>44</v>
      </c>
      <c r="G69" s="5"/>
      <c r="H69" s="48">
        <v>1</v>
      </c>
      <c r="I69" s="4">
        <v>46081</v>
      </c>
      <c r="J69" t="str">
        <f>VLOOKUP(D69,'plano de contas'!$O$8:$P$13,2,0)</f>
        <v>REC_PROD</v>
      </c>
      <c r="O69" t="str">
        <f t="shared" si="0"/>
        <v>RECEITAS</v>
      </c>
    </row>
    <row r="70" spans="4:15" x14ac:dyDescent="0.25">
      <c r="D70" s="5" t="s">
        <v>39</v>
      </c>
      <c r="E70" s="5" t="s">
        <v>44</v>
      </c>
      <c r="G70" s="5"/>
      <c r="H70" s="48">
        <v>1</v>
      </c>
      <c r="I70" s="4">
        <v>46082</v>
      </c>
      <c r="J70" t="str">
        <f>VLOOKUP(D70,'plano de contas'!$O$8:$P$13,2,0)</f>
        <v>REC_PROD</v>
      </c>
      <c r="O70" t="str">
        <f t="shared" si="0"/>
        <v>RECEITAS</v>
      </c>
    </row>
    <row r="71" spans="4:15" x14ac:dyDescent="0.25">
      <c r="D71" s="5" t="s">
        <v>39</v>
      </c>
      <c r="E71" s="5" t="s">
        <v>44</v>
      </c>
      <c r="G71" s="5"/>
      <c r="H71" s="48">
        <v>1</v>
      </c>
      <c r="I71" s="4">
        <v>46083</v>
      </c>
      <c r="J71" t="str">
        <f>VLOOKUP(D71,'plano de contas'!$O$8:$P$13,2,0)</f>
        <v>REC_PROD</v>
      </c>
      <c r="O71" t="str">
        <f t="shared" si="0"/>
        <v>RECEITAS</v>
      </c>
    </row>
    <row r="72" spans="4:15" x14ac:dyDescent="0.25">
      <c r="D72" s="5" t="s">
        <v>39</v>
      </c>
      <c r="E72" s="5" t="s">
        <v>44</v>
      </c>
      <c r="G72" s="5"/>
      <c r="H72" s="48">
        <v>1</v>
      </c>
      <c r="I72" s="4">
        <v>46084</v>
      </c>
      <c r="J72" t="str">
        <f>VLOOKUP(D72,'plano de contas'!$O$8:$P$13,2,0)</f>
        <v>REC_PROD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39</v>
      </c>
      <c r="E73" s="5" t="s">
        <v>44</v>
      </c>
      <c r="G73" s="5"/>
      <c r="H73" s="48">
        <v>1</v>
      </c>
      <c r="I73" s="4">
        <v>46085</v>
      </c>
      <c r="J73" t="str">
        <f>VLOOKUP(D73,'plano de contas'!$O$8:$P$13,2,0)</f>
        <v>REC_PROD</v>
      </c>
      <c r="O73" t="str">
        <f t="shared" si="1"/>
        <v>RECEITAS</v>
      </c>
    </row>
    <row r="74" spans="4:15" x14ac:dyDescent="0.25">
      <c r="D74" s="5" t="s">
        <v>39</v>
      </c>
      <c r="E74" s="5" t="s">
        <v>44</v>
      </c>
      <c r="G74" s="5"/>
      <c r="H74" s="48">
        <v>1</v>
      </c>
      <c r="I74" s="4">
        <v>46086</v>
      </c>
      <c r="J74" t="str">
        <f>VLOOKUP(D74,'plano de contas'!$O$8:$P$13,2,0)</f>
        <v>REC_PROD</v>
      </c>
      <c r="O74" t="str">
        <f t="shared" si="1"/>
        <v>RECEITAS</v>
      </c>
    </row>
    <row r="75" spans="4:15" x14ac:dyDescent="0.25">
      <c r="D75" s="5" t="s">
        <v>39</v>
      </c>
      <c r="E75" s="5" t="s">
        <v>44</v>
      </c>
      <c r="G75" s="5"/>
      <c r="H75" s="48">
        <v>1</v>
      </c>
      <c r="I75" s="4">
        <v>46087</v>
      </c>
      <c r="J75" t="str">
        <f>VLOOKUP(D75,'plano de contas'!$O$8:$P$13,2,0)</f>
        <v>REC_PROD</v>
      </c>
      <c r="O75" t="str">
        <f t="shared" si="1"/>
        <v>RECEITAS</v>
      </c>
    </row>
    <row r="76" spans="4:15" x14ac:dyDescent="0.25">
      <c r="D76" s="5" t="s">
        <v>39</v>
      </c>
      <c r="E76" s="5" t="s">
        <v>44</v>
      </c>
      <c r="G76" s="5"/>
      <c r="H76" s="48">
        <v>1</v>
      </c>
      <c r="I76" s="4">
        <v>46088</v>
      </c>
      <c r="J76" t="str">
        <f>VLOOKUP(D76,'plano de contas'!$O$8:$P$13,2,0)</f>
        <v>REC_PROD</v>
      </c>
      <c r="O76" t="str">
        <f t="shared" si="1"/>
        <v>RECEITAS</v>
      </c>
    </row>
    <row r="77" spans="4:15" x14ac:dyDescent="0.25">
      <c r="D77" s="5" t="s">
        <v>39</v>
      </c>
      <c r="E77" s="5" t="s">
        <v>44</v>
      </c>
      <c r="G77" s="5"/>
      <c r="H77" s="48">
        <v>1</v>
      </c>
      <c r="I77" s="4">
        <v>46089</v>
      </c>
      <c r="J77" t="str">
        <f>VLOOKUP(D77,'plano de contas'!$O$8:$P$13,2,0)</f>
        <v>REC_PROD</v>
      </c>
      <c r="O77" t="str">
        <f t="shared" si="1"/>
        <v>RECEITAS</v>
      </c>
    </row>
    <row r="78" spans="4:15" x14ac:dyDescent="0.25">
      <c r="D78" s="5" t="s">
        <v>39</v>
      </c>
      <c r="E78" s="5" t="s">
        <v>44</v>
      </c>
      <c r="G78" s="5"/>
      <c r="H78" s="48">
        <v>1</v>
      </c>
      <c r="I78" s="4">
        <v>46090</v>
      </c>
      <c r="J78" t="str">
        <f>VLOOKUP(D78,'plano de contas'!$O$8:$P$13,2,0)</f>
        <v>REC_PROD</v>
      </c>
      <c r="O78" t="str">
        <f t="shared" si="1"/>
        <v>RECEITAS</v>
      </c>
    </row>
    <row r="79" spans="4:15" x14ac:dyDescent="0.25">
      <c r="D79" s="5" t="s">
        <v>39</v>
      </c>
      <c r="E79" s="5" t="s">
        <v>44</v>
      </c>
      <c r="G79" s="5"/>
      <c r="H79" s="48">
        <v>1</v>
      </c>
      <c r="I79" s="4">
        <v>46091</v>
      </c>
      <c r="J79" t="str">
        <f>VLOOKUP(D79,'plano de contas'!$O$8:$P$13,2,0)</f>
        <v>REC_PROD</v>
      </c>
      <c r="O79" t="str">
        <f t="shared" si="1"/>
        <v>RECEITAS</v>
      </c>
    </row>
    <row r="80" spans="4:15" x14ac:dyDescent="0.25">
      <c r="D80" s="5" t="s">
        <v>39</v>
      </c>
      <c r="E80" s="5" t="s">
        <v>44</v>
      </c>
      <c r="G80" s="5" t="s">
        <v>113</v>
      </c>
      <c r="H80" s="48">
        <v>1</v>
      </c>
      <c r="I80" s="4">
        <v>46092</v>
      </c>
      <c r="J80" t="str">
        <f>VLOOKUP(D80,'plano de contas'!$O$8:$P$13,2,0)</f>
        <v>REC_PROD</v>
      </c>
      <c r="O80" t="str">
        <f t="shared" si="1"/>
        <v>RECEITAS</v>
      </c>
    </row>
    <row r="81" spans="4:15" x14ac:dyDescent="0.25">
      <c r="D81" s="5" t="s">
        <v>39</v>
      </c>
      <c r="E81" s="5" t="s">
        <v>44</v>
      </c>
      <c r="H81" s="48">
        <v>1</v>
      </c>
      <c r="I81" s="4">
        <v>46093</v>
      </c>
      <c r="J81" t="str">
        <f>VLOOKUP(D81,'plano de contas'!$O$8:$P$13,2,0)</f>
        <v>REC_PROD</v>
      </c>
      <c r="O81" t="str">
        <f t="shared" si="1"/>
        <v>RECEITAS</v>
      </c>
    </row>
    <row r="82" spans="4:15" x14ac:dyDescent="0.25">
      <c r="D82" s="5" t="s">
        <v>39</v>
      </c>
      <c r="E82" s="5" t="s">
        <v>44</v>
      </c>
      <c r="H82" s="48">
        <v>1</v>
      </c>
      <c r="I82" s="4">
        <v>46094</v>
      </c>
      <c r="J82" t="str">
        <f>VLOOKUP(D82,'plano de contas'!$O$8:$P$13,2,0)</f>
        <v>REC_PROD</v>
      </c>
      <c r="O82" t="str">
        <f t="shared" si="1"/>
        <v>RECEITAS</v>
      </c>
    </row>
    <row r="83" spans="4:15" x14ac:dyDescent="0.25">
      <c r="D83" s="5" t="s">
        <v>39</v>
      </c>
      <c r="E83" s="5" t="s">
        <v>44</v>
      </c>
      <c r="H83" s="48">
        <v>1</v>
      </c>
      <c r="I83" s="4">
        <v>46095</v>
      </c>
      <c r="J83" t="str">
        <f>VLOOKUP(D83,'plano de contas'!$O$8:$P$13,2,0)</f>
        <v>REC_PROD</v>
      </c>
      <c r="O83" t="str">
        <f t="shared" si="1"/>
        <v>RECEITAS</v>
      </c>
    </row>
    <row r="84" spans="4:15" x14ac:dyDescent="0.25">
      <c r="D84" s="5" t="s">
        <v>39</v>
      </c>
      <c r="E84" s="5" t="s">
        <v>44</v>
      </c>
      <c r="H84" s="48">
        <v>1</v>
      </c>
      <c r="I84" s="4">
        <v>46096</v>
      </c>
      <c r="J84" t="str">
        <f>VLOOKUP(D84,'plano de contas'!$O$8:$P$13,2,0)</f>
        <v>REC_PROD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537" priority="36" operator="equal">
      <formula>"RECEITA"</formula>
    </cfRule>
    <cfRule type="cellIs" dxfId="536" priority="37" operator="equal">
      <formula>"DESPESA"</formula>
    </cfRule>
    <cfRule type="cellIs" dxfId="535" priority="38" operator="equal">
      <formula>"RECEITA"</formula>
    </cfRule>
    <cfRule type="cellIs" dxfId="534" priority="39" operator="equal">
      <formula>"DESPESA"</formula>
    </cfRule>
    <cfRule type="cellIs" dxfId="533" priority="40" operator="equal">
      <formula>"RECEITA"</formula>
    </cfRule>
    <cfRule type="cellIs" dxfId="532" priority="41" operator="equal">
      <formula>"DESPESA"</formula>
    </cfRule>
  </conditionalFormatting>
  <conditionalFormatting sqref="M8">
    <cfRule type="cellIs" dxfId="531" priority="30" operator="equal">
      <formula>"RECEITA"</formula>
    </cfRule>
    <cfRule type="cellIs" dxfId="530" priority="31" operator="equal">
      <formula>"DESPESA"</formula>
    </cfRule>
    <cfRule type="cellIs" dxfId="529" priority="32" operator="equal">
      <formula>"RECEITA"</formula>
    </cfRule>
    <cfRule type="cellIs" dxfId="528" priority="33" operator="equal">
      <formula>"DESPESA"</formula>
    </cfRule>
    <cfRule type="cellIs" dxfId="527" priority="34" operator="equal">
      <formula>"RECEITA"</formula>
    </cfRule>
    <cfRule type="cellIs" dxfId="526" priority="35" operator="equal">
      <formula>"DESPESA"</formula>
    </cfRule>
  </conditionalFormatting>
  <conditionalFormatting sqref="M9">
    <cfRule type="cellIs" dxfId="525" priority="24" operator="equal">
      <formula>"RECEITA"</formula>
    </cfRule>
    <cfRule type="cellIs" dxfId="524" priority="25" operator="equal">
      <formula>"DESPESA"</formula>
    </cfRule>
    <cfRule type="cellIs" dxfId="523" priority="26" operator="equal">
      <formula>"RECEITA"</formula>
    </cfRule>
    <cfRule type="cellIs" dxfId="522" priority="27" operator="equal">
      <formula>"DESPESA"</formula>
    </cfRule>
    <cfRule type="cellIs" dxfId="521" priority="28" operator="equal">
      <formula>"RECEITA"</formula>
    </cfRule>
    <cfRule type="cellIs" dxfId="520" priority="29" operator="equal">
      <formula>"DESPESA"</formula>
    </cfRule>
  </conditionalFormatting>
  <conditionalFormatting sqref="N10">
    <cfRule type="cellIs" dxfId="519" priority="19" operator="greaterThan">
      <formula>0</formula>
    </cfRule>
    <cfRule type="cellIs" dxfId="518" priority="20" operator="greaterThan">
      <formula>0</formula>
    </cfRule>
    <cfRule type="cellIs" dxfId="517" priority="21" operator="greaterThan">
      <formula>0</formula>
    </cfRule>
    <cfRule type="cellIs" dxfId="516" priority="22" operator="lessThan">
      <formula>0</formula>
    </cfRule>
    <cfRule type="cellIs" dxfId="515" priority="23" operator="greaterThan">
      <formula>0</formula>
    </cfRule>
  </conditionalFormatting>
  <conditionalFormatting sqref="E7:E84">
    <cfRule type="cellIs" dxfId="514" priority="7" operator="equal">
      <formula>"RECEITA"</formula>
    </cfRule>
    <cfRule type="cellIs" dxfId="513" priority="8" operator="equal">
      <formula>"DESPESA"</formula>
    </cfRule>
    <cfRule type="cellIs" dxfId="512" priority="9" operator="equal">
      <formula>"RECEITA"</formula>
    </cfRule>
    <cfRule type="cellIs" dxfId="511" priority="10" operator="equal">
      <formula>"DESPESA"</formula>
    </cfRule>
    <cfRule type="cellIs" dxfId="510" priority="11" operator="equal">
      <formula>"RECEITA"</formula>
    </cfRule>
    <cfRule type="cellIs" dxfId="509" priority="12" operator="equal">
      <formula>"DESPESA"</formula>
    </cfRule>
  </conditionalFormatting>
  <conditionalFormatting sqref="D7:D84">
    <cfRule type="cellIs" dxfId="508" priority="3" operator="equal">
      <formula>"RECEITA"</formula>
    </cfRule>
    <cfRule type="cellIs" dxfId="507" priority="4" operator="equal">
      <formula>"DESPESA"</formula>
    </cfRule>
    <cfRule type="cellIs" dxfId="506" priority="5" operator="equal">
      <formula>"RECEITA"</formula>
    </cfRule>
    <cfRule type="cellIs" dxfId="505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F13F41C-69BC-4909-AD51-3049C0252673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5C8409A7-2714-4458-AD52-1BAB8450C730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B1:O168"/>
  <sheetViews>
    <sheetView showGridLines="0" zoomScale="90" zoomScaleNormal="90" workbookViewId="0">
      <selection activeCell="E14" sqref="E14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87" t="s">
        <v>19</v>
      </c>
      <c r="D5" s="87"/>
      <c r="E5" s="87"/>
      <c r="F5" s="87"/>
      <c r="G5" s="87"/>
      <c r="H5" s="8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46082</v>
      </c>
      <c r="D7" s="5" t="s">
        <v>40</v>
      </c>
      <c r="E7" s="5" t="s">
        <v>44</v>
      </c>
      <c r="F7" s="5" t="s">
        <v>5</v>
      </c>
      <c r="G7" s="5"/>
      <c r="H7" s="6">
        <v>0</v>
      </c>
      <c r="I7" s="4">
        <v>46082</v>
      </c>
      <c r="J7" t="str">
        <f>VLOOKUP(D7,'plano de contas'!$O$8:$P$13,2,0)</f>
        <v>REC_SER</v>
      </c>
      <c r="M7" s="86" t="s">
        <v>14</v>
      </c>
      <c r="N7" s="8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46083</v>
      </c>
      <c r="D8" s="5" t="s">
        <v>41</v>
      </c>
      <c r="E8" s="5" t="s">
        <v>50</v>
      </c>
      <c r="F8" s="5" t="s">
        <v>11</v>
      </c>
      <c r="G8" s="5"/>
      <c r="H8" s="6">
        <v>0</v>
      </c>
      <c r="I8" s="4">
        <v>46083</v>
      </c>
      <c r="J8" t="str">
        <f>VLOOKUP(D8,'plano de contas'!$O$8:$P$13,2,0)</f>
        <v>DESP_PROD</v>
      </c>
      <c r="M8" s="7" t="s">
        <v>3</v>
      </c>
      <c r="N8" s="8">
        <f>'FLUXO DE CAIXA (2)'!E9</f>
        <v>198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46084</v>
      </c>
      <c r="D9" s="5" t="s">
        <v>42</v>
      </c>
      <c r="E9" s="5" t="s">
        <v>53</v>
      </c>
      <c r="F9" s="5" t="s">
        <v>6</v>
      </c>
      <c r="G9" s="5"/>
      <c r="H9" s="6">
        <v>0</v>
      </c>
      <c r="I9" s="4">
        <v>46084</v>
      </c>
      <c r="J9" t="str">
        <f>VLOOKUP(D9,'plano de contas'!$O$8:$P$13,2,0)</f>
        <v>DESP_RH</v>
      </c>
      <c r="M9" s="7" t="s">
        <v>4</v>
      </c>
      <c r="N9" s="8">
        <f>'FLUXO DE CAIXA (2)'!E10</f>
        <v>0</v>
      </c>
      <c r="O9" t="str">
        <f t="shared" si="0"/>
        <v>DESPESAS</v>
      </c>
    </row>
    <row r="10" spans="2:15" ht="30" customHeight="1" x14ac:dyDescent="0.35">
      <c r="C10" s="4">
        <v>46085</v>
      </c>
      <c r="D10" s="5" t="s">
        <v>41</v>
      </c>
      <c r="E10" s="5" t="s">
        <v>44</v>
      </c>
      <c r="F10" s="5" t="s">
        <v>7</v>
      </c>
      <c r="G10" s="5"/>
      <c r="H10" s="6">
        <v>0</v>
      </c>
      <c r="I10" s="4">
        <v>46085</v>
      </c>
      <c r="J10" t="str">
        <f>VLOOKUP(D10,'plano de contas'!$O$8:$P$13,2,0)</f>
        <v>DESP_PROD</v>
      </c>
      <c r="M10" s="9" t="s">
        <v>15</v>
      </c>
      <c r="N10" s="10">
        <f>N8-N9</f>
        <v>198</v>
      </c>
      <c r="O10" t="str">
        <f t="shared" si="0"/>
        <v>DESPESAS</v>
      </c>
    </row>
    <row r="11" spans="2:15" ht="30" customHeight="1" x14ac:dyDescent="0.25">
      <c r="C11" s="4">
        <v>46086</v>
      </c>
      <c r="D11" s="5" t="s">
        <v>41</v>
      </c>
      <c r="E11" s="5" t="s">
        <v>44</v>
      </c>
      <c r="F11" s="5" t="s">
        <v>8</v>
      </c>
      <c r="G11" s="5"/>
      <c r="H11" s="6">
        <v>0</v>
      </c>
      <c r="I11" s="4">
        <v>46086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46087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0</v>
      </c>
      <c r="I12" s="4">
        <v>46087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46088</v>
      </c>
      <c r="D13" s="5" t="s">
        <v>41</v>
      </c>
      <c r="E13" s="5" t="s">
        <v>44</v>
      </c>
      <c r="F13" s="5" t="s">
        <v>12</v>
      </c>
      <c r="G13" s="5"/>
      <c r="H13" s="6">
        <v>0</v>
      </c>
      <c r="I13" s="4">
        <v>46088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46089</v>
      </c>
      <c r="D14" s="5" t="s">
        <v>42</v>
      </c>
      <c r="E14" s="5" t="s">
        <v>59</v>
      </c>
      <c r="F14" s="5" t="s">
        <v>5</v>
      </c>
      <c r="G14" s="5"/>
      <c r="H14" s="6">
        <v>0</v>
      </c>
      <c r="I14" s="4">
        <v>46089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46090</v>
      </c>
      <c r="D15" s="5" t="s">
        <v>40</v>
      </c>
      <c r="E15" s="5" t="s">
        <v>44</v>
      </c>
      <c r="F15" s="5" t="s">
        <v>11</v>
      </c>
      <c r="G15" s="5"/>
      <c r="H15" s="6">
        <v>0</v>
      </c>
      <c r="I15" s="4">
        <v>46090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46091</v>
      </c>
      <c r="D16" s="5" t="s">
        <v>76</v>
      </c>
      <c r="E16" s="5" t="s">
        <v>44</v>
      </c>
      <c r="F16" s="5" t="s">
        <v>6</v>
      </c>
      <c r="G16" s="5"/>
      <c r="H16" s="6">
        <v>0</v>
      </c>
      <c r="I16" s="4">
        <v>46091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46092</v>
      </c>
      <c r="D17" s="5" t="s">
        <v>43</v>
      </c>
      <c r="E17" s="5" t="s">
        <v>51</v>
      </c>
      <c r="F17" s="5" t="s">
        <v>7</v>
      </c>
      <c r="G17" s="5"/>
      <c r="H17" s="6">
        <v>0</v>
      </c>
      <c r="I17" s="4">
        <v>46092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46093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0</v>
      </c>
      <c r="I18" s="4">
        <v>46093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46094</v>
      </c>
      <c r="D19" s="5" t="s">
        <v>41</v>
      </c>
      <c r="E19" s="5" t="s">
        <v>44</v>
      </c>
      <c r="F19" s="5" t="s">
        <v>9</v>
      </c>
      <c r="G19" s="5"/>
      <c r="H19" s="6">
        <v>0</v>
      </c>
      <c r="I19" s="4">
        <v>46094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46095</v>
      </c>
      <c r="D20" s="5" t="s">
        <v>41</v>
      </c>
      <c r="E20" s="5" t="s">
        <v>44</v>
      </c>
      <c r="F20" s="5" t="s">
        <v>10</v>
      </c>
      <c r="G20" s="5"/>
      <c r="H20" s="6">
        <v>0</v>
      </c>
      <c r="I20" s="4">
        <v>46095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46096</v>
      </c>
      <c r="D21" s="5" t="s">
        <v>41</v>
      </c>
      <c r="E21" s="5" t="s">
        <v>44</v>
      </c>
      <c r="F21" s="5" t="s">
        <v>5</v>
      </c>
      <c r="G21" s="5"/>
      <c r="H21" s="6">
        <v>0</v>
      </c>
      <c r="I21" s="4">
        <v>46096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46097</v>
      </c>
      <c r="D22" s="5" t="s">
        <v>41</v>
      </c>
      <c r="E22" s="5" t="s">
        <v>44</v>
      </c>
      <c r="F22" s="5" t="s">
        <v>11</v>
      </c>
      <c r="G22" s="5"/>
      <c r="H22" s="6">
        <v>0</v>
      </c>
      <c r="I22" s="4">
        <v>46097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46098</v>
      </c>
      <c r="D23" s="5" t="s">
        <v>41</v>
      </c>
      <c r="E23" s="5" t="s">
        <v>44</v>
      </c>
      <c r="F23" s="5" t="s">
        <v>6</v>
      </c>
      <c r="G23" s="5"/>
      <c r="H23" s="6">
        <v>0</v>
      </c>
      <c r="I23" s="4">
        <v>46098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46099</v>
      </c>
      <c r="D24" s="5" t="s">
        <v>41</v>
      </c>
      <c r="E24" s="5" t="s">
        <v>44</v>
      </c>
      <c r="F24" s="5" t="s">
        <v>7</v>
      </c>
      <c r="G24" s="5"/>
      <c r="H24" s="6">
        <v>0</v>
      </c>
      <c r="I24" s="4">
        <v>46099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46100</v>
      </c>
      <c r="D25" s="5" t="s">
        <v>41</v>
      </c>
      <c r="E25" s="5" t="s">
        <v>44</v>
      </c>
      <c r="F25" s="5" t="s">
        <v>8</v>
      </c>
      <c r="G25" s="5"/>
      <c r="H25" s="6">
        <v>0</v>
      </c>
      <c r="I25" s="4">
        <v>46100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46101</v>
      </c>
      <c r="D26" s="5" t="s">
        <v>41</v>
      </c>
      <c r="E26" s="5" t="s">
        <v>44</v>
      </c>
      <c r="F26" s="5" t="s">
        <v>16</v>
      </c>
      <c r="G26" s="5"/>
      <c r="H26" s="6">
        <v>0</v>
      </c>
      <c r="I26" s="4">
        <v>46101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46102</v>
      </c>
      <c r="D27" s="5" t="s">
        <v>41</v>
      </c>
      <c r="E27" s="5" t="s">
        <v>44</v>
      </c>
      <c r="F27" s="5" t="s">
        <v>17</v>
      </c>
      <c r="G27" s="5"/>
      <c r="H27" s="6">
        <v>0</v>
      </c>
      <c r="I27" s="4">
        <v>46102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46103</v>
      </c>
      <c r="D28" s="5" t="s">
        <v>41</v>
      </c>
      <c r="E28" s="5" t="s">
        <v>44</v>
      </c>
      <c r="F28" s="5" t="s">
        <v>18</v>
      </c>
      <c r="G28" s="5"/>
      <c r="H28" s="6">
        <v>0</v>
      </c>
      <c r="I28" s="4">
        <v>46103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46104</v>
      </c>
      <c r="D29" s="5" t="s">
        <v>41</v>
      </c>
      <c r="E29" s="5" t="s">
        <v>44</v>
      </c>
      <c r="F29" s="5" t="s">
        <v>18</v>
      </c>
      <c r="G29" s="5"/>
      <c r="H29" s="6">
        <v>0</v>
      </c>
      <c r="I29" s="4">
        <v>46104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46105</v>
      </c>
      <c r="D30" s="5" t="s">
        <v>41</v>
      </c>
      <c r="E30" s="5" t="s">
        <v>44</v>
      </c>
      <c r="F30" s="5" t="s">
        <v>18</v>
      </c>
      <c r="G30" s="5"/>
      <c r="H30" s="6">
        <v>0</v>
      </c>
      <c r="I30" s="4">
        <v>46105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46106</v>
      </c>
      <c r="D31" s="5" t="s">
        <v>41</v>
      </c>
      <c r="E31" s="5" t="s">
        <v>44</v>
      </c>
      <c r="F31" s="5" t="s">
        <v>18</v>
      </c>
      <c r="G31" s="5"/>
      <c r="H31" s="6">
        <v>0</v>
      </c>
      <c r="I31" s="4">
        <v>46106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46107</v>
      </c>
      <c r="D32" s="5" t="s">
        <v>41</v>
      </c>
      <c r="E32" s="5" t="s">
        <v>44</v>
      </c>
      <c r="F32" s="5" t="s">
        <v>18</v>
      </c>
      <c r="G32" s="5"/>
      <c r="H32" s="6">
        <v>0</v>
      </c>
      <c r="I32" s="4">
        <v>46107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46108</v>
      </c>
      <c r="D33" s="5" t="s">
        <v>41</v>
      </c>
      <c r="E33" s="5" t="s">
        <v>44</v>
      </c>
      <c r="F33" s="5" t="s">
        <v>18</v>
      </c>
      <c r="G33" s="5"/>
      <c r="H33" s="6">
        <v>0</v>
      </c>
      <c r="I33" s="4">
        <v>46108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46109</v>
      </c>
      <c r="D34" s="5" t="s">
        <v>41</v>
      </c>
      <c r="E34" s="5" t="s">
        <v>44</v>
      </c>
      <c r="F34" s="5" t="s">
        <v>18</v>
      </c>
      <c r="G34" s="5"/>
      <c r="H34" s="6">
        <v>0</v>
      </c>
      <c r="I34" s="4">
        <v>46109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46110</v>
      </c>
      <c r="D35" s="5" t="s">
        <v>41</v>
      </c>
      <c r="E35" s="5" t="s">
        <v>44</v>
      </c>
      <c r="F35" s="5" t="s">
        <v>18</v>
      </c>
      <c r="G35" s="5"/>
      <c r="H35" s="6">
        <v>0</v>
      </c>
      <c r="I35" s="4">
        <v>46110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46111</v>
      </c>
      <c r="D36" s="5" t="s">
        <v>41</v>
      </c>
      <c r="E36" s="5" t="s">
        <v>44</v>
      </c>
      <c r="F36" s="5" t="s">
        <v>18</v>
      </c>
      <c r="G36" s="5"/>
      <c r="H36" s="6">
        <v>0</v>
      </c>
      <c r="I36" s="4">
        <v>46111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46112</v>
      </c>
      <c r="D37" s="5" t="s">
        <v>41</v>
      </c>
      <c r="E37" s="5" t="s">
        <v>44</v>
      </c>
      <c r="F37" s="5" t="s">
        <v>18</v>
      </c>
      <c r="G37" s="5"/>
      <c r="H37" s="6">
        <v>0</v>
      </c>
      <c r="I37" s="4">
        <v>46112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46113</v>
      </c>
      <c r="D38" s="5" t="s">
        <v>41</v>
      </c>
      <c r="E38" s="5" t="s">
        <v>44</v>
      </c>
      <c r="G38" s="5"/>
      <c r="I38" s="4">
        <v>46113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46114</v>
      </c>
      <c r="D39" s="5" t="s">
        <v>41</v>
      </c>
      <c r="E39" s="5" t="s">
        <v>44</v>
      </c>
      <c r="G39" s="5"/>
      <c r="I39" s="4">
        <v>46114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46115</v>
      </c>
      <c r="D40" s="5" t="s">
        <v>41</v>
      </c>
      <c r="E40" s="5" t="s">
        <v>44</v>
      </c>
      <c r="G40" s="5"/>
      <c r="I40" s="4">
        <v>46115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46116</v>
      </c>
      <c r="D41" s="5" t="s">
        <v>41</v>
      </c>
      <c r="E41" s="5" t="s">
        <v>44</v>
      </c>
      <c r="G41" s="5"/>
      <c r="I41" s="4">
        <v>46116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46117</v>
      </c>
      <c r="D42" s="5" t="s">
        <v>41</v>
      </c>
      <c r="E42" s="5" t="s">
        <v>44</v>
      </c>
      <c r="G42" s="5"/>
      <c r="I42" s="4">
        <v>46117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46118</v>
      </c>
      <c r="D43" s="5" t="s">
        <v>41</v>
      </c>
      <c r="E43" s="5" t="s">
        <v>44</v>
      </c>
      <c r="G43" s="5"/>
      <c r="I43" s="4">
        <v>46118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46119</v>
      </c>
      <c r="D44" s="5" t="s">
        <v>41</v>
      </c>
      <c r="E44" s="5" t="s">
        <v>44</v>
      </c>
      <c r="G44" s="5"/>
      <c r="I44" s="4">
        <v>46119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46120</v>
      </c>
      <c r="D45" s="5" t="s">
        <v>41</v>
      </c>
      <c r="E45" s="5" t="s">
        <v>44</v>
      </c>
      <c r="G45" s="5"/>
      <c r="I45" s="4">
        <v>46120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46121</v>
      </c>
      <c r="D46" s="5" t="s">
        <v>41</v>
      </c>
      <c r="E46" s="5" t="s">
        <v>44</v>
      </c>
      <c r="G46" s="5"/>
      <c r="I46" s="4">
        <v>46121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46122</v>
      </c>
      <c r="D47" s="5" t="s">
        <v>41</v>
      </c>
      <c r="E47" s="5" t="s">
        <v>44</v>
      </c>
      <c r="G47" s="5"/>
      <c r="I47" s="4">
        <v>46122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46123</v>
      </c>
      <c r="D48" s="5" t="s">
        <v>41</v>
      </c>
      <c r="E48" s="5" t="s">
        <v>44</v>
      </c>
      <c r="G48" s="5"/>
      <c r="I48" s="4">
        <v>46123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46124</v>
      </c>
      <c r="D49" s="5" t="s">
        <v>41</v>
      </c>
      <c r="E49" s="5" t="s">
        <v>44</v>
      </c>
      <c r="G49" s="5"/>
      <c r="I49" s="4">
        <v>46124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46125</v>
      </c>
      <c r="D50" s="5" t="s">
        <v>41</v>
      </c>
      <c r="E50" s="5" t="s">
        <v>44</v>
      </c>
      <c r="G50" s="5"/>
      <c r="I50" s="4">
        <v>46125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46126</v>
      </c>
      <c r="D51" s="5" t="s">
        <v>41</v>
      </c>
      <c r="E51" s="5" t="s">
        <v>44</v>
      </c>
      <c r="G51" s="5"/>
      <c r="I51" s="4">
        <v>46126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46127</v>
      </c>
      <c r="D52" s="5" t="s">
        <v>41</v>
      </c>
      <c r="E52" s="5" t="s">
        <v>44</v>
      </c>
      <c r="G52" s="5"/>
      <c r="I52" s="4">
        <v>46127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46128</v>
      </c>
      <c r="D53" s="5" t="s">
        <v>41</v>
      </c>
      <c r="E53" s="5" t="s">
        <v>44</v>
      </c>
      <c r="G53" s="5"/>
      <c r="I53" s="4">
        <v>46128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46129</v>
      </c>
      <c r="D54" s="5" t="s">
        <v>41</v>
      </c>
      <c r="E54" s="5" t="s">
        <v>44</v>
      </c>
      <c r="G54" s="5"/>
      <c r="I54" s="4">
        <v>46129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46130</v>
      </c>
      <c r="D55" s="5" t="s">
        <v>41</v>
      </c>
      <c r="E55" s="5" t="s">
        <v>44</v>
      </c>
      <c r="G55" s="5"/>
      <c r="I55" s="4">
        <v>46130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46131</v>
      </c>
      <c r="D56" s="5" t="s">
        <v>41</v>
      </c>
      <c r="E56" s="5" t="s">
        <v>44</v>
      </c>
      <c r="G56" s="5"/>
      <c r="I56" s="4">
        <v>46131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46132</v>
      </c>
      <c r="D57" s="5" t="s">
        <v>41</v>
      </c>
      <c r="E57" s="5" t="s">
        <v>44</v>
      </c>
      <c r="G57" s="5"/>
      <c r="I57" s="4">
        <v>46132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46133</v>
      </c>
      <c r="D58" s="5" t="s">
        <v>41</v>
      </c>
      <c r="E58" s="5" t="s">
        <v>44</v>
      </c>
      <c r="G58" s="5"/>
      <c r="I58" s="4">
        <v>46133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46134</v>
      </c>
      <c r="D59" s="5" t="s">
        <v>41</v>
      </c>
      <c r="E59" s="5" t="s">
        <v>44</v>
      </c>
      <c r="G59" s="5"/>
      <c r="I59" s="4">
        <v>46134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46135</v>
      </c>
      <c r="D60" s="5" t="s">
        <v>41</v>
      </c>
      <c r="E60" s="5" t="s">
        <v>44</v>
      </c>
      <c r="G60" s="5"/>
      <c r="I60" s="4">
        <v>46135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46136</v>
      </c>
      <c r="D61" s="5" t="s">
        <v>41</v>
      </c>
      <c r="E61" s="5" t="s">
        <v>44</v>
      </c>
      <c r="G61" s="5"/>
      <c r="I61" s="4">
        <v>46136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46137</v>
      </c>
      <c r="D62" s="5" t="s">
        <v>41</v>
      </c>
      <c r="E62" s="5" t="s">
        <v>44</v>
      </c>
      <c r="G62" s="5"/>
      <c r="I62" s="4">
        <v>46137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46138</v>
      </c>
      <c r="D63" s="5" t="s">
        <v>41</v>
      </c>
      <c r="E63" s="5" t="s">
        <v>44</v>
      </c>
      <c r="G63" s="5"/>
      <c r="I63" s="4">
        <v>46138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46139</v>
      </c>
      <c r="D64" s="5" t="s">
        <v>41</v>
      </c>
      <c r="E64" s="5" t="s">
        <v>44</v>
      </c>
      <c r="G64" s="5"/>
      <c r="I64" s="4">
        <v>46139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46140</v>
      </c>
      <c r="D65" s="5" t="s">
        <v>41</v>
      </c>
      <c r="E65" s="5" t="s">
        <v>44</v>
      </c>
      <c r="G65" s="5"/>
      <c r="I65" s="4">
        <v>46140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46141</v>
      </c>
      <c r="D66" s="5" t="s">
        <v>41</v>
      </c>
      <c r="E66" s="5" t="s">
        <v>44</v>
      </c>
      <c r="G66" s="5"/>
      <c r="I66" s="4">
        <v>46141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46142</v>
      </c>
      <c r="D67" s="5" t="s">
        <v>41</v>
      </c>
      <c r="E67" s="5" t="s">
        <v>44</v>
      </c>
      <c r="G67" s="5"/>
      <c r="I67" s="4">
        <v>46142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46143</v>
      </c>
      <c r="D68" s="5" t="s">
        <v>41</v>
      </c>
      <c r="E68" s="5" t="s">
        <v>44</v>
      </c>
      <c r="G68" s="5"/>
      <c r="I68" s="4">
        <v>46143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46144</v>
      </c>
      <c r="D69" s="5" t="s">
        <v>41</v>
      </c>
      <c r="E69" s="5" t="s">
        <v>44</v>
      </c>
      <c r="G69" s="5"/>
      <c r="I69" s="4">
        <v>46144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46145</v>
      </c>
      <c r="D70" s="5" t="s">
        <v>41</v>
      </c>
      <c r="E70" s="5" t="s">
        <v>44</v>
      </c>
      <c r="G70" s="5"/>
      <c r="I70" s="4">
        <v>46145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46146</v>
      </c>
      <c r="D71" s="5" t="s">
        <v>41</v>
      </c>
      <c r="E71" s="5" t="s">
        <v>44</v>
      </c>
      <c r="G71" s="5"/>
      <c r="I71" s="4">
        <v>46146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46147</v>
      </c>
      <c r="D72" s="5" t="s">
        <v>41</v>
      </c>
      <c r="E72" s="5" t="s">
        <v>44</v>
      </c>
      <c r="G72" s="5"/>
      <c r="I72" s="4">
        <v>46147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46148</v>
      </c>
      <c r="D73" s="5" t="s">
        <v>41</v>
      </c>
      <c r="E73" s="5" t="s">
        <v>44</v>
      </c>
      <c r="G73" s="5"/>
      <c r="I73" s="4">
        <v>46148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46149</v>
      </c>
      <c r="D74" s="5" t="s">
        <v>41</v>
      </c>
      <c r="E74" s="5" t="s">
        <v>44</v>
      </c>
      <c r="G74" s="5"/>
      <c r="I74" s="4">
        <v>46149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46150</v>
      </c>
      <c r="D75" s="5" t="s">
        <v>41</v>
      </c>
      <c r="E75" s="5" t="s">
        <v>44</v>
      </c>
      <c r="G75" s="5"/>
      <c r="I75" s="4">
        <v>46150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46151</v>
      </c>
      <c r="D76" s="5" t="s">
        <v>41</v>
      </c>
      <c r="E76" s="5" t="s">
        <v>44</v>
      </c>
      <c r="G76" s="5"/>
      <c r="I76" s="4">
        <v>46151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46152</v>
      </c>
      <c r="D77" s="5" t="s">
        <v>41</v>
      </c>
      <c r="E77" s="5" t="s">
        <v>44</v>
      </c>
      <c r="G77" s="5"/>
      <c r="I77" s="4">
        <v>46152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46153</v>
      </c>
      <c r="D78" s="5" t="s">
        <v>41</v>
      </c>
      <c r="E78" s="5" t="s">
        <v>44</v>
      </c>
      <c r="G78" s="5"/>
      <c r="I78" s="4">
        <v>46153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46154</v>
      </c>
      <c r="D79" s="5" t="s">
        <v>41</v>
      </c>
      <c r="E79" s="5" t="s">
        <v>44</v>
      </c>
      <c r="G79" s="5"/>
      <c r="I79" s="4">
        <v>46154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46155</v>
      </c>
      <c r="D80" s="5" t="s">
        <v>41</v>
      </c>
      <c r="E80" s="5" t="s">
        <v>44</v>
      </c>
      <c r="G80" s="5" t="s">
        <v>113</v>
      </c>
      <c r="I80" s="4">
        <v>46155</v>
      </c>
      <c r="J80" t="str">
        <f>VLOOKUP(D80,'plano de contas'!$O$8:$P$13,2,0)</f>
        <v>DESP_PROD</v>
      </c>
      <c r="O80" t="str">
        <f t="shared" si="1"/>
        <v>DESPESAS</v>
      </c>
    </row>
    <row r="81" spans="2:15" x14ac:dyDescent="0.25">
      <c r="C81" s="4">
        <v>46156</v>
      </c>
      <c r="D81" s="5" t="s">
        <v>41</v>
      </c>
      <c r="E81" s="5" t="s">
        <v>44</v>
      </c>
      <c r="I81" s="4">
        <v>46156</v>
      </c>
      <c r="J81" t="str">
        <f>VLOOKUP(D81,'plano de contas'!$O$8:$P$13,2,0)</f>
        <v>DESP_PROD</v>
      </c>
      <c r="O81" t="str">
        <f t="shared" si="1"/>
        <v>DESPESAS</v>
      </c>
    </row>
    <row r="82" spans="2:15" x14ac:dyDescent="0.25">
      <c r="C82" s="4">
        <v>46157</v>
      </c>
      <c r="D82" s="5" t="s">
        <v>41</v>
      </c>
      <c r="E82" s="5" t="s">
        <v>44</v>
      </c>
      <c r="I82" s="4">
        <v>46157</v>
      </c>
      <c r="J82" t="str">
        <f>VLOOKUP(D82,'plano de contas'!$O$8:$P$13,2,0)</f>
        <v>DESP_PROD</v>
      </c>
      <c r="O82" t="str">
        <f t="shared" si="1"/>
        <v>DESPESAS</v>
      </c>
    </row>
    <row r="83" spans="2:15" x14ac:dyDescent="0.25">
      <c r="C83" s="4">
        <v>46158</v>
      </c>
      <c r="D83" s="5" t="s">
        <v>41</v>
      </c>
      <c r="E83" s="5" t="s">
        <v>44</v>
      </c>
      <c r="I83" s="4">
        <v>46158</v>
      </c>
      <c r="J83" t="str">
        <f>VLOOKUP(D83,'plano de contas'!$O$8:$P$13,2,0)</f>
        <v>DESP_PROD</v>
      </c>
      <c r="O83" t="str">
        <f t="shared" si="1"/>
        <v>DESPESAS</v>
      </c>
    </row>
    <row r="84" spans="2:15" x14ac:dyDescent="0.25">
      <c r="C84" s="4">
        <v>46159</v>
      </c>
      <c r="D84" s="5" t="s">
        <v>41</v>
      </c>
      <c r="E84" s="5" t="s">
        <v>44</v>
      </c>
      <c r="I84" s="4">
        <v>46159</v>
      </c>
      <c r="J84" t="str">
        <f>VLOOKUP(D84,'plano de contas'!$O$8:$P$13,2,0)</f>
        <v>DESP_PROD</v>
      </c>
      <c r="O84" t="str">
        <f t="shared" si="1"/>
        <v>DESPESAS</v>
      </c>
    </row>
    <row r="85" spans="2:15" x14ac:dyDescent="0.25">
      <c r="B85" t="s">
        <v>89</v>
      </c>
      <c r="C85" s="36">
        <f>FEVEREIRO!C7</f>
        <v>46054</v>
      </c>
      <c r="I85" s="4">
        <v>46160</v>
      </c>
    </row>
    <row r="86" spans="2:15" x14ac:dyDescent="0.25">
      <c r="C86" s="36">
        <f>FEVEREIRO!C8</f>
        <v>46055</v>
      </c>
      <c r="I86" s="4">
        <v>46161</v>
      </c>
    </row>
    <row r="87" spans="2:15" x14ac:dyDescent="0.25">
      <c r="C87" s="36">
        <f>FEVEREIRO!C9</f>
        <v>46056</v>
      </c>
      <c r="I87" s="4">
        <v>46162</v>
      </c>
    </row>
    <row r="88" spans="2:15" x14ac:dyDescent="0.25">
      <c r="C88" s="36">
        <f>FEVEREIRO!C10</f>
        <v>46057</v>
      </c>
      <c r="I88" s="4">
        <v>46163</v>
      </c>
    </row>
    <row r="89" spans="2:15" x14ac:dyDescent="0.25">
      <c r="C89" s="36">
        <f>FEVEREIRO!C11</f>
        <v>46058</v>
      </c>
      <c r="I89" s="4">
        <v>46164</v>
      </c>
    </row>
    <row r="90" spans="2:15" x14ac:dyDescent="0.25">
      <c r="C90" s="36">
        <f>FEVEREIRO!C12</f>
        <v>46059</v>
      </c>
      <c r="I90" s="4">
        <v>46165</v>
      </c>
    </row>
    <row r="91" spans="2:15" x14ac:dyDescent="0.25">
      <c r="C91" s="36">
        <f>FEVEREIRO!C13</f>
        <v>46060</v>
      </c>
      <c r="I91" s="4">
        <v>46166</v>
      </c>
    </row>
    <row r="92" spans="2:15" x14ac:dyDescent="0.25">
      <c r="C92" s="36">
        <f>FEVEREIRO!C14</f>
        <v>46061</v>
      </c>
      <c r="I92" s="4">
        <v>46167</v>
      </c>
    </row>
    <row r="93" spans="2:15" x14ac:dyDescent="0.25">
      <c r="C93" s="36">
        <f>FEVEREIRO!C15</f>
        <v>46062</v>
      </c>
      <c r="I93" s="4">
        <v>46168</v>
      </c>
    </row>
    <row r="94" spans="2:15" x14ac:dyDescent="0.25">
      <c r="C94" s="36">
        <f>FEVEREIRO!C16</f>
        <v>46063</v>
      </c>
      <c r="I94" s="4">
        <v>46169</v>
      </c>
    </row>
    <row r="95" spans="2:15" x14ac:dyDescent="0.25">
      <c r="C95" s="36">
        <f>FEVEREIRO!C17</f>
        <v>46064</v>
      </c>
      <c r="I95" s="4">
        <v>46170</v>
      </c>
    </row>
    <row r="96" spans="2:15" x14ac:dyDescent="0.25">
      <c r="C96" s="36">
        <f>FEVEREIRO!C18</f>
        <v>46065</v>
      </c>
      <c r="I96" s="4">
        <v>46171</v>
      </c>
    </row>
    <row r="97" spans="3:9" x14ac:dyDescent="0.25">
      <c r="C97" s="36">
        <f>FEVEREIRO!C19</f>
        <v>46066</v>
      </c>
      <c r="I97" s="4">
        <v>46172</v>
      </c>
    </row>
    <row r="98" spans="3:9" x14ac:dyDescent="0.25">
      <c r="C98" s="36">
        <f>FEVEREIRO!C20</f>
        <v>46067</v>
      </c>
      <c r="I98" s="4">
        <v>46173</v>
      </c>
    </row>
    <row r="99" spans="3:9" x14ac:dyDescent="0.25">
      <c r="C99" s="36">
        <f>FEVEREIRO!C21</f>
        <v>46068</v>
      </c>
      <c r="I99" s="4">
        <v>46174</v>
      </c>
    </row>
    <row r="100" spans="3:9" x14ac:dyDescent="0.25">
      <c r="C100" s="36">
        <f>FEVEREIRO!C22</f>
        <v>46069</v>
      </c>
      <c r="I100" s="4">
        <v>46175</v>
      </c>
    </row>
    <row r="101" spans="3:9" x14ac:dyDescent="0.25">
      <c r="C101" s="36">
        <f>FEVEREIRO!C23</f>
        <v>46070</v>
      </c>
      <c r="I101" s="4">
        <v>46176</v>
      </c>
    </row>
    <row r="102" spans="3:9" x14ac:dyDescent="0.25">
      <c r="C102" s="36">
        <f>FEVEREIRO!C24</f>
        <v>46071</v>
      </c>
      <c r="I102" s="4">
        <v>46177</v>
      </c>
    </row>
    <row r="103" spans="3:9" x14ac:dyDescent="0.25">
      <c r="C103" s="36">
        <f>FEVEREIRO!C25</f>
        <v>46072</v>
      </c>
      <c r="I103" s="4">
        <v>46178</v>
      </c>
    </row>
    <row r="104" spans="3:9" x14ac:dyDescent="0.25">
      <c r="C104" s="36">
        <f>FEVEREIRO!C26</f>
        <v>46073</v>
      </c>
      <c r="I104" s="4">
        <v>46179</v>
      </c>
    </row>
    <row r="105" spans="3:9" x14ac:dyDescent="0.25">
      <c r="C105" s="36">
        <f>FEVEREIRO!C27</f>
        <v>46074</v>
      </c>
      <c r="I105" s="4">
        <v>46180</v>
      </c>
    </row>
    <row r="106" spans="3:9" x14ac:dyDescent="0.25">
      <c r="C106" s="36">
        <f>FEVEREIRO!C28</f>
        <v>46075</v>
      </c>
      <c r="I106" s="4">
        <v>46181</v>
      </c>
    </row>
    <row r="107" spans="3:9" x14ac:dyDescent="0.25">
      <c r="C107" s="36">
        <f>FEVEREIRO!C29</f>
        <v>46076</v>
      </c>
      <c r="I107" s="4">
        <v>46182</v>
      </c>
    </row>
    <row r="108" spans="3:9" x14ac:dyDescent="0.25">
      <c r="C108" s="36">
        <f>FEVEREIRO!C30</f>
        <v>46077</v>
      </c>
      <c r="I108" s="4">
        <v>46183</v>
      </c>
    </row>
    <row r="109" spans="3:9" x14ac:dyDescent="0.25">
      <c r="C109" s="36">
        <f>FEVEREIRO!C31</f>
        <v>46078</v>
      </c>
      <c r="I109" s="4">
        <v>46184</v>
      </c>
    </row>
    <row r="110" spans="3:9" x14ac:dyDescent="0.25">
      <c r="C110" s="36">
        <f>FEVEREIRO!C32</f>
        <v>46079</v>
      </c>
      <c r="I110" s="4">
        <v>46185</v>
      </c>
    </row>
    <row r="111" spans="3:9" x14ac:dyDescent="0.25">
      <c r="C111" s="36">
        <f>FEVEREIRO!C33</f>
        <v>46080</v>
      </c>
      <c r="I111" s="4">
        <v>46186</v>
      </c>
    </row>
    <row r="112" spans="3:9" x14ac:dyDescent="0.25">
      <c r="C112" s="36">
        <f>FEVEREIRO!C34</f>
        <v>46081</v>
      </c>
      <c r="I112" s="4">
        <v>46187</v>
      </c>
    </row>
    <row r="113" spans="3:9" x14ac:dyDescent="0.25">
      <c r="C113" s="36">
        <f>FEVEREIRO!C35</f>
        <v>0</v>
      </c>
      <c r="I113" s="4">
        <v>46188</v>
      </c>
    </row>
    <row r="114" spans="3:9" x14ac:dyDescent="0.25">
      <c r="C114" s="36">
        <f>FEVEREIRO!C36</f>
        <v>0</v>
      </c>
      <c r="I114" s="4">
        <v>46189</v>
      </c>
    </row>
    <row r="115" spans="3:9" x14ac:dyDescent="0.25">
      <c r="C115" s="36">
        <f>FEVEREIRO!C37</f>
        <v>0</v>
      </c>
      <c r="I115" s="4">
        <v>46190</v>
      </c>
    </row>
    <row r="116" spans="3:9" x14ac:dyDescent="0.25">
      <c r="C116" s="36">
        <f>FEVEREIRO!C38</f>
        <v>0</v>
      </c>
      <c r="I116" s="4">
        <v>46191</v>
      </c>
    </row>
    <row r="117" spans="3:9" x14ac:dyDescent="0.25">
      <c r="C117" s="36">
        <f>FEVEREIRO!C39</f>
        <v>0</v>
      </c>
      <c r="I117" s="4">
        <v>46192</v>
      </c>
    </row>
    <row r="118" spans="3:9" x14ac:dyDescent="0.25">
      <c r="C118" s="36">
        <f>FEVEREIRO!C40</f>
        <v>0</v>
      </c>
      <c r="I118" s="4">
        <v>46193</v>
      </c>
    </row>
    <row r="119" spans="3:9" x14ac:dyDescent="0.25">
      <c r="C119" s="36">
        <f>FEVEREIRO!C41</f>
        <v>0</v>
      </c>
      <c r="I119" s="4">
        <v>46194</v>
      </c>
    </row>
    <row r="120" spans="3:9" x14ac:dyDescent="0.25">
      <c r="C120" s="36">
        <f>FEVEREIRO!C42</f>
        <v>0</v>
      </c>
      <c r="I120" s="4">
        <v>46195</v>
      </c>
    </row>
    <row r="121" spans="3:9" x14ac:dyDescent="0.25">
      <c r="C121" s="36">
        <f>FEVEREIRO!C43</f>
        <v>0</v>
      </c>
      <c r="I121" s="4">
        <v>46196</v>
      </c>
    </row>
    <row r="122" spans="3:9" x14ac:dyDescent="0.25">
      <c r="C122" s="36">
        <f>FEVEREIRO!C44</f>
        <v>0</v>
      </c>
      <c r="I122" s="4">
        <v>46197</v>
      </c>
    </row>
    <row r="123" spans="3:9" x14ac:dyDescent="0.25">
      <c r="C123" s="36">
        <f>FEVEREIRO!C45</f>
        <v>0</v>
      </c>
      <c r="I123" s="4">
        <v>46198</v>
      </c>
    </row>
    <row r="124" spans="3:9" x14ac:dyDescent="0.25">
      <c r="C124" s="36">
        <f>FEVEREIRO!C46</f>
        <v>0</v>
      </c>
      <c r="I124" s="4">
        <v>46199</v>
      </c>
    </row>
    <row r="125" spans="3:9" x14ac:dyDescent="0.25">
      <c r="C125" s="36">
        <f>FEVEREIRO!C47</f>
        <v>0</v>
      </c>
      <c r="I125" s="4">
        <v>46200</v>
      </c>
    </row>
    <row r="126" spans="3:9" x14ac:dyDescent="0.25">
      <c r="C126" s="36">
        <f>FEVEREIRO!C48</f>
        <v>0</v>
      </c>
      <c r="I126" s="4">
        <v>46201</v>
      </c>
    </row>
    <row r="127" spans="3:9" x14ac:dyDescent="0.25">
      <c r="C127" s="36">
        <f>FEVEREIRO!C49</f>
        <v>0</v>
      </c>
      <c r="I127" s="4">
        <v>46202</v>
      </c>
    </row>
    <row r="128" spans="3:9" x14ac:dyDescent="0.25">
      <c r="C128" s="36">
        <f>FEVEREIRO!C50</f>
        <v>0</v>
      </c>
      <c r="I128" s="4">
        <v>46203</v>
      </c>
    </row>
    <row r="129" spans="3:9" x14ac:dyDescent="0.25">
      <c r="C129" s="36">
        <f>FEVEREIRO!C51</f>
        <v>0</v>
      </c>
      <c r="I129" s="4">
        <v>46204</v>
      </c>
    </row>
    <row r="130" spans="3:9" x14ac:dyDescent="0.25">
      <c r="C130" s="36">
        <f>FEVEREIRO!C52</f>
        <v>0</v>
      </c>
      <c r="I130" s="4">
        <v>46205</v>
      </c>
    </row>
    <row r="131" spans="3:9" x14ac:dyDescent="0.25">
      <c r="C131" s="36">
        <f>FEVEREIRO!C53</f>
        <v>0</v>
      </c>
      <c r="I131" s="4">
        <v>46206</v>
      </c>
    </row>
    <row r="132" spans="3:9" x14ac:dyDescent="0.25">
      <c r="C132" s="36">
        <f>FEVEREIRO!C54</f>
        <v>0</v>
      </c>
      <c r="I132" s="4">
        <v>46207</v>
      </c>
    </row>
    <row r="133" spans="3:9" x14ac:dyDescent="0.25">
      <c r="C133" s="36">
        <f>FEVEREIRO!C55</f>
        <v>0</v>
      </c>
      <c r="I133" s="4">
        <v>46208</v>
      </c>
    </row>
    <row r="134" spans="3:9" x14ac:dyDescent="0.25">
      <c r="C134" s="36">
        <f>FEVEREIRO!C56</f>
        <v>0</v>
      </c>
      <c r="I134" s="4">
        <v>46209</v>
      </c>
    </row>
    <row r="135" spans="3:9" x14ac:dyDescent="0.25">
      <c r="C135" s="36">
        <f>FEVEREIRO!C57</f>
        <v>0</v>
      </c>
      <c r="I135" s="4">
        <v>46210</v>
      </c>
    </row>
    <row r="136" spans="3:9" x14ac:dyDescent="0.25">
      <c r="C136" s="36">
        <f>FEVEREIRO!C58</f>
        <v>0</v>
      </c>
      <c r="I136" s="4">
        <v>46211</v>
      </c>
    </row>
    <row r="137" spans="3:9" x14ac:dyDescent="0.25">
      <c r="C137" s="36">
        <f>FEVEREIRO!C59</f>
        <v>0</v>
      </c>
      <c r="I137" s="4">
        <v>46212</v>
      </c>
    </row>
    <row r="138" spans="3:9" x14ac:dyDescent="0.25">
      <c r="C138" s="36">
        <f>FEVEREIRO!C60</f>
        <v>0</v>
      </c>
      <c r="I138" s="4">
        <v>46213</v>
      </c>
    </row>
    <row r="139" spans="3:9" x14ac:dyDescent="0.25">
      <c r="C139" s="36">
        <f>FEVEREIRO!C61</f>
        <v>0</v>
      </c>
      <c r="I139" s="4">
        <v>46214</v>
      </c>
    </row>
    <row r="140" spans="3:9" x14ac:dyDescent="0.25">
      <c r="C140" s="36">
        <f>FEVEREIRO!C62</f>
        <v>0</v>
      </c>
      <c r="I140" s="4">
        <v>46215</v>
      </c>
    </row>
    <row r="141" spans="3:9" x14ac:dyDescent="0.25">
      <c r="C141" s="36">
        <f>FEVEREIRO!C63</f>
        <v>0</v>
      </c>
      <c r="I141" s="4">
        <v>46216</v>
      </c>
    </row>
    <row r="142" spans="3:9" x14ac:dyDescent="0.25">
      <c r="C142" s="36">
        <f>FEVEREIRO!C64</f>
        <v>0</v>
      </c>
      <c r="I142" s="4">
        <v>46217</v>
      </c>
    </row>
    <row r="143" spans="3:9" x14ac:dyDescent="0.25">
      <c r="C143" s="36">
        <f>FEVEREIRO!C65</f>
        <v>0</v>
      </c>
      <c r="I143" s="4">
        <v>46218</v>
      </c>
    </row>
    <row r="144" spans="3:9" x14ac:dyDescent="0.25">
      <c r="C144" s="36">
        <f>FEVEREIRO!C66</f>
        <v>0</v>
      </c>
      <c r="I144" s="4">
        <v>46219</v>
      </c>
    </row>
    <row r="145" spans="3:9" x14ac:dyDescent="0.25">
      <c r="C145" s="36">
        <f>FEVEREIRO!C67</f>
        <v>0</v>
      </c>
      <c r="I145" s="4">
        <v>46220</v>
      </c>
    </row>
    <row r="146" spans="3:9" x14ac:dyDescent="0.25">
      <c r="C146" s="36">
        <f>FEVEREIRO!C68</f>
        <v>0</v>
      </c>
      <c r="I146" s="4">
        <v>46221</v>
      </c>
    </row>
    <row r="147" spans="3:9" x14ac:dyDescent="0.25">
      <c r="C147" s="36">
        <f>FEVEREIRO!C69</f>
        <v>0</v>
      </c>
      <c r="I147" s="4">
        <v>46222</v>
      </c>
    </row>
    <row r="148" spans="3:9" x14ac:dyDescent="0.25">
      <c r="C148" s="36">
        <f>FEVEREIRO!C70</f>
        <v>0</v>
      </c>
      <c r="I148" s="4">
        <v>46223</v>
      </c>
    </row>
    <row r="149" spans="3:9" x14ac:dyDescent="0.25">
      <c r="C149" s="36">
        <f>FEVEREIRO!C71</f>
        <v>0</v>
      </c>
      <c r="I149" s="4">
        <v>46224</v>
      </c>
    </row>
    <row r="150" spans="3:9" x14ac:dyDescent="0.25">
      <c r="C150" s="36">
        <f>FEVEREIRO!C72</f>
        <v>0</v>
      </c>
      <c r="I150" s="4">
        <v>46225</v>
      </c>
    </row>
    <row r="151" spans="3:9" x14ac:dyDescent="0.25">
      <c r="C151" s="36">
        <f>FEVEREIRO!C73</f>
        <v>0</v>
      </c>
      <c r="I151" s="4">
        <v>46226</v>
      </c>
    </row>
    <row r="152" spans="3:9" x14ac:dyDescent="0.25">
      <c r="C152" s="36">
        <f>FEVEREIRO!C74</f>
        <v>0</v>
      </c>
      <c r="I152" s="4">
        <v>46227</v>
      </c>
    </row>
    <row r="153" spans="3:9" x14ac:dyDescent="0.25">
      <c r="C153" s="36">
        <f>FEVEREIRO!C75</f>
        <v>0</v>
      </c>
      <c r="I153" s="4">
        <v>46228</v>
      </c>
    </row>
    <row r="154" spans="3:9" x14ac:dyDescent="0.25">
      <c r="C154" s="36">
        <f>FEVEREIRO!C76</f>
        <v>0</v>
      </c>
      <c r="I154" s="4">
        <v>46229</v>
      </c>
    </row>
    <row r="155" spans="3:9" x14ac:dyDescent="0.25">
      <c r="C155" s="36">
        <f>FEVEREIRO!C77</f>
        <v>0</v>
      </c>
      <c r="I155" s="4">
        <v>46230</v>
      </c>
    </row>
    <row r="156" spans="3:9" x14ac:dyDescent="0.25">
      <c r="C156" s="36">
        <f>FEVEREIRO!C78</f>
        <v>0</v>
      </c>
      <c r="I156" s="4">
        <v>46231</v>
      </c>
    </row>
    <row r="157" spans="3:9" x14ac:dyDescent="0.25">
      <c r="C157" s="36">
        <f>FEVEREIRO!C79</f>
        <v>0</v>
      </c>
      <c r="I157" s="4">
        <v>46232</v>
      </c>
    </row>
    <row r="158" spans="3:9" x14ac:dyDescent="0.25">
      <c r="C158" s="36">
        <f>FEVEREIRO!C80</f>
        <v>0</v>
      </c>
      <c r="I158" s="4">
        <v>46233</v>
      </c>
    </row>
    <row r="159" spans="3:9" x14ac:dyDescent="0.25">
      <c r="C159" s="36">
        <f>FEVEREIRO!C81</f>
        <v>0</v>
      </c>
      <c r="I159" s="4">
        <v>46234</v>
      </c>
    </row>
    <row r="160" spans="3:9" x14ac:dyDescent="0.25">
      <c r="C160" s="36">
        <f>FEVEREIRO!C82</f>
        <v>0</v>
      </c>
      <c r="I160" s="4">
        <v>46235</v>
      </c>
    </row>
    <row r="161" spans="3:9" x14ac:dyDescent="0.25">
      <c r="C161" s="36">
        <f>FEVEREIRO!C83</f>
        <v>0</v>
      </c>
      <c r="I161" s="4">
        <v>46236</v>
      </c>
    </row>
    <row r="162" spans="3:9" x14ac:dyDescent="0.25">
      <c r="C162" s="36">
        <f>FEVEREIRO!C84</f>
        <v>0</v>
      </c>
      <c r="I162" s="4">
        <v>46237</v>
      </c>
    </row>
    <row r="163" spans="3:9" x14ac:dyDescent="0.25">
      <c r="C163" s="36">
        <f>FEVEREIRO!C85</f>
        <v>0</v>
      </c>
      <c r="I163" s="4">
        <v>46238</v>
      </c>
    </row>
    <row r="164" spans="3:9" x14ac:dyDescent="0.25">
      <c r="C164" s="36">
        <f>FEVEREIRO!C86</f>
        <v>0</v>
      </c>
      <c r="I164" s="4">
        <v>46239</v>
      </c>
    </row>
    <row r="165" spans="3:9" x14ac:dyDescent="0.25">
      <c r="C165" s="36">
        <f>FEVEREIRO!C87</f>
        <v>0</v>
      </c>
      <c r="I165" s="4">
        <v>46240</v>
      </c>
    </row>
    <row r="166" spans="3:9" x14ac:dyDescent="0.25">
      <c r="C166" s="36">
        <f>FEVEREIRO!C88</f>
        <v>0</v>
      </c>
      <c r="I166" s="4">
        <v>46241</v>
      </c>
    </row>
    <row r="167" spans="3:9" x14ac:dyDescent="0.25">
      <c r="C167" s="36">
        <f>FEVEREIRO!C89</f>
        <v>0</v>
      </c>
      <c r="I167" s="4">
        <v>46242</v>
      </c>
    </row>
    <row r="168" spans="3:9" x14ac:dyDescent="0.25">
      <c r="C168" s="36"/>
    </row>
  </sheetData>
  <autoFilter ref="C6:H25"/>
  <mergeCells count="2">
    <mergeCell ref="C5:H5"/>
    <mergeCell ref="M7:N7"/>
  </mergeCells>
  <conditionalFormatting sqref="F81:G1048576 F38:F80">
    <cfRule type="cellIs" dxfId="502" priority="36" operator="equal">
      <formula>"RECEITA"</formula>
    </cfRule>
    <cfRule type="cellIs" dxfId="501" priority="37" operator="equal">
      <formula>"DESPESA"</formula>
    </cfRule>
    <cfRule type="cellIs" dxfId="500" priority="38" operator="equal">
      <formula>"RECEITA"</formula>
    </cfRule>
    <cfRule type="cellIs" dxfId="499" priority="39" operator="equal">
      <formula>"DESPESA"</formula>
    </cfRule>
    <cfRule type="cellIs" dxfId="498" priority="40" operator="equal">
      <formula>"RECEITA"</formula>
    </cfRule>
    <cfRule type="cellIs" dxfId="497" priority="41" operator="equal">
      <formula>"DESPESA"</formula>
    </cfRule>
  </conditionalFormatting>
  <conditionalFormatting sqref="M8">
    <cfRule type="cellIs" dxfId="496" priority="30" operator="equal">
      <formula>"RECEITA"</formula>
    </cfRule>
    <cfRule type="cellIs" dxfId="495" priority="31" operator="equal">
      <formula>"DESPESA"</formula>
    </cfRule>
    <cfRule type="cellIs" dxfId="494" priority="32" operator="equal">
      <formula>"RECEITA"</formula>
    </cfRule>
    <cfRule type="cellIs" dxfId="493" priority="33" operator="equal">
      <formula>"DESPESA"</formula>
    </cfRule>
    <cfRule type="cellIs" dxfId="492" priority="34" operator="equal">
      <formula>"RECEITA"</formula>
    </cfRule>
    <cfRule type="cellIs" dxfId="491" priority="35" operator="equal">
      <formula>"DESPESA"</formula>
    </cfRule>
  </conditionalFormatting>
  <conditionalFormatting sqref="M9">
    <cfRule type="cellIs" dxfId="490" priority="24" operator="equal">
      <formula>"RECEITA"</formula>
    </cfRule>
    <cfRule type="cellIs" dxfId="489" priority="25" operator="equal">
      <formula>"DESPESA"</formula>
    </cfRule>
    <cfRule type="cellIs" dxfId="488" priority="26" operator="equal">
      <formula>"RECEITA"</formula>
    </cfRule>
    <cfRule type="cellIs" dxfId="487" priority="27" operator="equal">
      <formula>"DESPESA"</formula>
    </cfRule>
    <cfRule type="cellIs" dxfId="486" priority="28" operator="equal">
      <formula>"RECEITA"</formula>
    </cfRule>
    <cfRule type="cellIs" dxfId="485" priority="29" operator="equal">
      <formula>"DESPESA"</formula>
    </cfRule>
  </conditionalFormatting>
  <conditionalFormatting sqref="N10">
    <cfRule type="cellIs" dxfId="484" priority="19" operator="greaterThan">
      <formula>0</formula>
    </cfRule>
    <cfRule type="cellIs" dxfId="483" priority="20" operator="greaterThan">
      <formula>0</formula>
    </cfRule>
    <cfRule type="cellIs" dxfId="482" priority="21" operator="greaterThan">
      <formula>0</formula>
    </cfRule>
    <cfRule type="cellIs" dxfId="481" priority="22" operator="lessThan">
      <formula>0</formula>
    </cfRule>
    <cfRule type="cellIs" dxfId="480" priority="23" operator="greaterThan">
      <formula>0</formula>
    </cfRule>
  </conditionalFormatting>
  <conditionalFormatting sqref="E7:E84">
    <cfRule type="cellIs" dxfId="479" priority="7" operator="equal">
      <formula>"RECEITA"</formula>
    </cfRule>
    <cfRule type="cellIs" dxfId="478" priority="8" operator="equal">
      <formula>"DESPESA"</formula>
    </cfRule>
    <cfRule type="cellIs" dxfId="477" priority="9" operator="equal">
      <formula>"RECEITA"</formula>
    </cfRule>
    <cfRule type="cellIs" dxfId="476" priority="10" operator="equal">
      <formula>"DESPESA"</formula>
    </cfRule>
    <cfRule type="cellIs" dxfId="475" priority="11" operator="equal">
      <formula>"RECEITA"</formula>
    </cfRule>
    <cfRule type="cellIs" dxfId="474" priority="12" operator="equal">
      <formula>"DESPESA"</formula>
    </cfRule>
  </conditionalFormatting>
  <conditionalFormatting sqref="D7:D84">
    <cfRule type="cellIs" dxfId="473" priority="3" operator="equal">
      <formula>"RECEITA"</formula>
    </cfRule>
    <cfRule type="cellIs" dxfId="472" priority="4" operator="equal">
      <formula>"DESPESA"</formula>
    </cfRule>
    <cfRule type="cellIs" dxfId="471" priority="5" operator="equal">
      <formula>"RECEITA"</formula>
    </cfRule>
    <cfRule type="cellIs" dxfId="470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C0D02F4-EE8F-4AC1-8CEC-DA40764B2BBE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341B78A5-D17B-4ED1-963A-5235C5E3B993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B1:O84"/>
  <sheetViews>
    <sheetView showGridLines="0" zoomScale="90" zoomScaleNormal="9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87" t="s">
        <v>19</v>
      </c>
      <c r="D5" s="87"/>
      <c r="E5" s="87"/>
      <c r="F5" s="87"/>
      <c r="G5" s="87"/>
      <c r="H5" s="8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46113</v>
      </c>
      <c r="D7" s="5" t="s">
        <v>40</v>
      </c>
      <c r="E7" s="5" t="s">
        <v>44</v>
      </c>
      <c r="F7" s="5" t="s">
        <v>5</v>
      </c>
      <c r="G7" s="5"/>
      <c r="H7" s="6">
        <v>12</v>
      </c>
      <c r="I7" s="4">
        <v>46307</v>
      </c>
      <c r="J7" t="str">
        <f>VLOOKUP(D7,'plano de contas'!$O$8:$P$13,2,0)</f>
        <v>REC_SER</v>
      </c>
      <c r="M7" s="86" t="s">
        <v>14</v>
      </c>
      <c r="N7" s="8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46114</v>
      </c>
      <c r="D8" s="5" t="s">
        <v>41</v>
      </c>
      <c r="E8" s="5" t="s">
        <v>44</v>
      </c>
      <c r="F8" s="5" t="s">
        <v>11</v>
      </c>
      <c r="G8" s="5"/>
      <c r="H8" s="6">
        <v>1</v>
      </c>
      <c r="I8" s="4">
        <v>46308</v>
      </c>
      <c r="J8" t="str">
        <f>VLOOKUP(D8,'plano de contas'!$O$8:$P$13,2,0)</f>
        <v>DESP_PROD</v>
      </c>
      <c r="M8" s="7" t="s">
        <v>3</v>
      </c>
      <c r="N8" s="8">
        <f>'FLUXO DE CAIXA (2)'!F10</f>
        <v>0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46115</v>
      </c>
      <c r="D9" s="5" t="s">
        <v>42</v>
      </c>
      <c r="E9" s="5" t="s">
        <v>53</v>
      </c>
      <c r="F9" s="5" t="s">
        <v>6</v>
      </c>
      <c r="G9" s="5"/>
      <c r="H9" s="6">
        <v>2</v>
      </c>
      <c r="I9" s="4">
        <v>46309</v>
      </c>
      <c r="J9" t="str">
        <f>VLOOKUP(D9,'plano de contas'!$O$8:$P$13,2,0)</f>
        <v>DESP_RH</v>
      </c>
      <c r="M9" s="7" t="s">
        <v>4</v>
      </c>
      <c r="N9" s="8">
        <f>'FLUXO DE CAIXA (2)'!F11</f>
        <v>0</v>
      </c>
      <c r="O9" t="str">
        <f t="shared" si="0"/>
        <v>DESPESAS</v>
      </c>
    </row>
    <row r="10" spans="2:15" ht="30" customHeight="1" x14ac:dyDescent="0.35">
      <c r="C10" s="4">
        <v>46116</v>
      </c>
      <c r="D10" s="5" t="s">
        <v>41</v>
      </c>
      <c r="E10" s="5" t="s">
        <v>44</v>
      </c>
      <c r="F10" s="5" t="s">
        <v>7</v>
      </c>
      <c r="G10" s="5"/>
      <c r="H10" s="6">
        <v>3</v>
      </c>
      <c r="I10" s="4">
        <v>46310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46117</v>
      </c>
      <c r="D11" s="5" t="s">
        <v>41</v>
      </c>
      <c r="E11" s="5" t="s">
        <v>44</v>
      </c>
      <c r="F11" s="5" t="s">
        <v>8</v>
      </c>
      <c r="G11" s="5"/>
      <c r="H11" s="6">
        <v>-2</v>
      </c>
      <c r="I11" s="4">
        <v>46311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46118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-4.5999999999999996</v>
      </c>
      <c r="I12" s="4">
        <v>46312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46119</v>
      </c>
      <c r="D13" s="5" t="s">
        <v>41</v>
      </c>
      <c r="E13" s="5" t="s">
        <v>44</v>
      </c>
      <c r="F13" s="5" t="s">
        <v>12</v>
      </c>
      <c r="G13" s="5"/>
      <c r="H13" s="6">
        <v>-7.2</v>
      </c>
      <c r="I13" s="4">
        <v>46313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46120</v>
      </c>
      <c r="D14" s="5" t="s">
        <v>42</v>
      </c>
      <c r="E14" s="5" t="s">
        <v>59</v>
      </c>
      <c r="F14" s="5" t="s">
        <v>5</v>
      </c>
      <c r="G14" s="5"/>
      <c r="H14" s="6">
        <v>-9.8000000000000007</v>
      </c>
      <c r="I14" s="4">
        <v>46314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46121</v>
      </c>
      <c r="D15" s="5" t="s">
        <v>40</v>
      </c>
      <c r="E15" s="5" t="s">
        <v>44</v>
      </c>
      <c r="F15" s="5" t="s">
        <v>11</v>
      </c>
      <c r="G15" s="5"/>
      <c r="H15" s="6">
        <v>1</v>
      </c>
      <c r="I15" s="4">
        <v>46315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46122</v>
      </c>
      <c r="D16" s="5" t="s">
        <v>40</v>
      </c>
      <c r="E16" s="5" t="s">
        <v>44</v>
      </c>
      <c r="F16" s="5" t="s">
        <v>6</v>
      </c>
      <c r="G16" s="5"/>
      <c r="H16" s="6">
        <v>1</v>
      </c>
      <c r="I16" s="4">
        <v>46316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46123</v>
      </c>
      <c r="D17" s="5" t="s">
        <v>40</v>
      </c>
      <c r="E17" s="5" t="s">
        <v>51</v>
      </c>
      <c r="F17" s="5" t="s">
        <v>7</v>
      </c>
      <c r="G17" s="5"/>
      <c r="H17" s="6">
        <v>1</v>
      </c>
      <c r="I17" s="4">
        <v>46317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46124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</v>
      </c>
      <c r="I18" s="4">
        <v>46318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46125</v>
      </c>
      <c r="D19" s="5" t="s">
        <v>40</v>
      </c>
      <c r="E19" s="5" t="s">
        <v>44</v>
      </c>
      <c r="F19" s="5" t="s">
        <v>9</v>
      </c>
      <c r="G19" s="5"/>
      <c r="H19" s="6">
        <v>1</v>
      </c>
      <c r="I19" s="4">
        <v>46319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46126</v>
      </c>
      <c r="D20" s="5" t="s">
        <v>40</v>
      </c>
      <c r="E20" s="5" t="s">
        <v>44</v>
      </c>
      <c r="F20" s="5" t="s">
        <v>10</v>
      </c>
      <c r="G20" s="5"/>
      <c r="H20" s="6">
        <v>1</v>
      </c>
      <c r="I20" s="4">
        <v>46320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46127</v>
      </c>
      <c r="D21" s="5" t="s">
        <v>40</v>
      </c>
      <c r="E21" s="5" t="s">
        <v>44</v>
      </c>
      <c r="F21" s="5" t="s">
        <v>5</v>
      </c>
      <c r="G21" s="5"/>
      <c r="H21" s="6">
        <v>1</v>
      </c>
      <c r="I21" s="4">
        <v>46321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46128</v>
      </c>
      <c r="D22" s="5" t="s">
        <v>40</v>
      </c>
      <c r="E22" s="5" t="s">
        <v>44</v>
      </c>
      <c r="F22" s="5" t="s">
        <v>11</v>
      </c>
      <c r="G22" s="5"/>
      <c r="H22" s="6">
        <v>1</v>
      </c>
      <c r="I22" s="4">
        <v>46322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46129</v>
      </c>
      <c r="D23" s="5" t="s">
        <v>40</v>
      </c>
      <c r="E23" s="5" t="s">
        <v>44</v>
      </c>
      <c r="F23" s="5" t="s">
        <v>6</v>
      </c>
      <c r="G23" s="5"/>
      <c r="H23" s="6">
        <v>1</v>
      </c>
      <c r="I23" s="4">
        <v>46323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46130</v>
      </c>
      <c r="D24" s="5" t="s">
        <v>40</v>
      </c>
      <c r="E24" s="5" t="s">
        <v>44</v>
      </c>
      <c r="F24" s="5" t="s">
        <v>7</v>
      </c>
      <c r="G24" s="5"/>
      <c r="H24" s="6">
        <v>1</v>
      </c>
      <c r="I24" s="4">
        <v>46324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46131</v>
      </c>
      <c r="D25" s="5" t="s">
        <v>40</v>
      </c>
      <c r="E25" s="5" t="s">
        <v>44</v>
      </c>
      <c r="F25" s="5" t="s">
        <v>8</v>
      </c>
      <c r="G25" s="5"/>
      <c r="H25" s="6">
        <v>1</v>
      </c>
      <c r="I25" s="4">
        <v>46325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46132</v>
      </c>
      <c r="D26" s="5" t="s">
        <v>40</v>
      </c>
      <c r="E26" s="5" t="s">
        <v>44</v>
      </c>
      <c r="F26" s="5" t="s">
        <v>16</v>
      </c>
      <c r="G26" s="5"/>
      <c r="H26" s="6">
        <v>1</v>
      </c>
      <c r="I26" s="4">
        <v>46326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46133</v>
      </c>
      <c r="D27" s="5" t="s">
        <v>40</v>
      </c>
      <c r="E27" s="5" t="s">
        <v>44</v>
      </c>
      <c r="F27" s="5" t="s">
        <v>17</v>
      </c>
      <c r="G27" s="5"/>
      <c r="H27" s="6">
        <v>1</v>
      </c>
      <c r="I27" s="4">
        <v>46327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46134</v>
      </c>
      <c r="D28" s="5" t="s">
        <v>40</v>
      </c>
      <c r="E28" s="5" t="s">
        <v>44</v>
      </c>
      <c r="F28" s="5" t="s">
        <v>18</v>
      </c>
      <c r="G28" s="5"/>
      <c r="H28" s="6">
        <v>1</v>
      </c>
      <c r="I28" s="4">
        <v>46328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46135</v>
      </c>
      <c r="D29" s="5" t="s">
        <v>40</v>
      </c>
      <c r="E29" s="5" t="s">
        <v>44</v>
      </c>
      <c r="F29" s="5" t="s">
        <v>18</v>
      </c>
      <c r="G29" s="5"/>
      <c r="H29" s="6">
        <v>1</v>
      </c>
      <c r="I29" s="4">
        <v>46329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46136</v>
      </c>
      <c r="D30" s="5" t="s">
        <v>40</v>
      </c>
      <c r="E30" s="5" t="s">
        <v>44</v>
      </c>
      <c r="F30" s="5" t="s">
        <v>18</v>
      </c>
      <c r="G30" s="5"/>
      <c r="H30" s="6">
        <v>1</v>
      </c>
      <c r="I30" s="4">
        <v>46330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46137</v>
      </c>
      <c r="D31" s="5" t="s">
        <v>40</v>
      </c>
      <c r="E31" s="5" t="s">
        <v>44</v>
      </c>
      <c r="F31" s="5" t="s">
        <v>18</v>
      </c>
      <c r="G31" s="5"/>
      <c r="H31" s="6">
        <v>1</v>
      </c>
      <c r="I31" s="4">
        <v>46331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46138</v>
      </c>
      <c r="D32" s="5" t="s">
        <v>40</v>
      </c>
      <c r="E32" s="5" t="s">
        <v>44</v>
      </c>
      <c r="F32" s="5" t="s">
        <v>18</v>
      </c>
      <c r="G32" s="5"/>
      <c r="H32" s="6">
        <v>1</v>
      </c>
      <c r="I32" s="4">
        <v>46332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46139</v>
      </c>
      <c r="D33" s="5" t="s">
        <v>40</v>
      </c>
      <c r="E33" s="5" t="s">
        <v>44</v>
      </c>
      <c r="F33" s="5" t="s">
        <v>18</v>
      </c>
      <c r="G33" s="5"/>
      <c r="H33" s="6">
        <v>1</v>
      </c>
      <c r="I33" s="4">
        <v>46333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46140</v>
      </c>
      <c r="D34" s="5" t="s">
        <v>40</v>
      </c>
      <c r="E34" s="5" t="s">
        <v>44</v>
      </c>
      <c r="F34" s="5" t="s">
        <v>18</v>
      </c>
      <c r="G34" s="5"/>
      <c r="H34" s="6">
        <v>1</v>
      </c>
      <c r="I34" s="4">
        <v>46334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46141</v>
      </c>
      <c r="D35" s="5" t="s">
        <v>40</v>
      </c>
      <c r="E35" s="5" t="s">
        <v>44</v>
      </c>
      <c r="F35" s="5" t="s">
        <v>18</v>
      </c>
      <c r="G35" s="5"/>
      <c r="H35" s="6">
        <v>1</v>
      </c>
      <c r="I35" s="4">
        <v>46335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46142</v>
      </c>
      <c r="D36" s="5" t="s">
        <v>40</v>
      </c>
      <c r="E36" s="5" t="s">
        <v>44</v>
      </c>
      <c r="F36" s="5" t="s">
        <v>18</v>
      </c>
      <c r="G36" s="5"/>
      <c r="H36" s="6">
        <v>1</v>
      </c>
      <c r="I36" s="4">
        <v>46336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46143</v>
      </c>
      <c r="D37" s="5" t="s">
        <v>40</v>
      </c>
      <c r="E37" s="5" t="s">
        <v>44</v>
      </c>
      <c r="F37" s="5" t="s">
        <v>18</v>
      </c>
      <c r="G37" s="5"/>
      <c r="H37" s="6">
        <v>1</v>
      </c>
      <c r="I37" s="4">
        <v>46337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46144</v>
      </c>
      <c r="D38" s="5" t="s">
        <v>40</v>
      </c>
      <c r="E38" s="5" t="s">
        <v>44</v>
      </c>
      <c r="G38" s="5"/>
      <c r="I38" s="4">
        <v>46338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46145</v>
      </c>
      <c r="D39" s="5" t="s">
        <v>40</v>
      </c>
      <c r="E39" s="5" t="s">
        <v>44</v>
      </c>
      <c r="G39" s="5"/>
      <c r="I39" s="4">
        <v>46339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46146</v>
      </c>
      <c r="D40" s="5" t="s">
        <v>40</v>
      </c>
      <c r="E40" s="5" t="s">
        <v>44</v>
      </c>
      <c r="G40" s="5"/>
      <c r="I40" s="4">
        <v>46340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46147</v>
      </c>
      <c r="D41" s="5" t="s">
        <v>40</v>
      </c>
      <c r="E41" s="5" t="s">
        <v>44</v>
      </c>
      <c r="G41" s="5"/>
      <c r="I41" s="4">
        <v>46341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46148</v>
      </c>
      <c r="D42" s="5" t="s">
        <v>40</v>
      </c>
      <c r="E42" s="5" t="s">
        <v>44</v>
      </c>
      <c r="G42" s="5"/>
      <c r="I42" s="4">
        <v>46342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46149</v>
      </c>
      <c r="D43" s="5" t="s">
        <v>40</v>
      </c>
      <c r="E43" s="5" t="s">
        <v>44</v>
      </c>
      <c r="G43" s="5"/>
      <c r="I43" s="4">
        <v>46343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46150</v>
      </c>
      <c r="D44" s="5" t="s">
        <v>40</v>
      </c>
      <c r="E44" s="5" t="s">
        <v>44</v>
      </c>
      <c r="G44" s="5"/>
      <c r="I44" s="4">
        <v>46344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46151</v>
      </c>
      <c r="D45" s="5" t="s">
        <v>40</v>
      </c>
      <c r="E45" s="5" t="s">
        <v>44</v>
      </c>
      <c r="G45" s="5"/>
      <c r="I45" s="4">
        <v>46345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46152</v>
      </c>
      <c r="D46" s="5" t="s">
        <v>40</v>
      </c>
      <c r="E46" s="5" t="s">
        <v>44</v>
      </c>
      <c r="G46" s="5"/>
      <c r="I46" s="4">
        <v>46346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46153</v>
      </c>
      <c r="D47" s="5" t="s">
        <v>40</v>
      </c>
      <c r="E47" s="5" t="s">
        <v>44</v>
      </c>
      <c r="G47" s="5"/>
      <c r="I47" s="4">
        <v>46347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46154</v>
      </c>
      <c r="D48" s="5" t="s">
        <v>40</v>
      </c>
      <c r="E48" s="5" t="s">
        <v>44</v>
      </c>
      <c r="G48" s="5"/>
      <c r="I48" s="4">
        <v>46348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46155</v>
      </c>
      <c r="D49" s="5" t="s">
        <v>40</v>
      </c>
      <c r="E49" s="5" t="s">
        <v>44</v>
      </c>
      <c r="G49" s="5"/>
      <c r="I49" s="4">
        <v>46349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46156</v>
      </c>
      <c r="D50" s="5" t="s">
        <v>40</v>
      </c>
      <c r="E50" s="5" t="s">
        <v>44</v>
      </c>
      <c r="G50" s="5"/>
      <c r="I50" s="4">
        <v>46350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46157</v>
      </c>
      <c r="D51" s="5" t="s">
        <v>40</v>
      </c>
      <c r="E51" s="5" t="s">
        <v>44</v>
      </c>
      <c r="G51" s="5"/>
      <c r="I51" s="4">
        <v>46351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46158</v>
      </c>
      <c r="D52" s="5" t="s">
        <v>40</v>
      </c>
      <c r="E52" s="5" t="s">
        <v>44</v>
      </c>
      <c r="G52" s="5"/>
      <c r="I52" s="4">
        <v>46352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46159</v>
      </c>
      <c r="D53" s="5" t="s">
        <v>40</v>
      </c>
      <c r="E53" s="5" t="s">
        <v>44</v>
      </c>
      <c r="G53" s="5"/>
      <c r="I53" s="4">
        <v>46353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46160</v>
      </c>
      <c r="D54" s="5" t="s">
        <v>40</v>
      </c>
      <c r="E54" s="5" t="s">
        <v>44</v>
      </c>
      <c r="G54" s="5"/>
      <c r="I54" s="4">
        <v>46354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46161</v>
      </c>
      <c r="D55" s="5" t="s">
        <v>40</v>
      </c>
      <c r="E55" s="5" t="s">
        <v>44</v>
      </c>
      <c r="G55" s="5"/>
      <c r="I55" s="4">
        <v>46355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46162</v>
      </c>
      <c r="D56" s="5" t="s">
        <v>40</v>
      </c>
      <c r="E56" s="5" t="s">
        <v>44</v>
      </c>
      <c r="G56" s="5"/>
      <c r="I56" s="4">
        <v>46356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46163</v>
      </c>
      <c r="D57" s="5" t="s">
        <v>40</v>
      </c>
      <c r="E57" s="5" t="s">
        <v>44</v>
      </c>
      <c r="G57" s="5"/>
      <c r="I57" s="4">
        <v>46357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46164</v>
      </c>
      <c r="D58" s="5" t="s">
        <v>40</v>
      </c>
      <c r="E58" s="5" t="s">
        <v>44</v>
      </c>
      <c r="G58" s="5"/>
      <c r="I58" s="4">
        <v>46358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46165</v>
      </c>
      <c r="D59" s="5" t="s">
        <v>40</v>
      </c>
      <c r="E59" s="5" t="s">
        <v>44</v>
      </c>
      <c r="G59" s="5"/>
      <c r="I59" s="4">
        <v>46359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46166</v>
      </c>
      <c r="D60" s="5" t="s">
        <v>40</v>
      </c>
      <c r="E60" s="5" t="s">
        <v>44</v>
      </c>
      <c r="G60" s="5"/>
      <c r="I60" s="4">
        <v>46360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46167</v>
      </c>
      <c r="D61" s="5" t="s">
        <v>40</v>
      </c>
      <c r="E61" s="5" t="s">
        <v>44</v>
      </c>
      <c r="G61" s="5"/>
      <c r="I61" s="4">
        <v>46361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46168</v>
      </c>
      <c r="D62" s="5" t="s">
        <v>40</v>
      </c>
      <c r="E62" s="5" t="s">
        <v>44</v>
      </c>
      <c r="G62" s="5"/>
      <c r="I62" s="4">
        <v>46362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46169</v>
      </c>
      <c r="D63" s="5" t="s">
        <v>40</v>
      </c>
      <c r="E63" s="5" t="s">
        <v>44</v>
      </c>
      <c r="G63" s="5"/>
      <c r="I63" s="4">
        <v>46363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46170</v>
      </c>
      <c r="D64" s="5" t="s">
        <v>40</v>
      </c>
      <c r="E64" s="5" t="s">
        <v>44</v>
      </c>
      <c r="G64" s="5"/>
      <c r="I64" s="4">
        <v>46364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46171</v>
      </c>
      <c r="D65" s="5" t="s">
        <v>40</v>
      </c>
      <c r="E65" s="5" t="s">
        <v>44</v>
      </c>
      <c r="G65" s="5"/>
      <c r="I65" s="4">
        <v>46365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46172</v>
      </c>
      <c r="D66" s="5" t="s">
        <v>40</v>
      </c>
      <c r="E66" s="5" t="s">
        <v>44</v>
      </c>
      <c r="G66" s="5"/>
      <c r="I66" s="4">
        <v>46366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46173</v>
      </c>
      <c r="D67" s="5" t="s">
        <v>40</v>
      </c>
      <c r="E67" s="5" t="s">
        <v>44</v>
      </c>
      <c r="G67" s="5"/>
      <c r="I67" s="4">
        <v>46367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46174</v>
      </c>
      <c r="D68" s="5" t="s">
        <v>40</v>
      </c>
      <c r="E68" s="5" t="s">
        <v>44</v>
      </c>
      <c r="G68" s="5"/>
      <c r="I68" s="4">
        <v>46368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46175</v>
      </c>
      <c r="D69" s="5" t="s">
        <v>40</v>
      </c>
      <c r="E69" s="5" t="s">
        <v>44</v>
      </c>
      <c r="G69" s="5"/>
      <c r="I69" s="4">
        <v>46369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46176</v>
      </c>
      <c r="D70" s="5" t="s">
        <v>40</v>
      </c>
      <c r="E70" s="5" t="s">
        <v>44</v>
      </c>
      <c r="G70" s="5"/>
      <c r="I70" s="4">
        <v>46370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46177</v>
      </c>
      <c r="D71" s="5" t="s">
        <v>40</v>
      </c>
      <c r="E71" s="5" t="s">
        <v>44</v>
      </c>
      <c r="G71" s="5"/>
      <c r="I71" s="4">
        <v>46371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46178</v>
      </c>
      <c r="D72" s="5" t="s">
        <v>40</v>
      </c>
      <c r="E72" s="5" t="s">
        <v>44</v>
      </c>
      <c r="G72" s="5"/>
      <c r="I72" s="4">
        <v>46372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46179</v>
      </c>
      <c r="D73" s="5" t="s">
        <v>40</v>
      </c>
      <c r="E73" s="5" t="s">
        <v>44</v>
      </c>
      <c r="G73" s="5"/>
      <c r="I73" s="4">
        <v>46373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46180</v>
      </c>
      <c r="D74" s="5" t="s">
        <v>40</v>
      </c>
      <c r="E74" s="5" t="s">
        <v>44</v>
      </c>
      <c r="G74" s="5"/>
      <c r="I74" s="4">
        <v>46374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46181</v>
      </c>
      <c r="D75" s="5" t="s">
        <v>40</v>
      </c>
      <c r="E75" s="5" t="s">
        <v>44</v>
      </c>
      <c r="G75" s="5"/>
      <c r="I75" s="4">
        <v>46375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46182</v>
      </c>
      <c r="D76" s="5" t="s">
        <v>40</v>
      </c>
      <c r="E76" s="5" t="s">
        <v>44</v>
      </c>
      <c r="G76" s="5"/>
      <c r="I76" s="4">
        <v>46376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46183</v>
      </c>
      <c r="D77" s="5" t="s">
        <v>40</v>
      </c>
      <c r="E77" s="5" t="s">
        <v>44</v>
      </c>
      <c r="G77" s="5"/>
      <c r="I77" s="4">
        <v>46377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46184</v>
      </c>
      <c r="D78" s="5" t="s">
        <v>40</v>
      </c>
      <c r="E78" s="5" t="s">
        <v>44</v>
      </c>
      <c r="G78" s="5"/>
      <c r="I78" s="4">
        <v>46378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46185</v>
      </c>
      <c r="D79" s="5" t="s">
        <v>40</v>
      </c>
      <c r="E79" s="5" t="s">
        <v>44</v>
      </c>
      <c r="G79" s="5"/>
      <c r="I79" s="4">
        <v>46379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46186</v>
      </c>
      <c r="D80" s="5" t="s">
        <v>40</v>
      </c>
      <c r="E80" s="5" t="s">
        <v>44</v>
      </c>
      <c r="G80" s="5" t="s">
        <v>113</v>
      </c>
      <c r="I80" s="4">
        <v>46380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46187</v>
      </c>
      <c r="D81" s="5" t="s">
        <v>40</v>
      </c>
      <c r="E81" s="5" t="s">
        <v>44</v>
      </c>
      <c r="I81" s="4">
        <v>46381</v>
      </c>
      <c r="J81" t="str">
        <f>VLOOKUP(D81,'plano de contas'!$O$8:$P$13,2,0)</f>
        <v>REC_SER</v>
      </c>
      <c r="O81" t="str">
        <f t="shared" si="1"/>
        <v>RECEITAS</v>
      </c>
    </row>
    <row r="82" spans="3:15" x14ac:dyDescent="0.25">
      <c r="C82" s="4">
        <v>46188</v>
      </c>
      <c r="D82" s="5" t="s">
        <v>40</v>
      </c>
      <c r="E82" s="5" t="s">
        <v>44</v>
      </c>
      <c r="I82" s="4">
        <v>46382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46189</v>
      </c>
      <c r="D83" s="5" t="s">
        <v>40</v>
      </c>
      <c r="E83" s="5" t="s">
        <v>44</v>
      </c>
      <c r="I83" s="4">
        <v>46383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46190</v>
      </c>
      <c r="D84" s="5" t="s">
        <v>40</v>
      </c>
      <c r="E84" s="5" t="s">
        <v>44</v>
      </c>
      <c r="I84" s="4">
        <v>46384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467" priority="36" operator="equal">
      <formula>"RECEITA"</formula>
    </cfRule>
    <cfRule type="cellIs" dxfId="466" priority="37" operator="equal">
      <formula>"DESPESA"</formula>
    </cfRule>
    <cfRule type="cellIs" dxfId="465" priority="38" operator="equal">
      <formula>"RECEITA"</formula>
    </cfRule>
    <cfRule type="cellIs" dxfId="464" priority="39" operator="equal">
      <formula>"DESPESA"</formula>
    </cfRule>
    <cfRule type="cellIs" dxfId="463" priority="40" operator="equal">
      <formula>"RECEITA"</formula>
    </cfRule>
    <cfRule type="cellIs" dxfId="462" priority="41" operator="equal">
      <formula>"DESPESA"</formula>
    </cfRule>
  </conditionalFormatting>
  <conditionalFormatting sqref="M8">
    <cfRule type="cellIs" dxfId="461" priority="30" operator="equal">
      <formula>"RECEITA"</formula>
    </cfRule>
    <cfRule type="cellIs" dxfId="460" priority="31" operator="equal">
      <formula>"DESPESA"</formula>
    </cfRule>
    <cfRule type="cellIs" dxfId="459" priority="32" operator="equal">
      <formula>"RECEITA"</formula>
    </cfRule>
    <cfRule type="cellIs" dxfId="458" priority="33" operator="equal">
      <formula>"DESPESA"</formula>
    </cfRule>
    <cfRule type="cellIs" dxfId="457" priority="34" operator="equal">
      <formula>"RECEITA"</formula>
    </cfRule>
    <cfRule type="cellIs" dxfId="456" priority="35" operator="equal">
      <formula>"DESPESA"</formula>
    </cfRule>
  </conditionalFormatting>
  <conditionalFormatting sqref="M9">
    <cfRule type="cellIs" dxfId="455" priority="24" operator="equal">
      <formula>"RECEITA"</formula>
    </cfRule>
    <cfRule type="cellIs" dxfId="454" priority="25" operator="equal">
      <formula>"DESPESA"</formula>
    </cfRule>
    <cfRule type="cellIs" dxfId="453" priority="26" operator="equal">
      <formula>"RECEITA"</formula>
    </cfRule>
    <cfRule type="cellIs" dxfId="452" priority="27" operator="equal">
      <formula>"DESPESA"</formula>
    </cfRule>
    <cfRule type="cellIs" dxfId="451" priority="28" operator="equal">
      <formula>"RECEITA"</formula>
    </cfRule>
    <cfRule type="cellIs" dxfId="450" priority="29" operator="equal">
      <formula>"DESPESA"</formula>
    </cfRule>
  </conditionalFormatting>
  <conditionalFormatting sqref="N10">
    <cfRule type="cellIs" dxfId="449" priority="19" operator="greaterThan">
      <formula>0</formula>
    </cfRule>
    <cfRule type="cellIs" dxfId="448" priority="20" operator="greaterThan">
      <formula>0</formula>
    </cfRule>
    <cfRule type="cellIs" dxfId="447" priority="21" operator="greaterThan">
      <formula>0</formula>
    </cfRule>
    <cfRule type="cellIs" dxfId="446" priority="22" operator="lessThan">
      <formula>0</formula>
    </cfRule>
    <cfRule type="cellIs" dxfId="445" priority="23" operator="greaterThan">
      <formula>0</formula>
    </cfRule>
  </conditionalFormatting>
  <conditionalFormatting sqref="E7:E84">
    <cfRule type="cellIs" dxfId="444" priority="7" operator="equal">
      <formula>"RECEITA"</formula>
    </cfRule>
    <cfRule type="cellIs" dxfId="443" priority="8" operator="equal">
      <formula>"DESPESA"</formula>
    </cfRule>
    <cfRule type="cellIs" dxfId="442" priority="9" operator="equal">
      <formula>"RECEITA"</formula>
    </cfRule>
    <cfRule type="cellIs" dxfId="441" priority="10" operator="equal">
      <formula>"DESPESA"</formula>
    </cfRule>
    <cfRule type="cellIs" dxfId="440" priority="11" operator="equal">
      <formula>"RECEITA"</formula>
    </cfRule>
    <cfRule type="cellIs" dxfId="439" priority="12" operator="equal">
      <formula>"DESPESA"</formula>
    </cfRule>
  </conditionalFormatting>
  <conditionalFormatting sqref="D7:D84">
    <cfRule type="cellIs" dxfId="438" priority="3" operator="equal">
      <formula>"RECEITA"</formula>
    </cfRule>
    <cfRule type="cellIs" dxfId="437" priority="4" operator="equal">
      <formula>"DESPESA"</formula>
    </cfRule>
    <cfRule type="cellIs" dxfId="436" priority="5" operator="equal">
      <formula>"RECEITA"</formula>
    </cfRule>
    <cfRule type="cellIs" dxfId="435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94975FD-9F3C-4EE8-A7D6-C57CBC5C4AD7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C3086D67-7AD1-43B6-9E31-C51F1B57EB0D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B1:O84"/>
  <sheetViews>
    <sheetView showGridLines="0" zoomScale="90" zoomScaleNormal="90" workbookViewId="0">
      <selection activeCell="H11" sqref="H11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87" t="s">
        <v>19</v>
      </c>
      <c r="D5" s="87"/>
      <c r="E5" s="87"/>
      <c r="F5" s="87"/>
      <c r="G5" s="87"/>
      <c r="H5" s="8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46143</v>
      </c>
      <c r="D7" s="5" t="s">
        <v>40</v>
      </c>
      <c r="E7" s="5" t="s">
        <v>44</v>
      </c>
      <c r="F7" s="5" t="s">
        <v>5</v>
      </c>
      <c r="G7" s="5"/>
      <c r="H7" s="6">
        <v>1</v>
      </c>
      <c r="I7" s="4">
        <v>46147</v>
      </c>
      <c r="J7" t="str">
        <f>VLOOKUP(D7,'plano de contas'!$O$8:$P$13,2,0)</f>
        <v>REC_SER</v>
      </c>
      <c r="M7" s="86" t="s">
        <v>14</v>
      </c>
      <c r="N7" s="8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46144</v>
      </c>
      <c r="D8" s="5" t="s">
        <v>40</v>
      </c>
      <c r="E8" s="5" t="s">
        <v>44</v>
      </c>
      <c r="F8" s="5" t="s">
        <v>11</v>
      </c>
      <c r="G8" s="5"/>
      <c r="H8" s="6">
        <v>3</v>
      </c>
      <c r="I8" s="4">
        <v>46148</v>
      </c>
      <c r="J8" t="str">
        <f>VLOOKUP(D8,'plano de contas'!$O$8:$P$13,2,0)</f>
        <v>REC_SER</v>
      </c>
      <c r="M8" s="7" t="s">
        <v>3</v>
      </c>
      <c r="N8" s="8">
        <f>'FLUXO DE CAIXA (2)'!G9</f>
        <v>1174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46145</v>
      </c>
      <c r="D9" s="5" t="s">
        <v>40</v>
      </c>
      <c r="E9" s="5" t="s">
        <v>53</v>
      </c>
      <c r="F9" s="5" t="s">
        <v>6</v>
      </c>
      <c r="G9" s="5"/>
      <c r="H9" s="6">
        <v>5</v>
      </c>
      <c r="I9" s="4">
        <v>46149</v>
      </c>
      <c r="J9" t="str">
        <f>VLOOKUP(D9,'plano de contas'!$O$8:$P$13,2,0)</f>
        <v>REC_SER</v>
      </c>
      <c r="M9" s="7" t="s">
        <v>4</v>
      </c>
      <c r="N9" s="8">
        <f>'FLUXO DE CAIXA (2)'!G10</f>
        <v>0</v>
      </c>
      <c r="O9" t="str">
        <f t="shared" si="0"/>
        <v>RECEITAS</v>
      </c>
    </row>
    <row r="10" spans="2:15" ht="30" customHeight="1" x14ac:dyDescent="0.35">
      <c r="C10" s="4">
        <v>46146</v>
      </c>
      <c r="D10" s="5" t="s">
        <v>40</v>
      </c>
      <c r="E10" s="5" t="s">
        <v>44</v>
      </c>
      <c r="F10" s="5" t="s">
        <v>7</v>
      </c>
      <c r="G10" s="5" t="s">
        <v>113</v>
      </c>
      <c r="H10" s="6">
        <v>1100</v>
      </c>
      <c r="I10" s="4">
        <v>46150</v>
      </c>
      <c r="J10" t="str">
        <f>VLOOKUP(D10,'plano de contas'!$O$8:$P$13,2,0)</f>
        <v>REC_SER</v>
      </c>
      <c r="M10" s="9" t="s">
        <v>15</v>
      </c>
      <c r="N10" s="10">
        <f>N8-N9</f>
        <v>1174</v>
      </c>
      <c r="O10" t="str">
        <f t="shared" si="0"/>
        <v>RECEITAS</v>
      </c>
    </row>
    <row r="11" spans="2:15" ht="30" customHeight="1" x14ac:dyDescent="0.25">
      <c r="C11" s="4">
        <v>46147</v>
      </c>
      <c r="D11" s="5" t="s">
        <v>40</v>
      </c>
      <c r="E11" s="5" t="s">
        <v>44</v>
      </c>
      <c r="F11" s="5" t="s">
        <v>8</v>
      </c>
      <c r="G11" s="5"/>
      <c r="H11" s="6">
        <v>9</v>
      </c>
      <c r="I11" s="4">
        <v>46151</v>
      </c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46148</v>
      </c>
      <c r="D12" s="5" t="s">
        <v>40</v>
      </c>
      <c r="E12" s="5" t="s">
        <v>44</v>
      </c>
      <c r="F12" s="5" t="s">
        <v>9</v>
      </c>
      <c r="G12" s="5" t="s">
        <v>113</v>
      </c>
      <c r="H12" s="6">
        <v>11</v>
      </c>
      <c r="I12" s="4">
        <v>46152</v>
      </c>
      <c r="J12" t="str">
        <f>VLOOKUP(D12,'plano de contas'!$O$8:$P$13,2,0)</f>
        <v>REC_SER</v>
      </c>
      <c r="O12" t="str">
        <f t="shared" si="0"/>
        <v>RECEITAS</v>
      </c>
    </row>
    <row r="13" spans="2:15" ht="30" customHeight="1" x14ac:dyDescent="0.25">
      <c r="C13" s="4">
        <v>46149</v>
      </c>
      <c r="D13" s="5" t="s">
        <v>40</v>
      </c>
      <c r="E13" s="5" t="s">
        <v>44</v>
      </c>
      <c r="F13" s="5" t="s">
        <v>12</v>
      </c>
      <c r="G13" s="5"/>
      <c r="H13" s="6">
        <v>13</v>
      </c>
      <c r="I13" s="4">
        <v>46153</v>
      </c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46150</v>
      </c>
      <c r="D14" s="5" t="s">
        <v>40</v>
      </c>
      <c r="E14" s="5" t="s">
        <v>59</v>
      </c>
      <c r="F14" s="5" t="s">
        <v>5</v>
      </c>
      <c r="G14" s="5"/>
      <c r="H14" s="6">
        <v>15</v>
      </c>
      <c r="I14" s="4">
        <v>46154</v>
      </c>
      <c r="J14" t="str">
        <f>VLOOKUP(D14,'plano de contas'!$O$8:$P$13,2,0)</f>
        <v>REC_SER</v>
      </c>
      <c r="O14" t="str">
        <f t="shared" si="0"/>
        <v>RECEITAS</v>
      </c>
    </row>
    <row r="15" spans="2:15" ht="30" customHeight="1" x14ac:dyDescent="0.25">
      <c r="C15" s="4">
        <v>46151</v>
      </c>
      <c r="D15" s="5" t="s">
        <v>40</v>
      </c>
      <c r="E15" s="5" t="s">
        <v>44</v>
      </c>
      <c r="F15" s="5" t="s">
        <v>11</v>
      </c>
      <c r="G15" s="5"/>
      <c r="H15" s="6">
        <v>17</v>
      </c>
      <c r="I15" s="4">
        <v>46155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46152</v>
      </c>
      <c r="D16" s="5" t="s">
        <v>40</v>
      </c>
      <c r="E16" s="5" t="s">
        <v>44</v>
      </c>
      <c r="F16" s="5" t="s">
        <v>6</v>
      </c>
      <c r="G16" s="5"/>
      <c r="H16" s="6">
        <v>0</v>
      </c>
      <c r="I16" s="4">
        <v>46156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46153</v>
      </c>
      <c r="D17" s="5" t="s">
        <v>40</v>
      </c>
      <c r="E17" s="5" t="s">
        <v>51</v>
      </c>
      <c r="F17" s="5" t="s">
        <v>7</v>
      </c>
      <c r="G17" s="5"/>
      <c r="H17" s="6">
        <v>0</v>
      </c>
      <c r="I17" s="4">
        <v>46157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46154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0</v>
      </c>
      <c r="I18" s="4">
        <v>46158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46155</v>
      </c>
      <c r="D19" s="5" t="s">
        <v>40</v>
      </c>
      <c r="E19" s="5" t="s">
        <v>44</v>
      </c>
      <c r="F19" s="5" t="s">
        <v>9</v>
      </c>
      <c r="G19" s="5"/>
      <c r="H19" s="6">
        <v>0</v>
      </c>
      <c r="I19" s="4">
        <v>46159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46156</v>
      </c>
      <c r="D20" s="5" t="s">
        <v>40</v>
      </c>
      <c r="E20" s="5" t="s">
        <v>44</v>
      </c>
      <c r="F20" s="5" t="s">
        <v>10</v>
      </c>
      <c r="G20" s="5"/>
      <c r="H20" s="6">
        <v>0</v>
      </c>
      <c r="I20" s="4">
        <v>46160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46157</v>
      </c>
      <c r="D21" s="5" t="s">
        <v>40</v>
      </c>
      <c r="E21" s="5" t="s">
        <v>44</v>
      </c>
      <c r="F21" s="5" t="s">
        <v>5</v>
      </c>
      <c r="G21" s="5"/>
      <c r="H21" s="6">
        <v>0</v>
      </c>
      <c r="I21" s="4">
        <v>46161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46158</v>
      </c>
      <c r="D22" s="5" t="s">
        <v>40</v>
      </c>
      <c r="E22" s="5" t="s">
        <v>44</v>
      </c>
      <c r="F22" s="5" t="s">
        <v>11</v>
      </c>
      <c r="G22" s="5"/>
      <c r="H22" s="6">
        <v>0</v>
      </c>
      <c r="I22" s="4">
        <v>46162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46159</v>
      </c>
      <c r="D23" s="5" t="s">
        <v>40</v>
      </c>
      <c r="E23" s="5" t="s">
        <v>44</v>
      </c>
      <c r="F23" s="5" t="s">
        <v>6</v>
      </c>
      <c r="G23" s="5"/>
      <c r="H23" s="6">
        <v>0</v>
      </c>
      <c r="I23" s="4">
        <v>46163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46160</v>
      </c>
      <c r="D24" s="5" t="s">
        <v>40</v>
      </c>
      <c r="E24" s="5" t="s">
        <v>44</v>
      </c>
      <c r="F24" s="5" t="s">
        <v>7</v>
      </c>
      <c r="G24" s="5"/>
      <c r="H24" s="6">
        <v>0</v>
      </c>
      <c r="I24" s="4">
        <v>46164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46161</v>
      </c>
      <c r="D25" s="5" t="s">
        <v>40</v>
      </c>
      <c r="E25" s="5" t="s">
        <v>44</v>
      </c>
      <c r="F25" s="5" t="s">
        <v>8</v>
      </c>
      <c r="G25" s="5"/>
      <c r="H25" s="6">
        <v>0</v>
      </c>
      <c r="I25" s="4">
        <v>46165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46162</v>
      </c>
      <c r="D26" s="5" t="s">
        <v>40</v>
      </c>
      <c r="E26" s="5" t="s">
        <v>44</v>
      </c>
      <c r="F26" s="5" t="s">
        <v>16</v>
      </c>
      <c r="G26" s="5"/>
      <c r="H26" s="6">
        <v>0</v>
      </c>
      <c r="I26" s="4">
        <v>46166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46163</v>
      </c>
      <c r="D27" s="5" t="s">
        <v>40</v>
      </c>
      <c r="E27" s="5" t="s">
        <v>44</v>
      </c>
      <c r="F27" s="5" t="s">
        <v>17</v>
      </c>
      <c r="G27" s="5"/>
      <c r="H27" s="6">
        <v>0</v>
      </c>
      <c r="I27" s="4">
        <v>46167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46164</v>
      </c>
      <c r="D28" s="5" t="s">
        <v>40</v>
      </c>
      <c r="E28" s="5" t="s">
        <v>44</v>
      </c>
      <c r="F28" s="5" t="s">
        <v>18</v>
      </c>
      <c r="G28" s="5"/>
      <c r="H28" s="6">
        <v>0</v>
      </c>
      <c r="I28" s="4">
        <v>46168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46165</v>
      </c>
      <c r="D29" s="5" t="s">
        <v>40</v>
      </c>
      <c r="E29" s="5" t="s">
        <v>44</v>
      </c>
      <c r="F29" s="5" t="s">
        <v>18</v>
      </c>
      <c r="G29" s="5"/>
      <c r="H29" s="6">
        <v>0</v>
      </c>
      <c r="I29" s="4">
        <v>46169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46166</v>
      </c>
      <c r="D30" s="5" t="s">
        <v>40</v>
      </c>
      <c r="E30" s="5" t="s">
        <v>44</v>
      </c>
      <c r="F30" s="5" t="s">
        <v>18</v>
      </c>
      <c r="G30" s="5"/>
      <c r="H30" s="6">
        <v>0</v>
      </c>
      <c r="I30" s="4">
        <v>46170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46167</v>
      </c>
      <c r="D31" s="5" t="s">
        <v>40</v>
      </c>
      <c r="E31" s="5" t="s">
        <v>44</v>
      </c>
      <c r="F31" s="5" t="s">
        <v>18</v>
      </c>
      <c r="G31" s="5"/>
      <c r="H31" s="6">
        <v>0</v>
      </c>
      <c r="I31" s="4">
        <v>46171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46168</v>
      </c>
      <c r="D32" s="5" t="s">
        <v>40</v>
      </c>
      <c r="E32" s="5" t="s">
        <v>44</v>
      </c>
      <c r="F32" s="5" t="s">
        <v>18</v>
      </c>
      <c r="G32" s="5"/>
      <c r="H32" s="6">
        <v>0</v>
      </c>
      <c r="I32" s="4">
        <v>46172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46169</v>
      </c>
      <c r="D33" s="5" t="s">
        <v>40</v>
      </c>
      <c r="E33" s="5" t="s">
        <v>44</v>
      </c>
      <c r="F33" s="5" t="s">
        <v>18</v>
      </c>
      <c r="G33" s="5"/>
      <c r="H33" s="6">
        <v>0</v>
      </c>
      <c r="I33" s="4">
        <v>46173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46170</v>
      </c>
      <c r="D34" s="5" t="s">
        <v>40</v>
      </c>
      <c r="E34" s="5" t="s">
        <v>44</v>
      </c>
      <c r="F34" s="5" t="s">
        <v>18</v>
      </c>
      <c r="G34" s="5"/>
      <c r="H34" s="6">
        <v>0</v>
      </c>
      <c r="I34" s="4">
        <v>46174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46171</v>
      </c>
      <c r="D35" s="5" t="s">
        <v>40</v>
      </c>
      <c r="E35" s="5" t="s">
        <v>44</v>
      </c>
      <c r="F35" s="5" t="s">
        <v>18</v>
      </c>
      <c r="G35" s="5"/>
      <c r="H35" s="6">
        <v>0</v>
      </c>
      <c r="I35" s="4">
        <v>46175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46172</v>
      </c>
      <c r="D36" s="5" t="s">
        <v>40</v>
      </c>
      <c r="E36" s="5" t="s">
        <v>44</v>
      </c>
      <c r="F36" s="5" t="s">
        <v>18</v>
      </c>
      <c r="G36" s="5"/>
      <c r="H36" s="6">
        <v>0</v>
      </c>
      <c r="I36" s="4">
        <v>46176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46173</v>
      </c>
      <c r="D37" s="5" t="s">
        <v>40</v>
      </c>
      <c r="E37" s="5" t="s">
        <v>44</v>
      </c>
      <c r="F37" s="5" t="s">
        <v>18</v>
      </c>
      <c r="G37" s="5"/>
      <c r="H37" s="6">
        <v>0</v>
      </c>
      <c r="I37" s="4">
        <v>46177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46174</v>
      </c>
      <c r="D38" s="5" t="s">
        <v>40</v>
      </c>
      <c r="E38" s="5" t="s">
        <v>44</v>
      </c>
      <c r="F38" s="5" t="s">
        <v>18</v>
      </c>
      <c r="G38" s="5"/>
      <c r="H38" s="6">
        <v>0</v>
      </c>
      <c r="I38" s="4">
        <v>46178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46175</v>
      </c>
      <c r="D39" s="5" t="s">
        <v>40</v>
      </c>
      <c r="E39" s="5" t="s">
        <v>44</v>
      </c>
      <c r="F39" s="5" t="s">
        <v>18</v>
      </c>
      <c r="G39" s="5"/>
      <c r="H39" s="6">
        <v>0</v>
      </c>
      <c r="I39" s="4">
        <v>46179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46176</v>
      </c>
      <c r="D40" s="5" t="s">
        <v>40</v>
      </c>
      <c r="E40" s="5" t="s">
        <v>44</v>
      </c>
      <c r="F40" s="5" t="s">
        <v>18</v>
      </c>
      <c r="G40" s="5"/>
      <c r="H40" s="6">
        <v>0</v>
      </c>
      <c r="I40" s="4">
        <v>46180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46177</v>
      </c>
      <c r="D41" s="5" t="s">
        <v>40</v>
      </c>
      <c r="E41" s="5" t="s">
        <v>44</v>
      </c>
      <c r="F41" s="5" t="s">
        <v>18</v>
      </c>
      <c r="G41" s="5"/>
      <c r="H41" s="6">
        <v>0</v>
      </c>
      <c r="I41" s="4">
        <v>46181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46178</v>
      </c>
      <c r="D42" s="5" t="s">
        <v>40</v>
      </c>
      <c r="E42" s="5" t="s">
        <v>44</v>
      </c>
      <c r="F42" s="5" t="s">
        <v>18</v>
      </c>
      <c r="G42" s="5"/>
      <c r="H42" s="6">
        <v>0</v>
      </c>
      <c r="I42" s="4">
        <v>46182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46179</v>
      </c>
      <c r="D43" s="5" t="s">
        <v>40</v>
      </c>
      <c r="E43" s="5" t="s">
        <v>44</v>
      </c>
      <c r="F43" s="5" t="s">
        <v>18</v>
      </c>
      <c r="G43" s="5"/>
      <c r="H43" s="6">
        <v>0</v>
      </c>
      <c r="I43" s="4">
        <v>46183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46180</v>
      </c>
      <c r="D44" s="5" t="s">
        <v>40</v>
      </c>
      <c r="E44" s="5" t="s">
        <v>44</v>
      </c>
      <c r="F44" s="5" t="s">
        <v>18</v>
      </c>
      <c r="G44" s="5"/>
      <c r="H44" s="6">
        <v>0</v>
      </c>
      <c r="I44" s="4">
        <v>46184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46181</v>
      </c>
      <c r="D45" s="5" t="s">
        <v>40</v>
      </c>
      <c r="E45" s="5" t="s">
        <v>44</v>
      </c>
      <c r="F45" s="5" t="s">
        <v>18</v>
      </c>
      <c r="G45" s="5"/>
      <c r="H45" s="6">
        <v>0</v>
      </c>
      <c r="I45" s="4">
        <v>46185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46182</v>
      </c>
      <c r="D46" s="5" t="s">
        <v>40</v>
      </c>
      <c r="E46" s="5" t="s">
        <v>44</v>
      </c>
      <c r="F46" s="5" t="s">
        <v>18</v>
      </c>
      <c r="G46" s="5"/>
      <c r="H46" s="6">
        <v>0</v>
      </c>
      <c r="I46" s="4">
        <v>46186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46183</v>
      </c>
      <c r="D47" s="5" t="s">
        <v>40</v>
      </c>
      <c r="E47" s="5" t="s">
        <v>44</v>
      </c>
      <c r="F47" s="5" t="s">
        <v>18</v>
      </c>
      <c r="G47" s="5"/>
      <c r="H47" s="6">
        <v>0</v>
      </c>
      <c r="I47" s="4">
        <v>46187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46184</v>
      </c>
      <c r="D48" s="5" t="s">
        <v>40</v>
      </c>
      <c r="E48" s="5" t="s">
        <v>44</v>
      </c>
      <c r="F48" s="5" t="s">
        <v>18</v>
      </c>
      <c r="G48" s="5"/>
      <c r="H48" s="6">
        <v>0</v>
      </c>
      <c r="I48" s="4">
        <v>46188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46185</v>
      </c>
      <c r="D49" s="5" t="s">
        <v>40</v>
      </c>
      <c r="E49" s="5" t="s">
        <v>44</v>
      </c>
      <c r="F49" s="5" t="s">
        <v>18</v>
      </c>
      <c r="G49" s="5"/>
      <c r="H49" s="6">
        <v>0</v>
      </c>
      <c r="I49" s="4">
        <v>46189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46186</v>
      </c>
      <c r="D50" s="5" t="s">
        <v>40</v>
      </c>
      <c r="E50" s="5" t="s">
        <v>44</v>
      </c>
      <c r="F50" s="5" t="s">
        <v>18</v>
      </c>
      <c r="G50" s="5"/>
      <c r="H50" s="6">
        <v>0</v>
      </c>
      <c r="I50" s="4">
        <v>46190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46187</v>
      </c>
      <c r="D51" s="5" t="s">
        <v>40</v>
      </c>
      <c r="E51" s="5" t="s">
        <v>44</v>
      </c>
      <c r="F51" s="5" t="s">
        <v>18</v>
      </c>
      <c r="G51" s="5"/>
      <c r="H51" s="6">
        <v>0</v>
      </c>
      <c r="I51" s="4">
        <v>46191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46188</v>
      </c>
      <c r="D52" s="5" t="s">
        <v>40</v>
      </c>
      <c r="E52" s="5" t="s">
        <v>44</v>
      </c>
      <c r="F52" s="5" t="s">
        <v>18</v>
      </c>
      <c r="G52" s="5"/>
      <c r="H52" s="6">
        <v>0</v>
      </c>
      <c r="I52" s="4">
        <v>46192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46189</v>
      </c>
      <c r="D53" s="5" t="s">
        <v>40</v>
      </c>
      <c r="E53" s="5" t="s">
        <v>44</v>
      </c>
      <c r="F53" s="5" t="s">
        <v>18</v>
      </c>
      <c r="G53" s="5"/>
      <c r="H53" s="6">
        <v>0</v>
      </c>
      <c r="I53" s="4">
        <v>46193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46190</v>
      </c>
      <c r="D54" s="5" t="s">
        <v>40</v>
      </c>
      <c r="E54" s="5" t="s">
        <v>44</v>
      </c>
      <c r="F54" s="5" t="s">
        <v>18</v>
      </c>
      <c r="G54" s="5"/>
      <c r="H54" s="6">
        <v>0</v>
      </c>
      <c r="I54" s="4">
        <v>46194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46191</v>
      </c>
      <c r="D55" s="5" t="s">
        <v>40</v>
      </c>
      <c r="E55" s="5" t="s">
        <v>44</v>
      </c>
      <c r="F55" s="5" t="s">
        <v>18</v>
      </c>
      <c r="G55" s="5"/>
      <c r="H55" s="6">
        <v>0</v>
      </c>
      <c r="I55" s="4">
        <v>46195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46192</v>
      </c>
      <c r="D56" s="5" t="s">
        <v>40</v>
      </c>
      <c r="E56" s="5" t="s">
        <v>44</v>
      </c>
      <c r="F56" s="5" t="s">
        <v>18</v>
      </c>
      <c r="G56" s="5"/>
      <c r="H56" s="6">
        <v>0</v>
      </c>
      <c r="I56" s="4">
        <v>46196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46193</v>
      </c>
      <c r="D57" s="5" t="s">
        <v>40</v>
      </c>
      <c r="E57" s="5" t="s">
        <v>44</v>
      </c>
      <c r="F57" s="5" t="s">
        <v>18</v>
      </c>
      <c r="G57" s="5"/>
      <c r="H57" s="6">
        <v>0</v>
      </c>
      <c r="I57" s="4">
        <v>46197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46194</v>
      </c>
      <c r="D58" s="5" t="s">
        <v>40</v>
      </c>
      <c r="E58" s="5" t="s">
        <v>44</v>
      </c>
      <c r="F58" s="5" t="s">
        <v>18</v>
      </c>
      <c r="G58" s="5"/>
      <c r="H58" s="6">
        <v>0</v>
      </c>
      <c r="I58" s="4">
        <v>46198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46195</v>
      </c>
      <c r="D59" s="5" t="s">
        <v>40</v>
      </c>
      <c r="E59" s="5" t="s">
        <v>44</v>
      </c>
      <c r="F59" s="5" t="s">
        <v>18</v>
      </c>
      <c r="G59" s="5"/>
      <c r="H59" s="6">
        <v>0</v>
      </c>
      <c r="I59" s="4">
        <v>46199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46196</v>
      </c>
      <c r="D60" s="5" t="s">
        <v>40</v>
      </c>
      <c r="E60" s="5" t="s">
        <v>44</v>
      </c>
      <c r="F60" s="5" t="s">
        <v>18</v>
      </c>
      <c r="G60" s="5"/>
      <c r="H60" s="6">
        <v>0</v>
      </c>
      <c r="I60" s="4">
        <v>46200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46197</v>
      </c>
      <c r="D61" s="5" t="s">
        <v>40</v>
      </c>
      <c r="E61" s="5" t="s">
        <v>44</v>
      </c>
      <c r="F61" s="5" t="s">
        <v>18</v>
      </c>
      <c r="G61" s="5"/>
      <c r="H61" s="6">
        <v>0</v>
      </c>
      <c r="I61" s="4">
        <v>46201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46198</v>
      </c>
      <c r="D62" s="5" t="s">
        <v>40</v>
      </c>
      <c r="E62" s="5" t="s">
        <v>44</v>
      </c>
      <c r="F62" s="5" t="s">
        <v>18</v>
      </c>
      <c r="G62" s="5"/>
      <c r="H62" s="6">
        <v>0</v>
      </c>
      <c r="I62" s="4">
        <v>46202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46199</v>
      </c>
      <c r="D63" s="5" t="s">
        <v>40</v>
      </c>
      <c r="E63" s="5" t="s">
        <v>44</v>
      </c>
      <c r="F63" s="5" t="s">
        <v>18</v>
      </c>
      <c r="G63" s="5"/>
      <c r="H63" s="6">
        <v>0</v>
      </c>
      <c r="I63" s="4">
        <v>46203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46200</v>
      </c>
      <c r="D64" s="5" t="s">
        <v>40</v>
      </c>
      <c r="E64" s="5" t="s">
        <v>44</v>
      </c>
      <c r="F64" s="5" t="s">
        <v>18</v>
      </c>
      <c r="G64" s="5"/>
      <c r="H64" s="6">
        <v>0</v>
      </c>
      <c r="I64" s="4">
        <v>46204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46201</v>
      </c>
      <c r="D65" s="5" t="s">
        <v>40</v>
      </c>
      <c r="E65" s="5" t="s">
        <v>44</v>
      </c>
      <c r="F65" s="5" t="s">
        <v>18</v>
      </c>
      <c r="G65" s="5"/>
      <c r="H65" s="6">
        <v>0</v>
      </c>
      <c r="I65" s="4">
        <v>46205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46202</v>
      </c>
      <c r="D66" s="5" t="s">
        <v>40</v>
      </c>
      <c r="E66" s="5" t="s">
        <v>44</v>
      </c>
      <c r="F66" s="5" t="s">
        <v>18</v>
      </c>
      <c r="G66" s="5"/>
      <c r="H66" s="6">
        <v>0</v>
      </c>
      <c r="I66" s="4">
        <v>46206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46203</v>
      </c>
      <c r="D67" s="5" t="s">
        <v>40</v>
      </c>
      <c r="E67" s="5" t="s">
        <v>44</v>
      </c>
      <c r="F67" s="5" t="s">
        <v>18</v>
      </c>
      <c r="G67" s="5"/>
      <c r="H67" s="6">
        <v>0</v>
      </c>
      <c r="I67" s="4">
        <v>46207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46204</v>
      </c>
      <c r="D68" s="5" t="s">
        <v>40</v>
      </c>
      <c r="E68" s="5" t="s">
        <v>44</v>
      </c>
      <c r="F68" s="5" t="s">
        <v>18</v>
      </c>
      <c r="G68" s="5"/>
      <c r="H68" s="6">
        <v>0</v>
      </c>
      <c r="I68" s="4">
        <v>46208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46205</v>
      </c>
      <c r="D69" s="5" t="s">
        <v>40</v>
      </c>
      <c r="E69" s="5" t="s">
        <v>44</v>
      </c>
      <c r="F69" s="5" t="s">
        <v>18</v>
      </c>
      <c r="G69" s="5"/>
      <c r="H69" s="6">
        <v>0</v>
      </c>
      <c r="I69" s="4">
        <v>46209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46206</v>
      </c>
      <c r="D70" s="5" t="s">
        <v>40</v>
      </c>
      <c r="E70" s="5" t="s">
        <v>44</v>
      </c>
      <c r="F70" s="5" t="s">
        <v>18</v>
      </c>
      <c r="G70" s="5"/>
      <c r="H70" s="6">
        <v>0</v>
      </c>
      <c r="I70" s="4">
        <v>46210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46207</v>
      </c>
      <c r="D71" s="5" t="s">
        <v>40</v>
      </c>
      <c r="E71" s="5" t="s">
        <v>44</v>
      </c>
      <c r="F71" s="5" t="s">
        <v>18</v>
      </c>
      <c r="G71" s="5"/>
      <c r="H71" s="6">
        <v>0</v>
      </c>
      <c r="I71" s="4">
        <v>46211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46208</v>
      </c>
      <c r="D72" s="5" t="s">
        <v>40</v>
      </c>
      <c r="E72" s="5" t="s">
        <v>44</v>
      </c>
      <c r="F72" s="5" t="s">
        <v>18</v>
      </c>
      <c r="G72" s="5"/>
      <c r="H72" s="6">
        <v>0</v>
      </c>
      <c r="I72" s="4">
        <v>46212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46209</v>
      </c>
      <c r="D73" s="5" t="s">
        <v>40</v>
      </c>
      <c r="E73" s="5" t="s">
        <v>44</v>
      </c>
      <c r="F73" s="5" t="s">
        <v>18</v>
      </c>
      <c r="G73" s="5"/>
      <c r="H73" s="6">
        <v>0</v>
      </c>
      <c r="I73" s="4">
        <v>46213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46210</v>
      </c>
      <c r="D74" s="5" t="s">
        <v>40</v>
      </c>
      <c r="E74" s="5" t="s">
        <v>44</v>
      </c>
      <c r="F74" s="5" t="s">
        <v>18</v>
      </c>
      <c r="G74" s="5"/>
      <c r="H74" s="6">
        <v>0</v>
      </c>
      <c r="I74" s="4">
        <v>46214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46211</v>
      </c>
      <c r="D75" s="5" t="s">
        <v>40</v>
      </c>
      <c r="E75" s="5" t="s">
        <v>44</v>
      </c>
      <c r="F75" s="5" t="s">
        <v>18</v>
      </c>
      <c r="G75" s="5"/>
      <c r="H75" s="6">
        <v>0</v>
      </c>
      <c r="I75" s="4">
        <v>46215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46212</v>
      </c>
      <c r="D76" s="5" t="s">
        <v>40</v>
      </c>
      <c r="E76" s="5" t="s">
        <v>44</v>
      </c>
      <c r="F76" s="5" t="s">
        <v>18</v>
      </c>
      <c r="G76" s="5"/>
      <c r="H76" s="6">
        <v>0</v>
      </c>
      <c r="I76" s="4">
        <v>46216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46213</v>
      </c>
      <c r="D77" s="5" t="s">
        <v>40</v>
      </c>
      <c r="E77" s="5" t="s">
        <v>44</v>
      </c>
      <c r="F77" s="5" t="s">
        <v>18</v>
      </c>
      <c r="G77" s="5"/>
      <c r="H77" s="6">
        <v>0</v>
      </c>
      <c r="I77" s="4">
        <v>46217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46214</v>
      </c>
      <c r="D78" s="5" t="s">
        <v>40</v>
      </c>
      <c r="E78" s="5" t="s">
        <v>44</v>
      </c>
      <c r="F78" s="5" t="s">
        <v>18</v>
      </c>
      <c r="G78" s="5"/>
      <c r="H78" s="6">
        <v>0</v>
      </c>
      <c r="I78" s="4">
        <v>46218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46215</v>
      </c>
      <c r="D79" s="5" t="s">
        <v>40</v>
      </c>
      <c r="E79" s="5" t="s">
        <v>44</v>
      </c>
      <c r="F79" s="5" t="s">
        <v>18</v>
      </c>
      <c r="G79" s="5"/>
      <c r="H79" s="6">
        <v>0</v>
      </c>
      <c r="I79" s="4">
        <v>46219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46216</v>
      </c>
      <c r="D80" s="5" t="s">
        <v>40</v>
      </c>
      <c r="E80" s="5" t="s">
        <v>44</v>
      </c>
      <c r="F80" s="5" t="s">
        <v>18</v>
      </c>
      <c r="G80" s="5" t="s">
        <v>113</v>
      </c>
      <c r="H80" s="6">
        <v>0</v>
      </c>
      <c r="I80" s="4">
        <v>46220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46217</v>
      </c>
      <c r="D81" s="5" t="s">
        <v>40</v>
      </c>
      <c r="E81" s="5" t="s">
        <v>44</v>
      </c>
      <c r="F81" s="5" t="s">
        <v>18</v>
      </c>
      <c r="G81" s="5"/>
      <c r="H81" s="6">
        <v>0</v>
      </c>
      <c r="I81" s="4">
        <v>46221</v>
      </c>
      <c r="J81" t="str">
        <f>VLOOKUP(D81,'plano de contas'!$O$8:$P$13,2,0)</f>
        <v>REC_SER</v>
      </c>
      <c r="O81" t="str">
        <f t="shared" si="1"/>
        <v>RECEITAS</v>
      </c>
    </row>
    <row r="82" spans="3:15" x14ac:dyDescent="0.25">
      <c r="C82" s="4">
        <v>46218</v>
      </c>
      <c r="D82" s="5" t="s">
        <v>40</v>
      </c>
      <c r="E82" s="5" t="s">
        <v>44</v>
      </c>
      <c r="F82" s="5" t="s">
        <v>18</v>
      </c>
      <c r="G82" s="5"/>
      <c r="H82" s="6">
        <v>0</v>
      </c>
      <c r="I82" s="4">
        <v>46222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46219</v>
      </c>
      <c r="D83" s="5" t="s">
        <v>40</v>
      </c>
      <c r="E83" s="5" t="s">
        <v>44</v>
      </c>
      <c r="F83" s="5" t="s">
        <v>18</v>
      </c>
      <c r="G83" s="5"/>
      <c r="H83" s="6">
        <v>0</v>
      </c>
      <c r="I83" s="4">
        <v>46223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46220</v>
      </c>
      <c r="D84" s="5" t="s">
        <v>40</v>
      </c>
      <c r="E84" s="5" t="s">
        <v>44</v>
      </c>
      <c r="F84" s="5" t="s">
        <v>18</v>
      </c>
      <c r="G84" s="5"/>
      <c r="H84" s="6">
        <v>0</v>
      </c>
      <c r="I84" s="4">
        <v>46224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5:G1048576">
    <cfRule type="cellIs" dxfId="432" priority="36" operator="equal">
      <formula>"RECEITA"</formula>
    </cfRule>
    <cfRule type="cellIs" dxfId="431" priority="37" operator="equal">
      <formula>"DESPESA"</formula>
    </cfRule>
    <cfRule type="cellIs" dxfId="430" priority="38" operator="equal">
      <formula>"RECEITA"</formula>
    </cfRule>
    <cfRule type="cellIs" dxfId="429" priority="39" operator="equal">
      <formula>"DESPESA"</formula>
    </cfRule>
    <cfRule type="cellIs" dxfId="428" priority="40" operator="equal">
      <formula>"RECEITA"</formula>
    </cfRule>
    <cfRule type="cellIs" dxfId="427" priority="41" operator="equal">
      <formula>"DESPESA"</formula>
    </cfRule>
  </conditionalFormatting>
  <conditionalFormatting sqref="M8">
    <cfRule type="cellIs" dxfId="426" priority="30" operator="equal">
      <formula>"RECEITA"</formula>
    </cfRule>
    <cfRule type="cellIs" dxfId="425" priority="31" operator="equal">
      <formula>"DESPESA"</formula>
    </cfRule>
    <cfRule type="cellIs" dxfId="424" priority="32" operator="equal">
      <formula>"RECEITA"</formula>
    </cfRule>
    <cfRule type="cellIs" dxfId="423" priority="33" operator="equal">
      <formula>"DESPESA"</formula>
    </cfRule>
    <cfRule type="cellIs" dxfId="422" priority="34" operator="equal">
      <formula>"RECEITA"</formula>
    </cfRule>
    <cfRule type="cellIs" dxfId="421" priority="35" operator="equal">
      <formula>"DESPESA"</formula>
    </cfRule>
  </conditionalFormatting>
  <conditionalFormatting sqref="M9">
    <cfRule type="cellIs" dxfId="420" priority="24" operator="equal">
      <formula>"RECEITA"</formula>
    </cfRule>
    <cfRule type="cellIs" dxfId="419" priority="25" operator="equal">
      <formula>"DESPESA"</formula>
    </cfRule>
    <cfRule type="cellIs" dxfId="418" priority="26" operator="equal">
      <formula>"RECEITA"</formula>
    </cfRule>
    <cfRule type="cellIs" dxfId="417" priority="27" operator="equal">
      <formula>"DESPESA"</formula>
    </cfRule>
    <cfRule type="cellIs" dxfId="416" priority="28" operator="equal">
      <formula>"RECEITA"</formula>
    </cfRule>
    <cfRule type="cellIs" dxfId="415" priority="29" operator="equal">
      <formula>"DESPESA"</formula>
    </cfRule>
  </conditionalFormatting>
  <conditionalFormatting sqref="N10">
    <cfRule type="cellIs" dxfId="414" priority="19" operator="greaterThan">
      <formula>0</formula>
    </cfRule>
    <cfRule type="cellIs" dxfId="413" priority="20" operator="greaterThan">
      <formula>0</formula>
    </cfRule>
    <cfRule type="cellIs" dxfId="412" priority="21" operator="greaterThan">
      <formula>0</formula>
    </cfRule>
    <cfRule type="cellIs" dxfId="411" priority="22" operator="lessThan">
      <formula>0</formula>
    </cfRule>
    <cfRule type="cellIs" dxfId="410" priority="23" operator="greaterThan">
      <formula>0</formula>
    </cfRule>
  </conditionalFormatting>
  <conditionalFormatting sqref="E7:E84">
    <cfRule type="cellIs" dxfId="409" priority="7" operator="equal">
      <formula>"RECEITA"</formula>
    </cfRule>
    <cfRule type="cellIs" dxfId="408" priority="8" operator="equal">
      <formula>"DESPESA"</formula>
    </cfRule>
    <cfRule type="cellIs" dxfId="407" priority="9" operator="equal">
      <formula>"RECEITA"</formula>
    </cfRule>
    <cfRule type="cellIs" dxfId="406" priority="10" operator="equal">
      <formula>"DESPESA"</formula>
    </cfRule>
    <cfRule type="cellIs" dxfId="405" priority="11" operator="equal">
      <formula>"RECEITA"</formula>
    </cfRule>
    <cfRule type="cellIs" dxfId="404" priority="12" operator="equal">
      <formula>"DESPESA"</formula>
    </cfRule>
  </conditionalFormatting>
  <conditionalFormatting sqref="D7:D84">
    <cfRule type="cellIs" dxfId="403" priority="3" operator="equal">
      <formula>"RECEITA"</formula>
    </cfRule>
    <cfRule type="cellIs" dxfId="402" priority="4" operator="equal">
      <formula>"DESPESA"</formula>
    </cfRule>
    <cfRule type="cellIs" dxfId="401" priority="5" operator="equal">
      <formula>"RECEITA"</formula>
    </cfRule>
    <cfRule type="cellIs" dxfId="400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9F884FE-EA2C-44A0-9AE8-490A7865B34B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1F5D035D-4EFD-4B7F-A7EC-38C14163A793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B1:O84"/>
  <sheetViews>
    <sheetView showGridLines="0" topLeftCell="I1" zoomScale="90" zoomScaleNormal="9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87" t="s">
        <v>19</v>
      </c>
      <c r="D5" s="87"/>
      <c r="E5" s="87"/>
      <c r="F5" s="87"/>
      <c r="G5" s="87"/>
      <c r="H5" s="8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46174</v>
      </c>
      <c r="D7" s="5" t="s">
        <v>40</v>
      </c>
      <c r="E7" s="5" t="s">
        <v>44</v>
      </c>
      <c r="F7" s="5" t="s">
        <v>5</v>
      </c>
      <c r="G7" s="5"/>
      <c r="H7" s="6">
        <v>2</v>
      </c>
      <c r="I7" s="4">
        <v>46307</v>
      </c>
      <c r="J7" t="str">
        <f>VLOOKUP(D7,'plano de contas'!$O$8:$P$13,2,0)</f>
        <v>REC_SER</v>
      </c>
      <c r="M7" s="86" t="s">
        <v>14</v>
      </c>
      <c r="N7" s="8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46175</v>
      </c>
      <c r="D8" s="5" t="s">
        <v>41</v>
      </c>
      <c r="E8" s="5" t="s">
        <v>44</v>
      </c>
      <c r="F8" s="5" t="s">
        <v>11</v>
      </c>
      <c r="G8" s="5"/>
      <c r="H8" s="6">
        <v>3</v>
      </c>
      <c r="I8" s="4">
        <v>46308</v>
      </c>
      <c r="J8" t="str">
        <f>VLOOKUP(D8,'plano de contas'!$O$8:$P$13,2,0)</f>
        <v>DESP_PROD</v>
      </c>
      <c r="M8" s="7" t="s">
        <v>3</v>
      </c>
      <c r="N8" s="8">
        <f>'FLUXO DE CAIXA (2)'!H9</f>
        <v>0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46176</v>
      </c>
      <c r="D9" s="5" t="s">
        <v>42</v>
      </c>
      <c r="E9" s="5" t="s">
        <v>53</v>
      </c>
      <c r="F9" s="5" t="s">
        <v>6</v>
      </c>
      <c r="G9" s="5"/>
      <c r="H9" s="6">
        <v>5</v>
      </c>
      <c r="I9" s="4">
        <v>46309</v>
      </c>
      <c r="J9" t="str">
        <f>VLOOKUP(D9,'plano de contas'!$O$8:$P$13,2,0)</f>
        <v>DESP_RH</v>
      </c>
      <c r="M9" s="7" t="s">
        <v>4</v>
      </c>
      <c r="N9" s="8">
        <f>'FLUXO DE CAIXA (2)'!H10</f>
        <v>0</v>
      </c>
      <c r="O9" t="str">
        <f t="shared" si="0"/>
        <v>DESPESAS</v>
      </c>
    </row>
    <row r="10" spans="2:15" ht="30" customHeight="1" x14ac:dyDescent="0.35">
      <c r="C10" s="4">
        <v>46177</v>
      </c>
      <c r="D10" s="5" t="s">
        <v>41</v>
      </c>
      <c r="E10" s="5" t="s">
        <v>44</v>
      </c>
      <c r="F10" s="5" t="s">
        <v>7</v>
      </c>
      <c r="G10" s="5"/>
      <c r="H10" s="6">
        <v>6.3333333333333304</v>
      </c>
      <c r="I10" s="4">
        <v>46310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46178</v>
      </c>
      <c r="D11" s="5" t="s">
        <v>41</v>
      </c>
      <c r="E11" s="5" t="s">
        <v>44</v>
      </c>
      <c r="F11" s="5" t="s">
        <v>8</v>
      </c>
      <c r="G11" s="5"/>
      <c r="H11" s="6">
        <v>7.8333333333333304</v>
      </c>
      <c r="I11" s="4">
        <v>46311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46179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9.3333333333333304</v>
      </c>
      <c r="I12" s="4">
        <v>46312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46180</v>
      </c>
      <c r="D13" s="5" t="s">
        <v>41</v>
      </c>
      <c r="E13" s="5" t="s">
        <v>44</v>
      </c>
      <c r="F13" s="5" t="s">
        <v>12</v>
      </c>
      <c r="G13" s="5"/>
      <c r="H13" s="6">
        <v>10.8333333333333</v>
      </c>
      <c r="I13" s="4">
        <v>46313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46181</v>
      </c>
      <c r="D14" s="5" t="s">
        <v>42</v>
      </c>
      <c r="E14" s="5" t="s">
        <v>59</v>
      </c>
      <c r="F14" s="5" t="s">
        <v>5</v>
      </c>
      <c r="G14" s="5"/>
      <c r="H14" s="6">
        <v>12.3333333333333</v>
      </c>
      <c r="I14" s="4">
        <v>46314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46182</v>
      </c>
      <c r="D15" s="5" t="s">
        <v>40</v>
      </c>
      <c r="E15" s="5" t="s">
        <v>44</v>
      </c>
      <c r="F15" s="5" t="s">
        <v>11</v>
      </c>
      <c r="G15" s="5"/>
      <c r="H15" s="6">
        <v>13.8333333333333</v>
      </c>
      <c r="I15" s="4">
        <v>46315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46183</v>
      </c>
      <c r="D16" s="5" t="s">
        <v>76</v>
      </c>
      <c r="E16" s="5" t="s">
        <v>44</v>
      </c>
      <c r="F16" s="5" t="s">
        <v>6</v>
      </c>
      <c r="G16" s="5"/>
      <c r="H16" s="6">
        <v>15.3333333333333</v>
      </c>
      <c r="I16" s="4">
        <v>46316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46184</v>
      </c>
      <c r="D17" s="5" t="s">
        <v>43</v>
      </c>
      <c r="E17" s="5" t="s">
        <v>51</v>
      </c>
      <c r="F17" s="5" t="s">
        <v>7</v>
      </c>
      <c r="G17" s="5"/>
      <c r="H17" s="6">
        <v>16.8333333333333</v>
      </c>
      <c r="I17" s="4">
        <v>46317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46185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18.3333333333333</v>
      </c>
      <c r="I18" s="4">
        <v>46318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46186</v>
      </c>
      <c r="D19" s="5" t="s">
        <v>41</v>
      </c>
      <c r="E19" s="5" t="s">
        <v>44</v>
      </c>
      <c r="F19" s="5" t="s">
        <v>9</v>
      </c>
      <c r="G19" s="5"/>
      <c r="H19" s="6">
        <v>19.8333333333333</v>
      </c>
      <c r="I19" s="4">
        <v>46319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46187</v>
      </c>
      <c r="D20" s="5" t="s">
        <v>41</v>
      </c>
      <c r="E20" s="5" t="s">
        <v>44</v>
      </c>
      <c r="F20" s="5" t="s">
        <v>10</v>
      </c>
      <c r="G20" s="5"/>
      <c r="H20" s="6">
        <v>21.3333333333333</v>
      </c>
      <c r="I20" s="4">
        <v>46320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46188</v>
      </c>
      <c r="D21" s="5" t="s">
        <v>41</v>
      </c>
      <c r="E21" s="5" t="s">
        <v>44</v>
      </c>
      <c r="F21" s="5" t="s">
        <v>5</v>
      </c>
      <c r="G21" s="5"/>
      <c r="H21" s="6">
        <v>22.8333333333333</v>
      </c>
      <c r="I21" s="4">
        <v>46321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46189</v>
      </c>
      <c r="D22" s="5" t="s">
        <v>41</v>
      </c>
      <c r="E22" s="5" t="s">
        <v>44</v>
      </c>
      <c r="F22" s="5" t="s">
        <v>11</v>
      </c>
      <c r="G22" s="5"/>
      <c r="H22" s="6">
        <v>24.3333333333333</v>
      </c>
      <c r="I22" s="4">
        <v>46322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46190</v>
      </c>
      <c r="D23" s="5" t="s">
        <v>41</v>
      </c>
      <c r="E23" s="5" t="s">
        <v>44</v>
      </c>
      <c r="F23" s="5" t="s">
        <v>6</v>
      </c>
      <c r="G23" s="5"/>
      <c r="H23" s="6">
        <v>25.8333333333333</v>
      </c>
      <c r="I23" s="4">
        <v>46323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46191</v>
      </c>
      <c r="D24" s="5" t="s">
        <v>41</v>
      </c>
      <c r="E24" s="5" t="s">
        <v>44</v>
      </c>
      <c r="F24" s="5" t="s">
        <v>7</v>
      </c>
      <c r="G24" s="5"/>
      <c r="H24" s="6">
        <v>27.3333333333333</v>
      </c>
      <c r="I24" s="4">
        <v>46324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46192</v>
      </c>
      <c r="D25" s="5" t="s">
        <v>41</v>
      </c>
      <c r="E25" s="5" t="s">
        <v>44</v>
      </c>
      <c r="F25" s="5" t="s">
        <v>8</v>
      </c>
      <c r="G25" s="5"/>
      <c r="H25" s="6">
        <v>28.8333333333333</v>
      </c>
      <c r="I25" s="4">
        <v>46325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46193</v>
      </c>
      <c r="D26" s="5" t="s">
        <v>41</v>
      </c>
      <c r="E26" s="5" t="s">
        <v>44</v>
      </c>
      <c r="F26" s="5" t="s">
        <v>16</v>
      </c>
      <c r="G26" s="5"/>
      <c r="H26" s="6">
        <v>30.3333333333333</v>
      </c>
      <c r="I26" s="4">
        <v>46326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46194</v>
      </c>
      <c r="D27" s="5" t="s">
        <v>41</v>
      </c>
      <c r="E27" s="5" t="s">
        <v>44</v>
      </c>
      <c r="F27" s="5" t="s">
        <v>17</v>
      </c>
      <c r="G27" s="5"/>
      <c r="H27" s="6">
        <v>31.8333333333333</v>
      </c>
      <c r="I27" s="4">
        <v>46327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46195</v>
      </c>
      <c r="D28" s="5" t="s">
        <v>41</v>
      </c>
      <c r="E28" s="5" t="s">
        <v>44</v>
      </c>
      <c r="F28" s="5" t="s">
        <v>18</v>
      </c>
      <c r="G28" s="5"/>
      <c r="H28" s="6">
        <v>33.3333333333333</v>
      </c>
      <c r="I28" s="4">
        <v>46328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46196</v>
      </c>
      <c r="D29" s="5" t="s">
        <v>41</v>
      </c>
      <c r="E29" s="5" t="s">
        <v>44</v>
      </c>
      <c r="F29" s="5" t="s">
        <v>18</v>
      </c>
      <c r="G29" s="5"/>
      <c r="H29" s="6">
        <v>34.8333333333333</v>
      </c>
      <c r="I29" s="4">
        <v>46329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46197</v>
      </c>
      <c r="D30" s="5" t="s">
        <v>41</v>
      </c>
      <c r="E30" s="5" t="s">
        <v>44</v>
      </c>
      <c r="F30" s="5" t="s">
        <v>18</v>
      </c>
      <c r="G30" s="5"/>
      <c r="H30" s="6">
        <v>36.3333333333333</v>
      </c>
      <c r="I30" s="4">
        <v>46330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46198</v>
      </c>
      <c r="D31" s="5" t="s">
        <v>41</v>
      </c>
      <c r="E31" s="5" t="s">
        <v>44</v>
      </c>
      <c r="F31" s="5" t="s">
        <v>18</v>
      </c>
      <c r="G31" s="5"/>
      <c r="H31" s="6">
        <v>37.8333333333333</v>
      </c>
      <c r="I31" s="4">
        <v>46331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46199</v>
      </c>
      <c r="D32" s="5" t="s">
        <v>41</v>
      </c>
      <c r="E32" s="5" t="s">
        <v>44</v>
      </c>
      <c r="F32" s="5" t="s">
        <v>18</v>
      </c>
      <c r="G32" s="5"/>
      <c r="H32" s="6">
        <v>39.3333333333333</v>
      </c>
      <c r="I32" s="4">
        <v>46332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46200</v>
      </c>
      <c r="D33" s="5" t="s">
        <v>41</v>
      </c>
      <c r="E33" s="5" t="s">
        <v>44</v>
      </c>
      <c r="F33" s="5" t="s">
        <v>18</v>
      </c>
      <c r="G33" s="5"/>
      <c r="H33" s="6">
        <v>40.8333333333333</v>
      </c>
      <c r="I33" s="4">
        <v>46333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46201</v>
      </c>
      <c r="D34" s="5" t="s">
        <v>41</v>
      </c>
      <c r="E34" s="5" t="s">
        <v>44</v>
      </c>
      <c r="F34" s="5" t="s">
        <v>18</v>
      </c>
      <c r="G34" s="5"/>
      <c r="H34" s="6">
        <v>42.3333333333333</v>
      </c>
      <c r="I34" s="4">
        <v>46334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46202</v>
      </c>
      <c r="D35" s="5" t="s">
        <v>41</v>
      </c>
      <c r="E35" s="5" t="s">
        <v>44</v>
      </c>
      <c r="F35" s="5" t="s">
        <v>18</v>
      </c>
      <c r="G35" s="5"/>
      <c r="H35" s="6">
        <v>43.8333333333333</v>
      </c>
      <c r="I35" s="4">
        <v>46335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46203</v>
      </c>
      <c r="D36" s="5" t="s">
        <v>41</v>
      </c>
      <c r="E36" s="5" t="s">
        <v>44</v>
      </c>
      <c r="F36" s="5" t="s">
        <v>18</v>
      </c>
      <c r="G36" s="5"/>
      <c r="H36" s="6">
        <v>45.3333333333333</v>
      </c>
      <c r="I36" s="4">
        <v>46336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46204</v>
      </c>
      <c r="D37" s="5" t="s">
        <v>41</v>
      </c>
      <c r="E37" s="5" t="s">
        <v>44</v>
      </c>
      <c r="F37" s="5" t="s">
        <v>18</v>
      </c>
      <c r="G37" s="5"/>
      <c r="H37" s="6">
        <v>46.8333333333333</v>
      </c>
      <c r="I37" s="4">
        <v>46337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I38" s="4">
        <v>46338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I39" s="4">
        <v>46339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I40" s="4">
        <v>46340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I41" s="4">
        <v>46341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I42" s="4">
        <v>46342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I43" s="4">
        <v>46343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I44" s="4">
        <v>46344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I45" s="4">
        <v>46345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I46" s="4">
        <v>46346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I47" s="4">
        <v>46347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I48" s="4">
        <v>46348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I49" s="4">
        <v>46349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I50" s="4">
        <v>46350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I51" s="4">
        <v>46351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41</v>
      </c>
      <c r="E52" s="5" t="s">
        <v>44</v>
      </c>
      <c r="G52" s="5"/>
      <c r="I52" s="4">
        <v>46352</v>
      </c>
      <c r="J52" t="str">
        <f>VLOOKUP(D52,'plano de contas'!$O$8:$P$13,2,0)</f>
        <v>DESP_PROD</v>
      </c>
      <c r="O52" t="str">
        <f t="shared" si="0"/>
        <v>DESPESAS</v>
      </c>
    </row>
    <row r="53" spans="4:15" x14ac:dyDescent="0.25">
      <c r="D53" s="5" t="s">
        <v>41</v>
      </c>
      <c r="E53" s="5" t="s">
        <v>44</v>
      </c>
      <c r="G53" s="5"/>
      <c r="I53" s="4">
        <v>46353</v>
      </c>
      <c r="J53" t="str">
        <f>VLOOKUP(D53,'plano de contas'!$O$8:$P$13,2,0)</f>
        <v>DESP_PROD</v>
      </c>
      <c r="O53" t="str">
        <f t="shared" si="0"/>
        <v>DESPESAS</v>
      </c>
    </row>
    <row r="54" spans="4:15" x14ac:dyDescent="0.25">
      <c r="D54" s="5" t="s">
        <v>41</v>
      </c>
      <c r="E54" s="5" t="s">
        <v>44</v>
      </c>
      <c r="G54" s="5"/>
      <c r="I54" s="4">
        <v>46354</v>
      </c>
      <c r="J54" t="str">
        <f>VLOOKUP(D54,'plano de contas'!$O$8:$P$13,2,0)</f>
        <v>DESP_PROD</v>
      </c>
      <c r="O54" t="str">
        <f t="shared" si="0"/>
        <v>DESPESAS</v>
      </c>
    </row>
    <row r="55" spans="4:15" x14ac:dyDescent="0.25">
      <c r="D55" s="5" t="s">
        <v>41</v>
      </c>
      <c r="E55" s="5" t="s">
        <v>44</v>
      </c>
      <c r="G55" s="5"/>
      <c r="I55" s="4">
        <v>46355</v>
      </c>
      <c r="J55" t="str">
        <f>VLOOKUP(D55,'plano de contas'!$O$8:$P$13,2,0)</f>
        <v>DESP_PROD</v>
      </c>
      <c r="O55" t="str">
        <f t="shared" si="0"/>
        <v>DESPESAS</v>
      </c>
    </row>
    <row r="56" spans="4:15" x14ac:dyDescent="0.25">
      <c r="D56" s="5" t="s">
        <v>41</v>
      </c>
      <c r="E56" s="5" t="s">
        <v>44</v>
      </c>
      <c r="G56" s="5"/>
      <c r="I56" s="4">
        <v>46356</v>
      </c>
      <c r="J56" t="str">
        <f>VLOOKUP(D56,'plano de contas'!$O$8:$P$13,2,0)</f>
        <v>DESP_PROD</v>
      </c>
      <c r="O56" t="str">
        <f t="shared" si="0"/>
        <v>DESPESAS</v>
      </c>
    </row>
    <row r="57" spans="4:15" x14ac:dyDescent="0.25">
      <c r="D57" s="5" t="s">
        <v>41</v>
      </c>
      <c r="E57" s="5" t="s">
        <v>44</v>
      </c>
      <c r="G57" s="5"/>
      <c r="I57" s="4">
        <v>46357</v>
      </c>
      <c r="J57" t="str">
        <f>VLOOKUP(D57,'plano de contas'!$O$8:$P$13,2,0)</f>
        <v>DESP_PROD</v>
      </c>
      <c r="O57" t="str">
        <f t="shared" si="0"/>
        <v>DESPESAS</v>
      </c>
    </row>
    <row r="58" spans="4:15" x14ac:dyDescent="0.25">
      <c r="D58" s="5" t="s">
        <v>41</v>
      </c>
      <c r="E58" s="5" t="s">
        <v>44</v>
      </c>
      <c r="G58" s="5"/>
      <c r="I58" s="4">
        <v>46358</v>
      </c>
      <c r="J58" t="str">
        <f>VLOOKUP(D58,'plano de contas'!$O$8:$P$13,2,0)</f>
        <v>DESP_PROD</v>
      </c>
      <c r="O58" t="str">
        <f t="shared" si="0"/>
        <v>DESPESAS</v>
      </c>
    </row>
    <row r="59" spans="4:15" x14ac:dyDescent="0.25">
      <c r="D59" s="5" t="s">
        <v>41</v>
      </c>
      <c r="E59" s="5" t="s">
        <v>44</v>
      </c>
      <c r="G59" s="5"/>
      <c r="I59" s="4">
        <v>46359</v>
      </c>
      <c r="J59" t="str">
        <f>VLOOKUP(D59,'plano de contas'!$O$8:$P$13,2,0)</f>
        <v>DESP_PROD</v>
      </c>
      <c r="O59" t="str">
        <f t="shared" si="0"/>
        <v>DESPESAS</v>
      </c>
    </row>
    <row r="60" spans="4:15" x14ac:dyDescent="0.25">
      <c r="D60" s="5" t="s">
        <v>41</v>
      </c>
      <c r="E60" s="5" t="s">
        <v>44</v>
      </c>
      <c r="G60" s="5"/>
      <c r="I60" s="4">
        <v>46360</v>
      </c>
      <c r="J60" t="str">
        <f>VLOOKUP(D60,'plano de contas'!$O$8:$P$13,2,0)</f>
        <v>DESP_PROD</v>
      </c>
      <c r="O60" t="str">
        <f t="shared" si="0"/>
        <v>DESPESAS</v>
      </c>
    </row>
    <row r="61" spans="4:15" x14ac:dyDescent="0.25">
      <c r="D61" s="5" t="s">
        <v>41</v>
      </c>
      <c r="E61" s="5" t="s">
        <v>44</v>
      </c>
      <c r="G61" s="5"/>
      <c r="I61" s="4">
        <v>46361</v>
      </c>
      <c r="J61" t="str">
        <f>VLOOKUP(D61,'plano de contas'!$O$8:$P$13,2,0)</f>
        <v>DESP_PROD</v>
      </c>
      <c r="O61" t="str">
        <f t="shared" si="0"/>
        <v>DESPESAS</v>
      </c>
    </row>
    <row r="62" spans="4:15" x14ac:dyDescent="0.25">
      <c r="D62" s="5" t="s">
        <v>41</v>
      </c>
      <c r="E62" s="5" t="s">
        <v>44</v>
      </c>
      <c r="G62" s="5"/>
      <c r="I62" s="4">
        <v>46362</v>
      </c>
      <c r="J62" t="str">
        <f>VLOOKUP(D62,'plano de contas'!$O$8:$P$13,2,0)</f>
        <v>DESP_PROD</v>
      </c>
      <c r="O62" t="str">
        <f t="shared" si="0"/>
        <v>DESPESAS</v>
      </c>
    </row>
    <row r="63" spans="4:15" x14ac:dyDescent="0.25">
      <c r="D63" s="5" t="s">
        <v>41</v>
      </c>
      <c r="E63" s="5" t="s">
        <v>44</v>
      </c>
      <c r="G63" s="5"/>
      <c r="I63" s="4">
        <v>46363</v>
      </c>
      <c r="J63" t="str">
        <f>VLOOKUP(D63,'plano de contas'!$O$8:$P$13,2,0)</f>
        <v>DESP_PROD</v>
      </c>
      <c r="O63" t="str">
        <f t="shared" si="0"/>
        <v>DESPESAS</v>
      </c>
    </row>
    <row r="64" spans="4:15" x14ac:dyDescent="0.25">
      <c r="D64" s="5" t="s">
        <v>41</v>
      </c>
      <c r="E64" s="5" t="s">
        <v>44</v>
      </c>
      <c r="G64" s="5"/>
      <c r="I64" s="4">
        <v>46364</v>
      </c>
      <c r="J64" t="str">
        <f>VLOOKUP(D64,'plano de contas'!$O$8:$P$13,2,0)</f>
        <v>DESP_PROD</v>
      </c>
      <c r="O64" t="str">
        <f t="shared" si="0"/>
        <v>DESPESAS</v>
      </c>
    </row>
    <row r="65" spans="4:15" x14ac:dyDescent="0.25">
      <c r="D65" s="5" t="s">
        <v>41</v>
      </c>
      <c r="E65" s="5" t="s">
        <v>44</v>
      </c>
      <c r="G65" s="5"/>
      <c r="I65" s="4">
        <v>46365</v>
      </c>
      <c r="J65" t="str">
        <f>VLOOKUP(D65,'plano de contas'!$O$8:$P$13,2,0)</f>
        <v>DESP_PROD</v>
      </c>
      <c r="O65" t="str">
        <f t="shared" si="0"/>
        <v>DESPESAS</v>
      </c>
    </row>
    <row r="66" spans="4:15" x14ac:dyDescent="0.25">
      <c r="D66" s="5" t="s">
        <v>41</v>
      </c>
      <c r="E66" s="5" t="s">
        <v>44</v>
      </c>
      <c r="G66" s="5"/>
      <c r="I66" s="4">
        <v>46366</v>
      </c>
      <c r="J66" t="str">
        <f>VLOOKUP(D66,'plano de contas'!$O$8:$P$13,2,0)</f>
        <v>DESP_PROD</v>
      </c>
      <c r="O66" t="str">
        <f t="shared" si="0"/>
        <v>DESPESAS</v>
      </c>
    </row>
    <row r="67" spans="4:15" x14ac:dyDescent="0.25">
      <c r="D67" s="5" t="s">
        <v>41</v>
      </c>
      <c r="E67" s="5" t="s">
        <v>44</v>
      </c>
      <c r="G67" s="5"/>
      <c r="I67" s="4">
        <v>46367</v>
      </c>
      <c r="J67" t="str">
        <f>VLOOKUP(D67,'plano de contas'!$O$8:$P$13,2,0)</f>
        <v>DESP_PROD</v>
      </c>
      <c r="O67" t="str">
        <f t="shared" si="0"/>
        <v>DESPESAS</v>
      </c>
    </row>
    <row r="68" spans="4:15" x14ac:dyDescent="0.25">
      <c r="D68" s="5" t="s">
        <v>41</v>
      </c>
      <c r="E68" s="5" t="s">
        <v>44</v>
      </c>
      <c r="G68" s="5"/>
      <c r="I68" s="4">
        <v>46368</v>
      </c>
      <c r="J68" t="str">
        <f>VLOOKUP(D68,'plano de contas'!$O$8:$P$13,2,0)</f>
        <v>DESP_PROD</v>
      </c>
      <c r="O68" t="str">
        <f t="shared" si="0"/>
        <v>DESPESAS</v>
      </c>
    </row>
    <row r="69" spans="4:15" x14ac:dyDescent="0.25">
      <c r="D69" s="5" t="s">
        <v>41</v>
      </c>
      <c r="E69" s="5" t="s">
        <v>44</v>
      </c>
      <c r="G69" s="5"/>
      <c r="I69" s="4">
        <v>46369</v>
      </c>
      <c r="J69" t="str">
        <f>VLOOKUP(D69,'plano de contas'!$O$8:$P$13,2,0)</f>
        <v>DESP_PROD</v>
      </c>
      <c r="O69" t="str">
        <f t="shared" si="0"/>
        <v>DESPESAS</v>
      </c>
    </row>
    <row r="70" spans="4:15" x14ac:dyDescent="0.25">
      <c r="D70" s="5" t="s">
        <v>41</v>
      </c>
      <c r="E70" s="5" t="s">
        <v>44</v>
      </c>
      <c r="G70" s="5"/>
      <c r="I70" s="4">
        <v>46370</v>
      </c>
      <c r="J70" t="str">
        <f>VLOOKUP(D70,'plano de contas'!$O$8:$P$13,2,0)</f>
        <v>DESP_PROD</v>
      </c>
      <c r="O70" t="str">
        <f t="shared" si="0"/>
        <v>DESPESAS</v>
      </c>
    </row>
    <row r="71" spans="4:15" x14ac:dyDescent="0.25">
      <c r="D71" s="5" t="s">
        <v>41</v>
      </c>
      <c r="E71" s="5" t="s">
        <v>44</v>
      </c>
      <c r="G71" s="5"/>
      <c r="I71" s="4">
        <v>46371</v>
      </c>
      <c r="J71" t="str">
        <f>VLOOKUP(D71,'plano de contas'!$O$8:$P$13,2,0)</f>
        <v>DESP_PROD</v>
      </c>
      <c r="O71" t="str">
        <f t="shared" si="0"/>
        <v>DESPESAS</v>
      </c>
    </row>
    <row r="72" spans="4:15" x14ac:dyDescent="0.25">
      <c r="D72" s="5" t="s">
        <v>41</v>
      </c>
      <c r="E72" s="5" t="s">
        <v>44</v>
      </c>
      <c r="G72" s="5"/>
      <c r="I72" s="4">
        <v>46372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4:15" x14ac:dyDescent="0.25">
      <c r="D73" s="5" t="s">
        <v>41</v>
      </c>
      <c r="E73" s="5" t="s">
        <v>44</v>
      </c>
      <c r="G73" s="5"/>
      <c r="I73" s="4">
        <v>46373</v>
      </c>
      <c r="J73" t="str">
        <f>VLOOKUP(D73,'plano de contas'!$O$8:$P$13,2,0)</f>
        <v>DESP_PROD</v>
      </c>
      <c r="O73" t="str">
        <f t="shared" si="1"/>
        <v>DESPESAS</v>
      </c>
    </row>
    <row r="74" spans="4:15" x14ac:dyDescent="0.25">
      <c r="D74" s="5" t="s">
        <v>41</v>
      </c>
      <c r="E74" s="5" t="s">
        <v>44</v>
      </c>
      <c r="G74" s="5"/>
      <c r="I74" s="4">
        <v>46374</v>
      </c>
      <c r="J74" t="str">
        <f>VLOOKUP(D74,'plano de contas'!$O$8:$P$13,2,0)</f>
        <v>DESP_PROD</v>
      </c>
      <c r="O74" t="str">
        <f t="shared" si="1"/>
        <v>DESPESAS</v>
      </c>
    </row>
    <row r="75" spans="4:15" x14ac:dyDescent="0.25">
      <c r="D75" s="5" t="s">
        <v>41</v>
      </c>
      <c r="E75" s="5" t="s">
        <v>44</v>
      </c>
      <c r="G75" s="5"/>
      <c r="I75" s="4">
        <v>46375</v>
      </c>
      <c r="J75" t="str">
        <f>VLOOKUP(D75,'plano de contas'!$O$8:$P$13,2,0)</f>
        <v>DESP_PROD</v>
      </c>
      <c r="O75" t="str">
        <f t="shared" si="1"/>
        <v>DESPESAS</v>
      </c>
    </row>
    <row r="76" spans="4:15" x14ac:dyDescent="0.25">
      <c r="D76" s="5" t="s">
        <v>41</v>
      </c>
      <c r="E76" s="5" t="s">
        <v>44</v>
      </c>
      <c r="G76" s="5"/>
      <c r="I76" s="4">
        <v>46376</v>
      </c>
      <c r="J76" t="str">
        <f>VLOOKUP(D76,'plano de contas'!$O$8:$P$13,2,0)</f>
        <v>DESP_PROD</v>
      </c>
      <c r="O76" t="str">
        <f t="shared" si="1"/>
        <v>DESPESAS</v>
      </c>
    </row>
    <row r="77" spans="4:15" x14ac:dyDescent="0.25">
      <c r="D77" s="5" t="s">
        <v>41</v>
      </c>
      <c r="E77" s="5" t="s">
        <v>44</v>
      </c>
      <c r="G77" s="5"/>
      <c r="I77" s="4">
        <v>46377</v>
      </c>
      <c r="J77" t="str">
        <f>VLOOKUP(D77,'plano de contas'!$O$8:$P$13,2,0)</f>
        <v>DESP_PROD</v>
      </c>
      <c r="O77" t="str">
        <f t="shared" si="1"/>
        <v>DESPESAS</v>
      </c>
    </row>
    <row r="78" spans="4:15" x14ac:dyDescent="0.25">
      <c r="D78" s="5" t="s">
        <v>41</v>
      </c>
      <c r="E78" s="5" t="s">
        <v>44</v>
      </c>
      <c r="G78" s="5"/>
      <c r="I78" s="4">
        <v>46378</v>
      </c>
      <c r="J78" t="str">
        <f>VLOOKUP(D78,'plano de contas'!$O$8:$P$13,2,0)</f>
        <v>DESP_PROD</v>
      </c>
      <c r="O78" t="str">
        <f t="shared" si="1"/>
        <v>DESPESAS</v>
      </c>
    </row>
    <row r="79" spans="4:15" x14ac:dyDescent="0.25">
      <c r="D79" s="5" t="s">
        <v>41</v>
      </c>
      <c r="E79" s="5" t="s">
        <v>44</v>
      </c>
      <c r="G79" s="5"/>
      <c r="I79" s="4">
        <v>46379</v>
      </c>
      <c r="J79" t="str">
        <f>VLOOKUP(D79,'plano de contas'!$O$8:$P$13,2,0)</f>
        <v>DESP_PROD</v>
      </c>
      <c r="O79" t="str">
        <f t="shared" si="1"/>
        <v>DESPESAS</v>
      </c>
    </row>
    <row r="80" spans="4:15" x14ac:dyDescent="0.25">
      <c r="D80" s="5" t="s">
        <v>41</v>
      </c>
      <c r="E80" s="5" t="s">
        <v>44</v>
      </c>
      <c r="G80" s="5" t="s">
        <v>113</v>
      </c>
      <c r="I80" s="4">
        <v>46380</v>
      </c>
      <c r="J80" t="str">
        <f>VLOOKUP(D80,'plano de contas'!$O$8:$P$13,2,0)</f>
        <v>DESP_PROD</v>
      </c>
      <c r="O80" t="str">
        <f t="shared" si="1"/>
        <v>DESPESAS</v>
      </c>
    </row>
    <row r="81" spans="4:15" x14ac:dyDescent="0.25">
      <c r="D81" s="5" t="s">
        <v>41</v>
      </c>
      <c r="E81" s="5" t="s">
        <v>44</v>
      </c>
      <c r="I81" s="4">
        <v>46381</v>
      </c>
      <c r="J81" t="str">
        <f>VLOOKUP(D81,'plano de contas'!$O$8:$P$13,2,0)</f>
        <v>DESP_PROD</v>
      </c>
      <c r="O81" t="str">
        <f t="shared" si="1"/>
        <v>DESPESAS</v>
      </c>
    </row>
    <row r="82" spans="4:15" x14ac:dyDescent="0.25">
      <c r="D82" s="5" t="s">
        <v>41</v>
      </c>
      <c r="E82" s="5" t="s">
        <v>44</v>
      </c>
      <c r="I82" s="4">
        <v>46382</v>
      </c>
      <c r="J82" t="str">
        <f>VLOOKUP(D82,'plano de contas'!$O$8:$P$13,2,0)</f>
        <v>DESP_PROD</v>
      </c>
      <c r="O82" t="str">
        <f t="shared" si="1"/>
        <v>DESPESAS</v>
      </c>
    </row>
    <row r="83" spans="4:15" x14ac:dyDescent="0.25">
      <c r="D83" s="5" t="s">
        <v>41</v>
      </c>
      <c r="E83" s="5" t="s">
        <v>44</v>
      </c>
      <c r="I83" s="4">
        <v>46383</v>
      </c>
      <c r="J83" t="str">
        <f>VLOOKUP(D83,'plano de contas'!$O$8:$P$13,2,0)</f>
        <v>DESP_PROD</v>
      </c>
      <c r="O83" t="str">
        <f t="shared" si="1"/>
        <v>DESPESAS</v>
      </c>
    </row>
    <row r="84" spans="4:15" x14ac:dyDescent="0.25">
      <c r="D84" s="5" t="s">
        <v>41</v>
      </c>
      <c r="E84" s="5" t="s">
        <v>44</v>
      </c>
      <c r="I84" s="4">
        <v>46384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1:G1048576 F38:F80">
    <cfRule type="cellIs" dxfId="397" priority="36" operator="equal">
      <formula>"RECEITA"</formula>
    </cfRule>
    <cfRule type="cellIs" dxfId="396" priority="37" operator="equal">
      <formula>"DESPESA"</formula>
    </cfRule>
    <cfRule type="cellIs" dxfId="395" priority="38" operator="equal">
      <formula>"RECEITA"</formula>
    </cfRule>
    <cfRule type="cellIs" dxfId="394" priority="39" operator="equal">
      <formula>"DESPESA"</formula>
    </cfRule>
    <cfRule type="cellIs" dxfId="393" priority="40" operator="equal">
      <formula>"RECEITA"</formula>
    </cfRule>
    <cfRule type="cellIs" dxfId="392" priority="41" operator="equal">
      <formula>"DESPESA"</formula>
    </cfRule>
  </conditionalFormatting>
  <conditionalFormatting sqref="M8">
    <cfRule type="cellIs" dxfId="391" priority="30" operator="equal">
      <formula>"RECEITA"</formula>
    </cfRule>
    <cfRule type="cellIs" dxfId="390" priority="31" operator="equal">
      <formula>"DESPESA"</formula>
    </cfRule>
    <cfRule type="cellIs" dxfId="389" priority="32" operator="equal">
      <formula>"RECEITA"</formula>
    </cfRule>
    <cfRule type="cellIs" dxfId="388" priority="33" operator="equal">
      <formula>"DESPESA"</formula>
    </cfRule>
    <cfRule type="cellIs" dxfId="387" priority="34" operator="equal">
      <formula>"RECEITA"</formula>
    </cfRule>
    <cfRule type="cellIs" dxfId="386" priority="35" operator="equal">
      <formula>"DESPESA"</formula>
    </cfRule>
  </conditionalFormatting>
  <conditionalFormatting sqref="M9">
    <cfRule type="cellIs" dxfId="385" priority="24" operator="equal">
      <formula>"RECEITA"</formula>
    </cfRule>
    <cfRule type="cellIs" dxfId="384" priority="25" operator="equal">
      <formula>"DESPESA"</formula>
    </cfRule>
    <cfRule type="cellIs" dxfId="383" priority="26" operator="equal">
      <formula>"RECEITA"</formula>
    </cfRule>
    <cfRule type="cellIs" dxfId="382" priority="27" operator="equal">
      <formula>"DESPESA"</formula>
    </cfRule>
    <cfRule type="cellIs" dxfId="381" priority="28" operator="equal">
      <formula>"RECEITA"</formula>
    </cfRule>
    <cfRule type="cellIs" dxfId="380" priority="29" operator="equal">
      <formula>"DESPESA"</formula>
    </cfRule>
  </conditionalFormatting>
  <conditionalFormatting sqref="N10">
    <cfRule type="cellIs" dxfId="379" priority="19" operator="greaterThan">
      <formula>0</formula>
    </cfRule>
    <cfRule type="cellIs" dxfId="378" priority="20" operator="greaterThan">
      <formula>0</formula>
    </cfRule>
    <cfRule type="cellIs" dxfId="377" priority="21" operator="greaterThan">
      <formula>0</formula>
    </cfRule>
    <cfRule type="cellIs" dxfId="376" priority="22" operator="lessThan">
      <formula>0</formula>
    </cfRule>
    <cfRule type="cellIs" dxfId="375" priority="23" operator="greaterThan">
      <formula>0</formula>
    </cfRule>
  </conditionalFormatting>
  <conditionalFormatting sqref="E7:E84">
    <cfRule type="cellIs" dxfId="374" priority="7" operator="equal">
      <formula>"RECEITA"</formula>
    </cfRule>
    <cfRule type="cellIs" dxfId="373" priority="8" operator="equal">
      <formula>"DESPESA"</formula>
    </cfRule>
    <cfRule type="cellIs" dxfId="372" priority="9" operator="equal">
      <formula>"RECEITA"</formula>
    </cfRule>
    <cfRule type="cellIs" dxfId="371" priority="10" operator="equal">
      <formula>"DESPESA"</formula>
    </cfRule>
    <cfRule type="cellIs" dxfId="370" priority="11" operator="equal">
      <formula>"RECEITA"</formula>
    </cfRule>
    <cfRule type="cellIs" dxfId="369" priority="12" operator="equal">
      <formula>"DESPESA"</formula>
    </cfRule>
  </conditionalFormatting>
  <conditionalFormatting sqref="D7:D84">
    <cfRule type="cellIs" dxfId="368" priority="3" operator="equal">
      <formula>"RECEITA"</formula>
    </cfRule>
    <cfRule type="cellIs" dxfId="367" priority="4" operator="equal">
      <formula>"DESPESA"</formula>
    </cfRule>
    <cfRule type="cellIs" dxfId="366" priority="5" operator="equal">
      <formula>"RECEITA"</formula>
    </cfRule>
    <cfRule type="cellIs" dxfId="365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DD95A25-EDCD-4A26-AF58-21ED66F15698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339A2FAD-5381-41D1-9B66-E6B374CCBDBB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B1:O84"/>
  <sheetViews>
    <sheetView showGridLines="0" zoomScale="90" zoomScaleNormal="9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87" t="s">
        <v>19</v>
      </c>
      <c r="D5" s="87"/>
      <c r="E5" s="87"/>
      <c r="F5" s="87"/>
      <c r="G5" s="87"/>
      <c r="H5" s="8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40</v>
      </c>
      <c r="E7" s="5" t="s">
        <v>44</v>
      </c>
      <c r="F7" s="5" t="s">
        <v>5</v>
      </c>
      <c r="G7" s="5"/>
      <c r="H7" s="6">
        <v>1</v>
      </c>
      <c r="I7" s="4">
        <v>46204</v>
      </c>
      <c r="J7" t="str">
        <f>VLOOKUP(D7,'plano de contas'!$O$8:$P$13,2,0)</f>
        <v>REC_SER</v>
      </c>
      <c r="M7" s="86" t="s">
        <v>14</v>
      </c>
      <c r="N7" s="8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40</v>
      </c>
      <c r="E8" s="5" t="s">
        <v>44</v>
      </c>
      <c r="F8" s="5" t="s">
        <v>11</v>
      </c>
      <c r="G8" s="5"/>
      <c r="H8" s="6">
        <v>2</v>
      </c>
      <c r="I8" s="4">
        <v>46205</v>
      </c>
      <c r="J8" t="str">
        <f>VLOOKUP(D8,'plano de contas'!$O$8:$P$13,2,0)</f>
        <v>REC_SER</v>
      </c>
      <c r="M8" s="7" t="s">
        <v>3</v>
      </c>
      <c r="N8" s="8">
        <f>'FLUXO DE CAIXA (2)'!I9</f>
        <v>490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46025</v>
      </c>
      <c r="D9" s="5" t="s">
        <v>40</v>
      </c>
      <c r="E9" s="5" t="s">
        <v>53</v>
      </c>
      <c r="F9" s="5" t="s">
        <v>6</v>
      </c>
      <c r="G9" s="5"/>
      <c r="H9" s="6">
        <v>3</v>
      </c>
      <c r="I9" s="4">
        <v>46206</v>
      </c>
      <c r="J9" t="str">
        <f>VLOOKUP(D9,'plano de contas'!$O$8:$P$13,2,0)</f>
        <v>REC_SER</v>
      </c>
      <c r="M9" s="7" t="s">
        <v>4</v>
      </c>
      <c r="N9" s="8">
        <f>'FLUXO DE CAIXA (2)'!I10</f>
        <v>100</v>
      </c>
      <c r="O9" t="str">
        <f t="shared" si="0"/>
        <v>RECEITAS</v>
      </c>
    </row>
    <row r="10" spans="2:15" ht="30" customHeight="1" x14ac:dyDescent="0.35">
      <c r="C10" s="4">
        <v>46026</v>
      </c>
      <c r="D10" s="5" t="s">
        <v>40</v>
      </c>
      <c r="E10" s="5" t="s">
        <v>44</v>
      </c>
      <c r="F10" s="5" t="s">
        <v>7</v>
      </c>
      <c r="G10" s="5"/>
      <c r="H10" s="6">
        <v>4</v>
      </c>
      <c r="I10" s="4">
        <v>46207</v>
      </c>
      <c r="J10" t="str">
        <f>VLOOKUP(D10,'plano de contas'!$O$8:$P$13,2,0)</f>
        <v>REC_SER</v>
      </c>
      <c r="M10" s="9" t="s">
        <v>15</v>
      </c>
      <c r="N10" s="10">
        <f>N8-N9</f>
        <v>390</v>
      </c>
      <c r="O10" t="str">
        <f t="shared" si="0"/>
        <v>RECEITAS</v>
      </c>
    </row>
    <row r="11" spans="2:15" ht="30" customHeight="1" x14ac:dyDescent="0.25">
      <c r="C11" s="4">
        <v>46027</v>
      </c>
      <c r="D11" s="5" t="s">
        <v>40</v>
      </c>
      <c r="E11" s="5" t="s">
        <v>44</v>
      </c>
      <c r="F11" s="5" t="s">
        <v>8</v>
      </c>
      <c r="G11" s="5"/>
      <c r="H11" s="6">
        <v>5</v>
      </c>
      <c r="I11" s="4">
        <v>46208</v>
      </c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46028</v>
      </c>
      <c r="D12" s="5" t="s">
        <v>42</v>
      </c>
      <c r="E12" s="5" t="s">
        <v>71</v>
      </c>
      <c r="F12" s="5" t="s">
        <v>9</v>
      </c>
      <c r="G12" s="5" t="s">
        <v>113</v>
      </c>
      <c r="H12" s="6">
        <v>100</v>
      </c>
      <c r="I12" s="4">
        <v>46209</v>
      </c>
      <c r="J12" t="str">
        <f>VLOOKUP(D12,'plano de contas'!$O$8:$P$13,2,0)</f>
        <v>DESP_RH</v>
      </c>
      <c r="O12" t="str">
        <f t="shared" si="0"/>
        <v>DESPESAS</v>
      </c>
    </row>
    <row r="13" spans="2:15" ht="30" customHeight="1" x14ac:dyDescent="0.25">
      <c r="C13" s="4">
        <v>46029</v>
      </c>
      <c r="D13" s="5" t="s">
        <v>40</v>
      </c>
      <c r="E13" s="5" t="s">
        <v>44</v>
      </c>
      <c r="F13" s="5" t="s">
        <v>12</v>
      </c>
      <c r="G13" s="5"/>
      <c r="H13" s="6">
        <v>7</v>
      </c>
      <c r="I13" s="4">
        <v>46210</v>
      </c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46030</v>
      </c>
      <c r="D14" s="5" t="s">
        <v>40</v>
      </c>
      <c r="E14" s="5" t="s">
        <v>59</v>
      </c>
      <c r="F14" s="5" t="s">
        <v>5</v>
      </c>
      <c r="G14" s="5"/>
      <c r="H14" s="6">
        <v>8</v>
      </c>
      <c r="I14" s="4">
        <v>46211</v>
      </c>
      <c r="J14" t="str">
        <f>VLOOKUP(D14,'plano de contas'!$O$8:$P$13,2,0)</f>
        <v>REC_SER</v>
      </c>
      <c r="O14" t="str">
        <f t="shared" si="0"/>
        <v>RECEITAS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46212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40</v>
      </c>
      <c r="E16" s="5" t="s">
        <v>44</v>
      </c>
      <c r="F16" s="5" t="s">
        <v>6</v>
      </c>
      <c r="G16" s="5"/>
      <c r="H16" s="6">
        <v>10</v>
      </c>
      <c r="I16" s="4">
        <v>46213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46033</v>
      </c>
      <c r="D17" s="5" t="s">
        <v>40</v>
      </c>
      <c r="E17" s="5" t="s">
        <v>51</v>
      </c>
      <c r="F17" s="5" t="s">
        <v>7</v>
      </c>
      <c r="G17" s="5"/>
      <c r="H17" s="6">
        <v>11</v>
      </c>
      <c r="I17" s="4">
        <v>46214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46034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46215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46035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46216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46036</v>
      </c>
      <c r="D20" s="5" t="s">
        <v>40</v>
      </c>
      <c r="E20" s="5" t="s">
        <v>44</v>
      </c>
      <c r="F20" s="5" t="s">
        <v>10</v>
      </c>
      <c r="G20" s="5"/>
      <c r="H20" s="6">
        <v>14</v>
      </c>
      <c r="I20" s="4">
        <v>46217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46037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46218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46038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46219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46039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46220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46040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46221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46041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46222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46042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46223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46043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46224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46044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46225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46045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46226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46046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46227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46047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46228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46048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46229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46049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46230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46050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46231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46051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46232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46052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46233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46053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46234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D38" s="5" t="s">
        <v>40</v>
      </c>
      <c r="E38" s="5" t="s">
        <v>44</v>
      </c>
      <c r="G38" s="5"/>
      <c r="I38" s="4">
        <v>46235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D39" s="5" t="s">
        <v>40</v>
      </c>
      <c r="E39" s="5" t="s">
        <v>44</v>
      </c>
      <c r="G39" s="5"/>
      <c r="I39" s="4">
        <v>46236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D40" s="5" t="s">
        <v>40</v>
      </c>
      <c r="E40" s="5" t="s">
        <v>44</v>
      </c>
      <c r="G40" s="5"/>
      <c r="I40" s="4">
        <v>46237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D41" s="5" t="s">
        <v>40</v>
      </c>
      <c r="E41" s="5" t="s">
        <v>44</v>
      </c>
      <c r="G41" s="5"/>
      <c r="I41" s="4">
        <v>46238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D42" s="5" t="s">
        <v>40</v>
      </c>
      <c r="E42" s="5" t="s">
        <v>44</v>
      </c>
      <c r="G42" s="5"/>
      <c r="I42" s="4">
        <v>46239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D43" s="5" t="s">
        <v>40</v>
      </c>
      <c r="E43" s="5" t="s">
        <v>44</v>
      </c>
      <c r="G43" s="5"/>
      <c r="I43" s="4">
        <v>46240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D44" s="5" t="s">
        <v>40</v>
      </c>
      <c r="E44" s="5" t="s">
        <v>44</v>
      </c>
      <c r="G44" s="5"/>
      <c r="I44" s="4">
        <v>46241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D45" s="5" t="s">
        <v>40</v>
      </c>
      <c r="E45" s="5" t="s">
        <v>44</v>
      </c>
      <c r="G45" s="5"/>
      <c r="I45" s="4">
        <v>46242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D46" s="5" t="s">
        <v>40</v>
      </c>
      <c r="E46" s="5" t="s">
        <v>44</v>
      </c>
      <c r="G46" s="5"/>
      <c r="I46" s="4">
        <v>46243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D47" s="5" t="s">
        <v>40</v>
      </c>
      <c r="E47" s="5" t="s">
        <v>44</v>
      </c>
      <c r="G47" s="5"/>
      <c r="I47" s="4">
        <v>46244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D48" s="5" t="s">
        <v>40</v>
      </c>
      <c r="E48" s="5" t="s">
        <v>44</v>
      </c>
      <c r="G48" s="5"/>
      <c r="I48" s="4">
        <v>46245</v>
      </c>
      <c r="J48" t="str">
        <f>VLOOKUP(D48,'plano de contas'!$O$8:$P$13,2,0)</f>
        <v>REC_SER</v>
      </c>
      <c r="O48" t="str">
        <f t="shared" si="0"/>
        <v>RECEITAS</v>
      </c>
    </row>
    <row r="49" spans="4:15" x14ac:dyDescent="0.25">
      <c r="D49" s="5" t="s">
        <v>40</v>
      </c>
      <c r="E49" s="5" t="s">
        <v>44</v>
      </c>
      <c r="G49" s="5"/>
      <c r="I49" s="4">
        <v>46246</v>
      </c>
      <c r="J49" t="str">
        <f>VLOOKUP(D49,'plano de contas'!$O$8:$P$13,2,0)</f>
        <v>REC_SER</v>
      </c>
      <c r="O49" t="str">
        <f t="shared" si="0"/>
        <v>RECEITAS</v>
      </c>
    </row>
    <row r="50" spans="4:15" x14ac:dyDescent="0.25">
      <c r="D50" s="5" t="s">
        <v>40</v>
      </c>
      <c r="E50" s="5" t="s">
        <v>44</v>
      </c>
      <c r="G50" s="5"/>
      <c r="I50" s="4">
        <v>46247</v>
      </c>
      <c r="J50" t="str">
        <f>VLOOKUP(D50,'plano de contas'!$O$8:$P$13,2,0)</f>
        <v>REC_SER</v>
      </c>
      <c r="O50" t="str">
        <f t="shared" si="0"/>
        <v>RECEITAS</v>
      </c>
    </row>
    <row r="51" spans="4:15" x14ac:dyDescent="0.25">
      <c r="D51" s="5" t="s">
        <v>40</v>
      </c>
      <c r="E51" s="5" t="s">
        <v>44</v>
      </c>
      <c r="G51" s="5"/>
      <c r="I51" s="4">
        <v>46248</v>
      </c>
      <c r="J51" t="str">
        <f>VLOOKUP(D51,'plano de contas'!$O$8:$P$13,2,0)</f>
        <v>REC_SER</v>
      </c>
      <c r="O51" t="str">
        <f t="shared" si="0"/>
        <v>RECEITAS</v>
      </c>
    </row>
    <row r="52" spans="4:15" x14ac:dyDescent="0.25">
      <c r="D52" s="5" t="s">
        <v>40</v>
      </c>
      <c r="E52" s="5" t="s">
        <v>44</v>
      </c>
      <c r="G52" s="5"/>
      <c r="I52" s="4">
        <v>46249</v>
      </c>
      <c r="J52" t="str">
        <f>VLOOKUP(D52,'plano de contas'!$O$8:$P$13,2,0)</f>
        <v>REC_SER</v>
      </c>
      <c r="O52" t="str">
        <f t="shared" si="0"/>
        <v>RECEITAS</v>
      </c>
    </row>
    <row r="53" spans="4:15" x14ac:dyDescent="0.25">
      <c r="D53" s="5" t="s">
        <v>40</v>
      </c>
      <c r="E53" s="5" t="s">
        <v>44</v>
      </c>
      <c r="G53" s="5"/>
      <c r="I53" s="4">
        <v>46250</v>
      </c>
      <c r="J53" t="str">
        <f>VLOOKUP(D53,'plano de contas'!$O$8:$P$13,2,0)</f>
        <v>REC_SER</v>
      </c>
      <c r="O53" t="str">
        <f t="shared" si="0"/>
        <v>RECEITAS</v>
      </c>
    </row>
    <row r="54" spans="4:15" x14ac:dyDescent="0.25">
      <c r="D54" s="5" t="s">
        <v>40</v>
      </c>
      <c r="E54" s="5" t="s">
        <v>44</v>
      </c>
      <c r="G54" s="5"/>
      <c r="I54" s="4">
        <v>46251</v>
      </c>
      <c r="J54" t="str">
        <f>VLOOKUP(D54,'plano de contas'!$O$8:$P$13,2,0)</f>
        <v>REC_SER</v>
      </c>
      <c r="O54" t="str">
        <f t="shared" si="0"/>
        <v>RECEITAS</v>
      </c>
    </row>
    <row r="55" spans="4:15" x14ac:dyDescent="0.25">
      <c r="D55" s="5" t="s">
        <v>40</v>
      </c>
      <c r="E55" s="5" t="s">
        <v>44</v>
      </c>
      <c r="G55" s="5"/>
      <c r="I55" s="4">
        <v>46252</v>
      </c>
      <c r="J55" t="str">
        <f>VLOOKUP(D55,'plano de contas'!$O$8:$P$13,2,0)</f>
        <v>REC_SER</v>
      </c>
      <c r="O55" t="str">
        <f t="shared" si="0"/>
        <v>RECEITAS</v>
      </c>
    </row>
    <row r="56" spans="4:15" x14ac:dyDescent="0.25">
      <c r="D56" s="5" t="s">
        <v>40</v>
      </c>
      <c r="E56" s="5" t="s">
        <v>44</v>
      </c>
      <c r="G56" s="5"/>
      <c r="I56" s="4">
        <v>46253</v>
      </c>
      <c r="J56" t="str">
        <f>VLOOKUP(D56,'plano de contas'!$O$8:$P$13,2,0)</f>
        <v>REC_SER</v>
      </c>
      <c r="O56" t="str">
        <f t="shared" si="0"/>
        <v>RECEITAS</v>
      </c>
    </row>
    <row r="57" spans="4:15" x14ac:dyDescent="0.25">
      <c r="D57" s="5" t="s">
        <v>40</v>
      </c>
      <c r="E57" s="5" t="s">
        <v>44</v>
      </c>
      <c r="G57" s="5"/>
      <c r="I57" s="4">
        <v>46254</v>
      </c>
      <c r="J57" t="str">
        <f>VLOOKUP(D57,'plano de contas'!$O$8:$P$13,2,0)</f>
        <v>REC_SER</v>
      </c>
      <c r="O57" t="str">
        <f t="shared" si="0"/>
        <v>RECEITAS</v>
      </c>
    </row>
    <row r="58" spans="4:15" x14ac:dyDescent="0.25">
      <c r="D58" s="5" t="s">
        <v>40</v>
      </c>
      <c r="E58" s="5" t="s">
        <v>44</v>
      </c>
      <c r="G58" s="5"/>
      <c r="I58" s="4">
        <v>46255</v>
      </c>
      <c r="J58" t="str">
        <f>VLOOKUP(D58,'plano de contas'!$O$8:$P$13,2,0)</f>
        <v>REC_SER</v>
      </c>
      <c r="O58" t="str">
        <f t="shared" si="0"/>
        <v>RECEITAS</v>
      </c>
    </row>
    <row r="59" spans="4:15" x14ac:dyDescent="0.25">
      <c r="D59" s="5" t="s">
        <v>40</v>
      </c>
      <c r="E59" s="5" t="s">
        <v>44</v>
      </c>
      <c r="G59" s="5"/>
      <c r="I59" s="4">
        <v>46256</v>
      </c>
      <c r="J59" t="str">
        <f>VLOOKUP(D59,'plano de contas'!$O$8:$P$13,2,0)</f>
        <v>REC_SER</v>
      </c>
      <c r="O59" t="str">
        <f t="shared" si="0"/>
        <v>RECEITAS</v>
      </c>
    </row>
    <row r="60" spans="4:15" x14ac:dyDescent="0.25">
      <c r="D60" s="5" t="s">
        <v>40</v>
      </c>
      <c r="E60" s="5" t="s">
        <v>44</v>
      </c>
      <c r="G60" s="5"/>
      <c r="I60" s="4">
        <v>46257</v>
      </c>
      <c r="J60" t="str">
        <f>VLOOKUP(D60,'plano de contas'!$O$8:$P$13,2,0)</f>
        <v>REC_SER</v>
      </c>
      <c r="O60" t="str">
        <f t="shared" si="0"/>
        <v>RECEITAS</v>
      </c>
    </row>
    <row r="61" spans="4:15" x14ac:dyDescent="0.25">
      <c r="D61" s="5" t="s">
        <v>40</v>
      </c>
      <c r="E61" s="5" t="s">
        <v>44</v>
      </c>
      <c r="G61" s="5"/>
      <c r="I61" s="4">
        <v>46258</v>
      </c>
      <c r="J61" t="str">
        <f>VLOOKUP(D61,'plano de contas'!$O$8:$P$13,2,0)</f>
        <v>REC_SER</v>
      </c>
      <c r="O61" t="str">
        <f t="shared" si="0"/>
        <v>RECEITAS</v>
      </c>
    </row>
    <row r="62" spans="4:15" x14ac:dyDescent="0.25">
      <c r="D62" s="5" t="s">
        <v>40</v>
      </c>
      <c r="E62" s="5" t="s">
        <v>44</v>
      </c>
      <c r="G62" s="5"/>
      <c r="I62" s="4">
        <v>46259</v>
      </c>
      <c r="J62" t="str">
        <f>VLOOKUP(D62,'plano de contas'!$O$8:$P$13,2,0)</f>
        <v>REC_SER</v>
      </c>
      <c r="O62" t="str">
        <f t="shared" si="0"/>
        <v>RECEITAS</v>
      </c>
    </row>
    <row r="63" spans="4:15" x14ac:dyDescent="0.25">
      <c r="D63" s="5" t="s">
        <v>40</v>
      </c>
      <c r="E63" s="5" t="s">
        <v>44</v>
      </c>
      <c r="G63" s="5"/>
      <c r="I63" s="4">
        <v>46260</v>
      </c>
      <c r="J63" t="str">
        <f>VLOOKUP(D63,'plano de contas'!$O$8:$P$13,2,0)</f>
        <v>REC_SER</v>
      </c>
      <c r="O63" t="str">
        <f t="shared" si="0"/>
        <v>RECEITAS</v>
      </c>
    </row>
    <row r="64" spans="4:15" x14ac:dyDescent="0.25">
      <c r="D64" s="5" t="s">
        <v>40</v>
      </c>
      <c r="E64" s="5" t="s">
        <v>44</v>
      </c>
      <c r="G64" s="5"/>
      <c r="I64" s="4">
        <v>46261</v>
      </c>
      <c r="J64" t="str">
        <f>VLOOKUP(D64,'plano de contas'!$O$8:$P$13,2,0)</f>
        <v>REC_SER</v>
      </c>
      <c r="O64" t="str">
        <f t="shared" si="0"/>
        <v>RECEITAS</v>
      </c>
    </row>
    <row r="65" spans="4:15" x14ac:dyDescent="0.25">
      <c r="D65" s="5" t="s">
        <v>40</v>
      </c>
      <c r="E65" s="5" t="s">
        <v>44</v>
      </c>
      <c r="G65" s="5"/>
      <c r="I65" s="4">
        <v>46262</v>
      </c>
      <c r="J65" t="str">
        <f>VLOOKUP(D65,'plano de contas'!$O$8:$P$13,2,0)</f>
        <v>REC_SER</v>
      </c>
      <c r="O65" t="str">
        <f t="shared" si="0"/>
        <v>RECEITAS</v>
      </c>
    </row>
    <row r="66" spans="4:15" x14ac:dyDescent="0.25">
      <c r="D66" s="5" t="s">
        <v>40</v>
      </c>
      <c r="E66" s="5" t="s">
        <v>44</v>
      </c>
      <c r="G66" s="5"/>
      <c r="I66" s="4">
        <v>46263</v>
      </c>
      <c r="J66" t="str">
        <f>VLOOKUP(D66,'plano de contas'!$O$8:$P$13,2,0)</f>
        <v>REC_SER</v>
      </c>
      <c r="O66" t="str">
        <f t="shared" si="0"/>
        <v>RECEITAS</v>
      </c>
    </row>
    <row r="67" spans="4:15" x14ac:dyDescent="0.25">
      <c r="D67" s="5" t="s">
        <v>40</v>
      </c>
      <c r="E67" s="5" t="s">
        <v>44</v>
      </c>
      <c r="G67" s="5"/>
      <c r="I67" s="4">
        <v>46264</v>
      </c>
      <c r="J67" t="str">
        <f>VLOOKUP(D67,'plano de contas'!$O$8:$P$13,2,0)</f>
        <v>REC_SER</v>
      </c>
      <c r="O67" t="str">
        <f t="shared" si="0"/>
        <v>RECEITAS</v>
      </c>
    </row>
    <row r="68" spans="4:15" x14ac:dyDescent="0.25">
      <c r="D68" s="5" t="s">
        <v>40</v>
      </c>
      <c r="E68" s="5" t="s">
        <v>44</v>
      </c>
      <c r="G68" s="5"/>
      <c r="I68" s="4">
        <v>46265</v>
      </c>
      <c r="J68" t="str">
        <f>VLOOKUP(D68,'plano de contas'!$O$8:$P$13,2,0)</f>
        <v>REC_SER</v>
      </c>
      <c r="O68" t="str">
        <f t="shared" si="0"/>
        <v>RECEITAS</v>
      </c>
    </row>
    <row r="69" spans="4:15" x14ac:dyDescent="0.25">
      <c r="D69" s="5" t="s">
        <v>40</v>
      </c>
      <c r="E69" s="5" t="s">
        <v>44</v>
      </c>
      <c r="G69" s="5"/>
      <c r="I69" s="4">
        <v>46266</v>
      </c>
      <c r="J69" t="str">
        <f>VLOOKUP(D69,'plano de contas'!$O$8:$P$13,2,0)</f>
        <v>REC_SER</v>
      </c>
      <c r="O69" t="str">
        <f t="shared" si="0"/>
        <v>RECEITAS</v>
      </c>
    </row>
    <row r="70" spans="4:15" x14ac:dyDescent="0.25">
      <c r="D70" s="5" t="s">
        <v>40</v>
      </c>
      <c r="E70" s="5" t="s">
        <v>44</v>
      </c>
      <c r="G70" s="5"/>
      <c r="I70" s="4">
        <v>46267</v>
      </c>
      <c r="J70" t="str">
        <f>VLOOKUP(D70,'plano de contas'!$O$8:$P$13,2,0)</f>
        <v>REC_SER</v>
      </c>
      <c r="O70" t="str">
        <f t="shared" si="0"/>
        <v>RECEITAS</v>
      </c>
    </row>
    <row r="71" spans="4:15" x14ac:dyDescent="0.25">
      <c r="D71" s="5" t="s">
        <v>40</v>
      </c>
      <c r="E71" s="5" t="s">
        <v>44</v>
      </c>
      <c r="G71" s="5"/>
      <c r="I71" s="4">
        <v>46268</v>
      </c>
      <c r="J71" t="str">
        <f>VLOOKUP(D71,'plano de contas'!$O$8:$P$13,2,0)</f>
        <v>REC_SER</v>
      </c>
      <c r="O71" t="str">
        <f t="shared" si="0"/>
        <v>RECEITAS</v>
      </c>
    </row>
    <row r="72" spans="4:15" x14ac:dyDescent="0.25">
      <c r="D72" s="5" t="s">
        <v>40</v>
      </c>
      <c r="E72" s="5" t="s">
        <v>44</v>
      </c>
      <c r="G72" s="5"/>
      <c r="I72" s="4">
        <v>46269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40</v>
      </c>
      <c r="E73" s="5" t="s">
        <v>44</v>
      </c>
      <c r="G73" s="5"/>
      <c r="I73" s="4">
        <v>46270</v>
      </c>
      <c r="J73" t="str">
        <f>VLOOKUP(D73,'plano de contas'!$O$8:$P$13,2,0)</f>
        <v>REC_SER</v>
      </c>
      <c r="O73" t="str">
        <f t="shared" si="1"/>
        <v>RECEITAS</v>
      </c>
    </row>
    <row r="74" spans="4:15" x14ac:dyDescent="0.25">
      <c r="D74" s="5" t="s">
        <v>40</v>
      </c>
      <c r="E74" s="5" t="s">
        <v>44</v>
      </c>
      <c r="G74" s="5"/>
      <c r="I74" s="4">
        <v>46271</v>
      </c>
      <c r="J74" t="str">
        <f>VLOOKUP(D74,'plano de contas'!$O$8:$P$13,2,0)</f>
        <v>REC_SER</v>
      </c>
      <c r="O74" t="str">
        <f t="shared" si="1"/>
        <v>RECEITAS</v>
      </c>
    </row>
    <row r="75" spans="4:15" x14ac:dyDescent="0.25">
      <c r="D75" s="5" t="s">
        <v>40</v>
      </c>
      <c r="E75" s="5" t="s">
        <v>44</v>
      </c>
      <c r="G75" s="5"/>
      <c r="I75" s="4">
        <v>46272</v>
      </c>
      <c r="J75" t="str">
        <f>VLOOKUP(D75,'plano de contas'!$O$8:$P$13,2,0)</f>
        <v>REC_SER</v>
      </c>
      <c r="O75" t="str">
        <f t="shared" si="1"/>
        <v>RECEITAS</v>
      </c>
    </row>
    <row r="76" spans="4:15" x14ac:dyDescent="0.25">
      <c r="D76" s="5" t="s">
        <v>40</v>
      </c>
      <c r="E76" s="5" t="s">
        <v>44</v>
      </c>
      <c r="G76" s="5"/>
      <c r="I76" s="4">
        <v>46273</v>
      </c>
      <c r="J76" t="str">
        <f>VLOOKUP(D76,'plano de contas'!$O$8:$P$13,2,0)</f>
        <v>REC_SER</v>
      </c>
      <c r="O76" t="str">
        <f t="shared" si="1"/>
        <v>RECEITAS</v>
      </c>
    </row>
    <row r="77" spans="4:15" x14ac:dyDescent="0.25">
      <c r="D77" s="5" t="s">
        <v>40</v>
      </c>
      <c r="E77" s="5" t="s">
        <v>44</v>
      </c>
      <c r="G77" s="5"/>
      <c r="I77" s="4">
        <v>46274</v>
      </c>
      <c r="J77" t="str">
        <f>VLOOKUP(D77,'plano de contas'!$O$8:$P$13,2,0)</f>
        <v>REC_SER</v>
      </c>
      <c r="O77" t="str">
        <f t="shared" si="1"/>
        <v>RECEITAS</v>
      </c>
    </row>
    <row r="78" spans="4:15" x14ac:dyDescent="0.25">
      <c r="D78" s="5" t="s">
        <v>40</v>
      </c>
      <c r="E78" s="5" t="s">
        <v>44</v>
      </c>
      <c r="G78" s="5"/>
      <c r="I78" s="4">
        <v>46275</v>
      </c>
      <c r="J78" t="str">
        <f>VLOOKUP(D78,'plano de contas'!$O$8:$P$13,2,0)</f>
        <v>REC_SER</v>
      </c>
      <c r="O78" t="str">
        <f t="shared" si="1"/>
        <v>RECEITAS</v>
      </c>
    </row>
    <row r="79" spans="4:15" x14ac:dyDescent="0.25">
      <c r="D79" s="5" t="s">
        <v>40</v>
      </c>
      <c r="E79" s="5" t="s">
        <v>44</v>
      </c>
      <c r="G79" s="5"/>
      <c r="I79" s="4">
        <v>46276</v>
      </c>
      <c r="J79" t="str">
        <f>VLOOKUP(D79,'plano de contas'!$O$8:$P$13,2,0)</f>
        <v>REC_SER</v>
      </c>
      <c r="O79" t="str">
        <f t="shared" si="1"/>
        <v>RECEITAS</v>
      </c>
    </row>
    <row r="80" spans="4:15" x14ac:dyDescent="0.25">
      <c r="D80" s="5" t="s">
        <v>40</v>
      </c>
      <c r="E80" s="5" t="s">
        <v>44</v>
      </c>
      <c r="G80" s="5" t="s">
        <v>113</v>
      </c>
      <c r="I80" s="4">
        <v>46277</v>
      </c>
      <c r="J80" t="str">
        <f>VLOOKUP(D80,'plano de contas'!$O$8:$P$13,2,0)</f>
        <v>REC_SER</v>
      </c>
      <c r="O80" t="str">
        <f t="shared" si="1"/>
        <v>RECEITAS</v>
      </c>
    </row>
    <row r="81" spans="4:15" x14ac:dyDescent="0.25">
      <c r="D81" s="5" t="s">
        <v>40</v>
      </c>
      <c r="E81" s="5" t="s">
        <v>44</v>
      </c>
      <c r="I81" s="4">
        <v>46278</v>
      </c>
      <c r="J81" t="str">
        <f>VLOOKUP(D81,'plano de contas'!$O$8:$P$13,2,0)</f>
        <v>REC_SER</v>
      </c>
      <c r="O81" t="str">
        <f t="shared" si="1"/>
        <v>RECEITAS</v>
      </c>
    </row>
    <row r="82" spans="4:15" x14ac:dyDescent="0.25">
      <c r="D82" s="5" t="s">
        <v>40</v>
      </c>
      <c r="E82" s="5" t="s">
        <v>44</v>
      </c>
      <c r="I82" s="4">
        <v>46279</v>
      </c>
      <c r="J82" t="str">
        <f>VLOOKUP(D82,'plano de contas'!$O$8:$P$13,2,0)</f>
        <v>REC_SER</v>
      </c>
      <c r="O82" t="str">
        <f t="shared" si="1"/>
        <v>RECEITAS</v>
      </c>
    </row>
    <row r="83" spans="4:15" x14ac:dyDescent="0.25">
      <c r="D83" s="5" t="s">
        <v>40</v>
      </c>
      <c r="E83" s="5" t="s">
        <v>44</v>
      </c>
      <c r="I83" s="4">
        <v>46280</v>
      </c>
      <c r="J83" t="str">
        <f>VLOOKUP(D83,'plano de contas'!$O$8:$P$13,2,0)</f>
        <v>REC_SER</v>
      </c>
      <c r="O83" t="str">
        <f t="shared" si="1"/>
        <v>RECEITAS</v>
      </c>
    </row>
    <row r="84" spans="4:15" x14ac:dyDescent="0.25">
      <c r="D84" s="5" t="s">
        <v>40</v>
      </c>
      <c r="E84" s="5" t="s">
        <v>44</v>
      </c>
      <c r="I84" s="4">
        <v>46281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362" priority="36" operator="equal">
      <formula>"RECEITA"</formula>
    </cfRule>
    <cfRule type="cellIs" dxfId="361" priority="37" operator="equal">
      <formula>"DESPESA"</formula>
    </cfRule>
    <cfRule type="cellIs" dxfId="360" priority="38" operator="equal">
      <formula>"RECEITA"</formula>
    </cfRule>
    <cfRule type="cellIs" dxfId="359" priority="39" operator="equal">
      <formula>"DESPESA"</formula>
    </cfRule>
    <cfRule type="cellIs" dxfId="358" priority="40" operator="equal">
      <formula>"RECEITA"</formula>
    </cfRule>
    <cfRule type="cellIs" dxfId="357" priority="41" operator="equal">
      <formula>"DESPESA"</formula>
    </cfRule>
  </conditionalFormatting>
  <conditionalFormatting sqref="M8">
    <cfRule type="cellIs" dxfId="356" priority="30" operator="equal">
      <formula>"RECEITA"</formula>
    </cfRule>
    <cfRule type="cellIs" dxfId="355" priority="31" operator="equal">
      <formula>"DESPESA"</formula>
    </cfRule>
    <cfRule type="cellIs" dxfId="354" priority="32" operator="equal">
      <formula>"RECEITA"</formula>
    </cfRule>
    <cfRule type="cellIs" dxfId="353" priority="33" operator="equal">
      <formula>"DESPESA"</formula>
    </cfRule>
    <cfRule type="cellIs" dxfId="352" priority="34" operator="equal">
      <formula>"RECEITA"</formula>
    </cfRule>
    <cfRule type="cellIs" dxfId="351" priority="35" operator="equal">
      <formula>"DESPESA"</formula>
    </cfRule>
  </conditionalFormatting>
  <conditionalFormatting sqref="M9">
    <cfRule type="cellIs" dxfId="350" priority="24" operator="equal">
      <formula>"RECEITA"</formula>
    </cfRule>
    <cfRule type="cellIs" dxfId="349" priority="25" operator="equal">
      <formula>"DESPESA"</formula>
    </cfRule>
    <cfRule type="cellIs" dxfId="348" priority="26" operator="equal">
      <formula>"RECEITA"</formula>
    </cfRule>
    <cfRule type="cellIs" dxfId="347" priority="27" operator="equal">
      <formula>"DESPESA"</formula>
    </cfRule>
    <cfRule type="cellIs" dxfId="346" priority="28" operator="equal">
      <formula>"RECEITA"</formula>
    </cfRule>
    <cfRule type="cellIs" dxfId="345" priority="29" operator="equal">
      <formula>"DESPESA"</formula>
    </cfRule>
  </conditionalFormatting>
  <conditionalFormatting sqref="N10">
    <cfRule type="cellIs" dxfId="344" priority="19" operator="greaterThan">
      <formula>0</formula>
    </cfRule>
    <cfRule type="cellIs" dxfId="343" priority="20" operator="greaterThan">
      <formula>0</formula>
    </cfRule>
    <cfRule type="cellIs" dxfId="342" priority="21" operator="greaterThan">
      <formula>0</formula>
    </cfRule>
    <cfRule type="cellIs" dxfId="341" priority="22" operator="lessThan">
      <formula>0</formula>
    </cfRule>
    <cfRule type="cellIs" dxfId="340" priority="23" operator="greaterThan">
      <formula>0</formula>
    </cfRule>
  </conditionalFormatting>
  <conditionalFormatting sqref="E7:E84">
    <cfRule type="cellIs" dxfId="339" priority="7" operator="equal">
      <formula>"RECEITA"</formula>
    </cfRule>
    <cfRule type="cellIs" dxfId="338" priority="8" operator="equal">
      <formula>"DESPESA"</formula>
    </cfRule>
    <cfRule type="cellIs" dxfId="337" priority="9" operator="equal">
      <formula>"RECEITA"</formula>
    </cfRule>
    <cfRule type="cellIs" dxfId="336" priority="10" operator="equal">
      <formula>"DESPESA"</formula>
    </cfRule>
    <cfRule type="cellIs" dxfId="335" priority="11" operator="equal">
      <formula>"RECEITA"</formula>
    </cfRule>
    <cfRule type="cellIs" dxfId="334" priority="12" operator="equal">
      <formula>"DESPESA"</formula>
    </cfRule>
  </conditionalFormatting>
  <conditionalFormatting sqref="D7:D84">
    <cfRule type="cellIs" dxfId="333" priority="3" operator="equal">
      <formula>"RECEITA"</formula>
    </cfRule>
    <cfRule type="cellIs" dxfId="332" priority="4" operator="equal">
      <formula>"DESPESA"</formula>
    </cfRule>
    <cfRule type="cellIs" dxfId="331" priority="5" operator="equal">
      <formula>"RECEITA"</formula>
    </cfRule>
    <cfRule type="cellIs" dxfId="330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789B7978-F481-40A7-A924-F7BA4FC044BA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22444AAF-0C19-4D71-A616-2ED075E9B9F6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B1:O84"/>
  <sheetViews>
    <sheetView showGridLines="0" zoomScale="60" zoomScaleNormal="60" workbookViewId="0">
      <selection activeCell="G7" sqref="G7:G80"/>
    </sheetView>
  </sheetViews>
  <sheetFormatPr defaultRowHeight="15" x14ac:dyDescent="0.25"/>
  <cols>
    <col min="2" max="2" width="9.140625" customWidth="1"/>
    <col min="3" max="3" width="25.42578125" bestFit="1" customWidth="1"/>
    <col min="4" max="5" width="30.7109375" style="2" customWidth="1"/>
    <col min="6" max="6" width="28" bestFit="1" customWidth="1"/>
    <col min="7" max="7" width="28" customWidth="1"/>
    <col min="8" max="8" width="19" bestFit="1" customWidth="1"/>
    <col min="9" max="9" width="19" customWidth="1"/>
    <col min="10" max="10" width="34.7109375" bestFit="1" customWidth="1"/>
    <col min="13" max="13" width="30.7109375" customWidth="1"/>
    <col min="14" max="14" width="32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87" t="s">
        <v>19</v>
      </c>
      <c r="D5" s="87"/>
      <c r="E5" s="87"/>
      <c r="F5" s="87"/>
      <c r="G5" s="87"/>
      <c r="H5" s="8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46235</v>
      </c>
      <c r="D7" s="5" t="s">
        <v>40</v>
      </c>
      <c r="E7" s="5" t="s">
        <v>44</v>
      </c>
      <c r="F7" s="5" t="s">
        <v>8</v>
      </c>
      <c r="G7" s="5"/>
      <c r="H7" s="6">
        <v>1</v>
      </c>
      <c r="I7" s="4"/>
      <c r="J7" t="str">
        <f>VLOOKUP(D7,'plano de contas'!$O$8:$P$13,2,0)</f>
        <v>REC_SER</v>
      </c>
      <c r="M7" s="86" t="s">
        <v>14</v>
      </c>
      <c r="N7" s="8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46236</v>
      </c>
      <c r="D8" s="5" t="s">
        <v>41</v>
      </c>
      <c r="E8" s="5" t="s">
        <v>44</v>
      </c>
      <c r="F8" s="5" t="s">
        <v>7</v>
      </c>
      <c r="G8" s="5"/>
      <c r="H8" s="6">
        <v>2</v>
      </c>
      <c r="I8" s="4">
        <v>46236</v>
      </c>
      <c r="J8" t="str">
        <f>VLOOKUP(D8,'plano de contas'!$O$8:$P$13,2,0)</f>
        <v>DESP_PROD</v>
      </c>
      <c r="M8" s="7" t="s">
        <v>3</v>
      </c>
      <c r="N8" s="8">
        <f>'FLUXO DE CAIXA (2)'!J9</f>
        <v>9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46237</v>
      </c>
      <c r="D9" s="5" t="s">
        <v>42</v>
      </c>
      <c r="E9" s="5" t="s">
        <v>53</v>
      </c>
      <c r="F9" s="5" t="s">
        <v>6</v>
      </c>
      <c r="G9" s="5"/>
      <c r="H9" s="6">
        <v>3</v>
      </c>
      <c r="I9" s="4">
        <v>46237</v>
      </c>
      <c r="J9" t="str">
        <f>VLOOKUP(D9,'plano de contas'!$O$8:$P$13,2,0)</f>
        <v>DESP_RH</v>
      </c>
      <c r="M9" s="7" t="s">
        <v>4</v>
      </c>
      <c r="N9" s="8">
        <f>'FLUXO DE CAIXA (2)'!J10</f>
        <v>9</v>
      </c>
      <c r="O9" t="str">
        <f t="shared" si="0"/>
        <v>DESPESAS</v>
      </c>
    </row>
    <row r="10" spans="2:15" ht="30" customHeight="1" x14ac:dyDescent="0.35">
      <c r="C10" s="4">
        <v>46238</v>
      </c>
      <c r="D10" s="5" t="s">
        <v>41</v>
      </c>
      <c r="E10" s="5" t="s">
        <v>44</v>
      </c>
      <c r="F10" s="5" t="s">
        <v>11</v>
      </c>
      <c r="G10" s="5"/>
      <c r="H10" s="6">
        <v>4</v>
      </c>
      <c r="I10" s="4">
        <v>46238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46239</v>
      </c>
      <c r="D11" s="5" t="s">
        <v>41</v>
      </c>
      <c r="E11" s="5" t="s">
        <v>44</v>
      </c>
      <c r="F11" s="5" t="s">
        <v>5</v>
      </c>
      <c r="G11" s="5"/>
      <c r="H11" s="6">
        <v>5</v>
      </c>
      <c r="I11" s="4"/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46240</v>
      </c>
      <c r="D12" s="5" t="s">
        <v>41</v>
      </c>
      <c r="E12" s="5" t="s">
        <v>44</v>
      </c>
      <c r="F12" s="5" t="s">
        <v>10</v>
      </c>
      <c r="G12" s="5" t="s">
        <v>113</v>
      </c>
      <c r="H12" s="6">
        <v>6</v>
      </c>
      <c r="I12" s="4"/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46241</v>
      </c>
      <c r="D13" s="5" t="s">
        <v>41</v>
      </c>
      <c r="E13" s="5" t="s">
        <v>44</v>
      </c>
      <c r="F13" s="5" t="s">
        <v>9</v>
      </c>
      <c r="G13" s="5"/>
      <c r="H13" s="6">
        <v>7</v>
      </c>
      <c r="I13" s="4"/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46242</v>
      </c>
      <c r="D14" s="5" t="s">
        <v>42</v>
      </c>
      <c r="E14" s="5" t="s">
        <v>59</v>
      </c>
      <c r="F14" s="5" t="s">
        <v>13</v>
      </c>
      <c r="G14" s="5"/>
      <c r="H14" s="6">
        <v>8</v>
      </c>
      <c r="I14" s="4"/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46243</v>
      </c>
      <c r="D15" s="5" t="s">
        <v>40</v>
      </c>
      <c r="E15" s="5" t="s">
        <v>44</v>
      </c>
      <c r="F15" s="5" t="s">
        <v>6</v>
      </c>
      <c r="G15" s="5"/>
      <c r="H15" s="6">
        <v>9</v>
      </c>
      <c r="I15" s="4">
        <v>46243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46244</v>
      </c>
      <c r="D16" s="5" t="s">
        <v>76</v>
      </c>
      <c r="E16" s="5" t="s">
        <v>44</v>
      </c>
      <c r="F16" s="5" t="s">
        <v>5</v>
      </c>
      <c r="G16" s="5"/>
      <c r="H16" s="6">
        <v>0</v>
      </c>
      <c r="I16" s="4">
        <v>46244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46245</v>
      </c>
      <c r="D17" s="5" t="s">
        <v>43</v>
      </c>
      <c r="E17" s="5" t="s">
        <v>51</v>
      </c>
      <c r="F17" s="5" t="s">
        <v>12</v>
      </c>
      <c r="G17" s="5"/>
      <c r="H17" s="6">
        <v>0</v>
      </c>
      <c r="I17" s="4">
        <v>46245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46246</v>
      </c>
      <c r="D18" s="5" t="s">
        <v>41</v>
      </c>
      <c r="E18" s="5" t="s">
        <v>44</v>
      </c>
      <c r="F18" s="5" t="s">
        <v>9</v>
      </c>
      <c r="G18" s="5" t="s">
        <v>114</v>
      </c>
      <c r="H18" s="6">
        <v>0</v>
      </c>
      <c r="I18" s="4">
        <v>46246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46247</v>
      </c>
      <c r="D19" s="5" t="s">
        <v>41</v>
      </c>
      <c r="E19" s="5" t="s">
        <v>44</v>
      </c>
      <c r="F19" s="5" t="s">
        <v>18</v>
      </c>
      <c r="G19" s="5"/>
      <c r="H19" s="6">
        <v>0</v>
      </c>
      <c r="I19" s="4">
        <v>46247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46248</v>
      </c>
      <c r="D20" s="5" t="s">
        <v>41</v>
      </c>
      <c r="E20" s="5" t="s">
        <v>44</v>
      </c>
      <c r="F20" s="5" t="s">
        <v>18</v>
      </c>
      <c r="G20" s="5"/>
      <c r="H20" s="6">
        <v>0</v>
      </c>
      <c r="I20" s="4">
        <v>46248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46249</v>
      </c>
      <c r="D21" s="5" t="s">
        <v>41</v>
      </c>
      <c r="E21" s="5" t="s">
        <v>44</v>
      </c>
      <c r="F21" s="5" t="s">
        <v>18</v>
      </c>
      <c r="G21" s="5"/>
      <c r="H21" s="6">
        <v>0</v>
      </c>
      <c r="I21" s="4">
        <v>46249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46250</v>
      </c>
      <c r="D22" s="5" t="s">
        <v>41</v>
      </c>
      <c r="E22" s="5" t="s">
        <v>44</v>
      </c>
      <c r="F22" s="5" t="s">
        <v>18</v>
      </c>
      <c r="G22" s="5"/>
      <c r="H22" s="6">
        <v>0</v>
      </c>
      <c r="I22" s="4">
        <v>46250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46251</v>
      </c>
      <c r="D23" s="5" t="s">
        <v>41</v>
      </c>
      <c r="E23" s="5" t="s">
        <v>44</v>
      </c>
      <c r="F23" s="5" t="s">
        <v>18</v>
      </c>
      <c r="G23" s="5"/>
      <c r="H23" s="6">
        <v>0</v>
      </c>
      <c r="I23" s="4">
        <v>46251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46252</v>
      </c>
      <c r="D24" s="5" t="s">
        <v>41</v>
      </c>
      <c r="E24" s="5" t="s">
        <v>44</v>
      </c>
      <c r="F24" s="5" t="s">
        <v>18</v>
      </c>
      <c r="G24" s="5"/>
      <c r="H24" s="6">
        <v>0</v>
      </c>
      <c r="I24" s="4">
        <v>46252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46253</v>
      </c>
      <c r="D25" s="5" t="s">
        <v>41</v>
      </c>
      <c r="E25" s="5" t="s">
        <v>44</v>
      </c>
      <c r="F25" s="5" t="s">
        <v>18</v>
      </c>
      <c r="G25" s="5"/>
      <c r="H25" s="6">
        <v>0</v>
      </c>
      <c r="I25" s="4">
        <v>46253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46254</v>
      </c>
      <c r="D26" s="5" t="s">
        <v>41</v>
      </c>
      <c r="E26" s="5" t="s">
        <v>44</v>
      </c>
      <c r="F26" s="5" t="s">
        <v>18</v>
      </c>
      <c r="G26" s="5"/>
      <c r="H26" s="6">
        <v>0</v>
      </c>
      <c r="I26" s="4">
        <v>46254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46255</v>
      </c>
      <c r="D27" s="5" t="s">
        <v>41</v>
      </c>
      <c r="E27" s="5" t="s">
        <v>44</v>
      </c>
      <c r="F27" s="5" t="s">
        <v>18</v>
      </c>
      <c r="G27" s="5"/>
      <c r="H27" s="6">
        <v>0</v>
      </c>
      <c r="I27" s="4">
        <v>46255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46256</v>
      </c>
      <c r="D28" s="5" t="s">
        <v>41</v>
      </c>
      <c r="E28" s="5" t="s">
        <v>44</v>
      </c>
      <c r="F28" s="5" t="s">
        <v>7</v>
      </c>
      <c r="G28" s="5"/>
      <c r="H28" s="6">
        <v>0</v>
      </c>
      <c r="I28" s="4">
        <v>46256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46257</v>
      </c>
      <c r="D29" s="5" t="s">
        <v>41</v>
      </c>
      <c r="E29" s="5" t="s">
        <v>44</v>
      </c>
      <c r="F29" s="5" t="s">
        <v>7</v>
      </c>
      <c r="G29" s="5"/>
      <c r="H29" s="6">
        <v>0</v>
      </c>
      <c r="I29" s="4">
        <v>46257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46258</v>
      </c>
      <c r="D30" s="5" t="s">
        <v>41</v>
      </c>
      <c r="E30" s="5" t="s">
        <v>44</v>
      </c>
      <c r="F30" s="5" t="s">
        <v>8</v>
      </c>
      <c r="G30" s="5"/>
      <c r="H30" s="6">
        <v>0</v>
      </c>
      <c r="I30" s="4">
        <v>46258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46259</v>
      </c>
      <c r="D31" s="5" t="s">
        <v>41</v>
      </c>
      <c r="E31" s="5" t="s">
        <v>44</v>
      </c>
      <c r="F31" s="5" t="s">
        <v>17</v>
      </c>
      <c r="G31" s="5"/>
      <c r="H31" s="6">
        <v>0</v>
      </c>
      <c r="I31" s="4">
        <v>46259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46260</v>
      </c>
      <c r="D32" s="5" t="s">
        <v>41</v>
      </c>
      <c r="E32" s="5" t="s">
        <v>44</v>
      </c>
      <c r="F32" s="5" t="s">
        <v>16</v>
      </c>
      <c r="G32" s="5"/>
      <c r="H32" s="6">
        <v>0</v>
      </c>
      <c r="I32" s="4">
        <v>46260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46261</v>
      </c>
      <c r="D33" s="5" t="s">
        <v>41</v>
      </c>
      <c r="E33" s="5" t="s">
        <v>44</v>
      </c>
      <c r="F33" s="5" t="s">
        <v>5</v>
      </c>
      <c r="G33" s="5"/>
      <c r="H33" s="6">
        <v>0</v>
      </c>
      <c r="I33" s="4">
        <v>46261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46262</v>
      </c>
      <c r="D34" s="5" t="s">
        <v>41</v>
      </c>
      <c r="E34" s="5" t="s">
        <v>44</v>
      </c>
      <c r="F34" s="5" t="s">
        <v>6</v>
      </c>
      <c r="G34" s="5"/>
      <c r="H34" s="6">
        <v>0</v>
      </c>
      <c r="I34" s="4">
        <v>46262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46263</v>
      </c>
      <c r="D35" s="5" t="s">
        <v>41</v>
      </c>
      <c r="E35" s="5" t="s">
        <v>44</v>
      </c>
      <c r="F35" s="5" t="s">
        <v>11</v>
      </c>
      <c r="G35" s="5"/>
      <c r="H35" s="6">
        <v>0</v>
      </c>
      <c r="I35" s="4">
        <v>46263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46264</v>
      </c>
      <c r="D36" s="5" t="s">
        <v>41</v>
      </c>
      <c r="E36" s="5" t="s">
        <v>44</v>
      </c>
      <c r="F36" s="5" t="s">
        <v>11</v>
      </c>
      <c r="G36" s="5"/>
      <c r="H36" s="6">
        <v>0</v>
      </c>
      <c r="I36" s="4">
        <v>46264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46265</v>
      </c>
      <c r="D37" s="5" t="s">
        <v>41</v>
      </c>
      <c r="E37" s="5" t="s">
        <v>44</v>
      </c>
      <c r="F37" s="5" t="s">
        <v>18</v>
      </c>
      <c r="G37" s="5"/>
      <c r="H37" s="6">
        <v>0</v>
      </c>
      <c r="I37" s="4">
        <v>46235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36">
        <v>46235</v>
      </c>
      <c r="D38" s="5" t="s">
        <v>41</v>
      </c>
      <c r="E38" s="5" t="s">
        <v>44</v>
      </c>
      <c r="G38" s="5"/>
      <c r="I38" s="4">
        <v>46236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36">
        <v>46236</v>
      </c>
      <c r="D39" s="5" t="s">
        <v>41</v>
      </c>
      <c r="E39" s="5" t="s">
        <v>44</v>
      </c>
      <c r="G39" s="5"/>
      <c r="I39" s="4">
        <v>46237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36">
        <v>46237</v>
      </c>
      <c r="D40" s="5" t="s">
        <v>41</v>
      </c>
      <c r="E40" s="5" t="s">
        <v>44</v>
      </c>
      <c r="G40" s="5"/>
      <c r="I40" s="4">
        <v>46238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36">
        <v>46238</v>
      </c>
      <c r="D41" s="5" t="s">
        <v>41</v>
      </c>
      <c r="E41" s="5" t="s">
        <v>44</v>
      </c>
      <c r="G41" s="5"/>
      <c r="I41" s="4">
        <v>46239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36">
        <v>46239</v>
      </c>
      <c r="D42" s="5" t="s">
        <v>41</v>
      </c>
      <c r="E42" s="5" t="s">
        <v>44</v>
      </c>
      <c r="G42" s="5"/>
      <c r="I42" s="4">
        <v>46240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36">
        <v>46240</v>
      </c>
      <c r="D43" s="5" t="s">
        <v>41</v>
      </c>
      <c r="E43" s="5" t="s">
        <v>44</v>
      </c>
      <c r="G43" s="5"/>
      <c r="I43" s="4">
        <v>46241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36">
        <v>46241</v>
      </c>
      <c r="D44" s="5" t="s">
        <v>41</v>
      </c>
      <c r="E44" s="5" t="s">
        <v>44</v>
      </c>
      <c r="G44" s="5"/>
      <c r="I44" s="4">
        <v>46242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36">
        <v>46242</v>
      </c>
      <c r="D45" s="5" t="s">
        <v>41</v>
      </c>
      <c r="E45" s="5" t="s">
        <v>44</v>
      </c>
      <c r="G45" s="5"/>
      <c r="I45" s="4">
        <v>46243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36">
        <v>46243</v>
      </c>
      <c r="D46" s="5" t="s">
        <v>41</v>
      </c>
      <c r="E46" s="5" t="s">
        <v>44</v>
      </c>
      <c r="G46" s="5"/>
      <c r="I46" s="4">
        <v>46244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36">
        <v>46244</v>
      </c>
      <c r="D47" s="5" t="s">
        <v>41</v>
      </c>
      <c r="E47" s="5" t="s">
        <v>44</v>
      </c>
      <c r="G47" s="5"/>
      <c r="I47" s="4">
        <v>46245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36">
        <v>46245</v>
      </c>
      <c r="D48" s="5" t="s">
        <v>41</v>
      </c>
      <c r="E48" s="5" t="s">
        <v>44</v>
      </c>
      <c r="G48" s="5"/>
      <c r="I48" s="4">
        <v>46246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36">
        <v>46246</v>
      </c>
      <c r="D49" s="5" t="s">
        <v>41</v>
      </c>
      <c r="E49" s="5" t="s">
        <v>44</v>
      </c>
      <c r="G49" s="5"/>
      <c r="I49" s="4">
        <v>46247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36">
        <v>46247</v>
      </c>
      <c r="D50" s="5" t="s">
        <v>41</v>
      </c>
      <c r="E50" s="5" t="s">
        <v>44</v>
      </c>
      <c r="G50" s="5"/>
      <c r="I50" s="4">
        <v>46248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36">
        <v>46248</v>
      </c>
      <c r="D51" s="5" t="s">
        <v>41</v>
      </c>
      <c r="E51" s="5" t="s">
        <v>44</v>
      </c>
      <c r="G51" s="5"/>
      <c r="I51" s="4">
        <v>46249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36">
        <v>46249</v>
      </c>
      <c r="D52" s="5" t="s">
        <v>41</v>
      </c>
      <c r="E52" s="5" t="s">
        <v>44</v>
      </c>
      <c r="G52" s="5"/>
      <c r="I52" s="4">
        <v>46250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36">
        <v>46250</v>
      </c>
      <c r="D53" s="5" t="s">
        <v>41</v>
      </c>
      <c r="E53" s="5" t="s">
        <v>44</v>
      </c>
      <c r="G53" s="5"/>
      <c r="I53" s="4">
        <v>46251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36">
        <v>46251</v>
      </c>
      <c r="D54" s="5" t="s">
        <v>41</v>
      </c>
      <c r="E54" s="5" t="s">
        <v>44</v>
      </c>
      <c r="G54" s="5"/>
      <c r="I54" s="4">
        <v>46252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36">
        <v>46252</v>
      </c>
      <c r="D55" s="5" t="s">
        <v>41</v>
      </c>
      <c r="E55" s="5" t="s">
        <v>44</v>
      </c>
      <c r="G55" s="5"/>
      <c r="I55" s="4">
        <v>46253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36">
        <v>46253</v>
      </c>
      <c r="D56" s="5" t="s">
        <v>41</v>
      </c>
      <c r="E56" s="5" t="s">
        <v>44</v>
      </c>
      <c r="G56" s="5"/>
      <c r="I56" s="4">
        <v>46254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36">
        <v>46254</v>
      </c>
      <c r="D57" s="5" t="s">
        <v>41</v>
      </c>
      <c r="E57" s="5" t="s">
        <v>44</v>
      </c>
      <c r="G57" s="5"/>
      <c r="I57" s="4">
        <v>46255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36">
        <v>46255</v>
      </c>
      <c r="D58" s="5" t="s">
        <v>41</v>
      </c>
      <c r="E58" s="5" t="s">
        <v>44</v>
      </c>
      <c r="G58" s="5"/>
      <c r="I58" s="4">
        <v>46256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36">
        <v>46256</v>
      </c>
      <c r="D59" s="5" t="s">
        <v>41</v>
      </c>
      <c r="E59" s="5" t="s">
        <v>44</v>
      </c>
      <c r="G59" s="5"/>
      <c r="I59" s="4">
        <v>46257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36">
        <v>46257</v>
      </c>
      <c r="D60" s="5" t="s">
        <v>41</v>
      </c>
      <c r="E60" s="5" t="s">
        <v>44</v>
      </c>
      <c r="G60" s="5"/>
      <c r="I60" s="4">
        <v>46258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36">
        <v>46258</v>
      </c>
      <c r="D61" s="5" t="s">
        <v>41</v>
      </c>
      <c r="E61" s="5" t="s">
        <v>44</v>
      </c>
      <c r="G61" s="5"/>
      <c r="I61" s="4">
        <v>46259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36">
        <v>46259</v>
      </c>
      <c r="D62" s="5" t="s">
        <v>41</v>
      </c>
      <c r="E62" s="5" t="s">
        <v>44</v>
      </c>
      <c r="G62" s="5"/>
      <c r="I62" s="4">
        <v>46260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36">
        <v>46260</v>
      </c>
      <c r="D63" s="5" t="s">
        <v>41</v>
      </c>
      <c r="E63" s="5" t="s">
        <v>44</v>
      </c>
      <c r="G63" s="5"/>
      <c r="I63" s="4">
        <v>46261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36">
        <v>46261</v>
      </c>
      <c r="D64" s="5" t="s">
        <v>41</v>
      </c>
      <c r="E64" s="5" t="s">
        <v>44</v>
      </c>
      <c r="G64" s="5"/>
      <c r="I64" s="4">
        <v>46262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36">
        <v>46262</v>
      </c>
      <c r="D65" s="5" t="s">
        <v>41</v>
      </c>
      <c r="E65" s="5" t="s">
        <v>44</v>
      </c>
      <c r="G65" s="5"/>
      <c r="I65" s="4">
        <v>46263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36">
        <v>46263</v>
      </c>
      <c r="D66" s="5" t="s">
        <v>41</v>
      </c>
      <c r="E66" s="5" t="s">
        <v>44</v>
      </c>
      <c r="G66" s="5"/>
      <c r="I66" s="4">
        <v>46264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36">
        <v>46264</v>
      </c>
      <c r="D67" s="5" t="s">
        <v>41</v>
      </c>
      <c r="E67" s="5" t="s">
        <v>44</v>
      </c>
      <c r="G67" s="5"/>
      <c r="I67" s="4">
        <v>46265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36">
        <v>46265</v>
      </c>
      <c r="D68" s="5" t="s">
        <v>41</v>
      </c>
      <c r="E68" s="5" t="s">
        <v>44</v>
      </c>
      <c r="G68" s="5"/>
      <c r="I68" s="4">
        <v>46266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36">
        <v>46266</v>
      </c>
      <c r="D69" s="5" t="s">
        <v>41</v>
      </c>
      <c r="E69" s="5" t="s">
        <v>44</v>
      </c>
      <c r="G69" s="5"/>
      <c r="I69" s="4">
        <v>46267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36">
        <v>46267</v>
      </c>
      <c r="D70" s="5" t="s">
        <v>41</v>
      </c>
      <c r="E70" s="5" t="s">
        <v>44</v>
      </c>
      <c r="G70" s="5"/>
      <c r="I70" s="4">
        <v>46268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36">
        <v>46268</v>
      </c>
      <c r="D71" s="5" t="s">
        <v>41</v>
      </c>
      <c r="E71" s="5" t="s">
        <v>44</v>
      </c>
      <c r="G71" s="5"/>
      <c r="I71" s="4">
        <v>46269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36">
        <v>46269</v>
      </c>
      <c r="D72" s="5" t="s">
        <v>41</v>
      </c>
      <c r="E72" s="5" t="s">
        <v>44</v>
      </c>
      <c r="G72" s="5"/>
      <c r="I72" s="4">
        <v>46270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36">
        <v>46270</v>
      </c>
      <c r="D73" s="5" t="s">
        <v>41</v>
      </c>
      <c r="E73" s="5" t="s">
        <v>44</v>
      </c>
      <c r="G73" s="5"/>
      <c r="I73" s="4">
        <v>46271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36">
        <v>46271</v>
      </c>
      <c r="D74" s="5" t="s">
        <v>41</v>
      </c>
      <c r="E74" s="5" t="s">
        <v>44</v>
      </c>
      <c r="G74" s="5"/>
      <c r="I74" s="4">
        <v>46272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36">
        <v>46272</v>
      </c>
      <c r="D75" s="5" t="s">
        <v>41</v>
      </c>
      <c r="E75" s="5" t="s">
        <v>44</v>
      </c>
      <c r="G75" s="5"/>
      <c r="I75" s="4">
        <v>46273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36">
        <v>46273</v>
      </c>
      <c r="D76" s="5" t="s">
        <v>41</v>
      </c>
      <c r="E76" s="5" t="s">
        <v>44</v>
      </c>
      <c r="G76" s="5"/>
      <c r="I76" s="4">
        <v>46274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36">
        <v>46274</v>
      </c>
      <c r="D77" s="5" t="s">
        <v>41</v>
      </c>
      <c r="E77" s="5" t="s">
        <v>44</v>
      </c>
      <c r="G77" s="5"/>
      <c r="I77" s="4">
        <v>46275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36">
        <v>46275</v>
      </c>
      <c r="D78" s="5" t="s">
        <v>41</v>
      </c>
      <c r="E78" s="5" t="s">
        <v>44</v>
      </c>
      <c r="G78" s="5"/>
      <c r="I78" s="4">
        <v>46276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36">
        <v>46276</v>
      </c>
      <c r="D79" s="5" t="s">
        <v>41</v>
      </c>
      <c r="E79" s="5" t="s">
        <v>44</v>
      </c>
      <c r="G79" s="5"/>
      <c r="I79" s="4">
        <v>46277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36">
        <v>46277</v>
      </c>
      <c r="D80" s="5" t="s">
        <v>41</v>
      </c>
      <c r="E80" s="5" t="s">
        <v>44</v>
      </c>
      <c r="G80" s="5" t="s">
        <v>113</v>
      </c>
      <c r="I80" s="4">
        <v>46278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36">
        <v>46278</v>
      </c>
      <c r="D81" s="5" t="s">
        <v>41</v>
      </c>
      <c r="E81" s="5" t="s">
        <v>44</v>
      </c>
      <c r="I81" s="4">
        <v>46279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36">
        <v>46279</v>
      </c>
      <c r="D82" s="5" t="s">
        <v>41</v>
      </c>
      <c r="E82" s="5" t="s">
        <v>44</v>
      </c>
      <c r="I82" s="4">
        <v>46280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36">
        <v>46280</v>
      </c>
      <c r="D83" s="5" t="s">
        <v>41</v>
      </c>
      <c r="E83" s="5" t="s">
        <v>44</v>
      </c>
      <c r="I83" s="4">
        <v>46281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36">
        <v>46281</v>
      </c>
      <c r="D84" s="5" t="s">
        <v>41</v>
      </c>
      <c r="E84" s="5" t="s">
        <v>44</v>
      </c>
      <c r="I84" s="4">
        <v>46282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37"/>
  <mergeCells count="2">
    <mergeCell ref="C5:H5"/>
    <mergeCell ref="M7:N7"/>
  </mergeCells>
  <conditionalFormatting sqref="F81:G1048576 F38:F80">
    <cfRule type="cellIs" dxfId="327" priority="36" operator="equal">
      <formula>"RECEITA"</formula>
    </cfRule>
    <cfRule type="cellIs" dxfId="326" priority="37" operator="equal">
      <formula>"DESPESA"</formula>
    </cfRule>
    <cfRule type="cellIs" dxfId="325" priority="38" operator="equal">
      <formula>"RECEITA"</formula>
    </cfRule>
    <cfRule type="cellIs" dxfId="324" priority="39" operator="equal">
      <formula>"DESPESA"</formula>
    </cfRule>
    <cfRule type="cellIs" dxfId="323" priority="40" operator="equal">
      <formula>"RECEITA"</formula>
    </cfRule>
    <cfRule type="cellIs" dxfId="322" priority="41" operator="equal">
      <formula>"DESPESA"</formula>
    </cfRule>
  </conditionalFormatting>
  <conditionalFormatting sqref="M8">
    <cfRule type="cellIs" dxfId="321" priority="30" operator="equal">
      <formula>"RECEITA"</formula>
    </cfRule>
    <cfRule type="cellIs" dxfId="320" priority="31" operator="equal">
      <formula>"DESPESA"</formula>
    </cfRule>
    <cfRule type="cellIs" dxfId="319" priority="32" operator="equal">
      <formula>"RECEITA"</formula>
    </cfRule>
    <cfRule type="cellIs" dxfId="318" priority="33" operator="equal">
      <formula>"DESPESA"</formula>
    </cfRule>
    <cfRule type="cellIs" dxfId="317" priority="34" operator="equal">
      <formula>"RECEITA"</formula>
    </cfRule>
    <cfRule type="cellIs" dxfId="316" priority="35" operator="equal">
      <formula>"DESPESA"</formula>
    </cfRule>
  </conditionalFormatting>
  <conditionalFormatting sqref="M9">
    <cfRule type="cellIs" dxfId="315" priority="24" operator="equal">
      <formula>"RECEITA"</formula>
    </cfRule>
    <cfRule type="cellIs" dxfId="314" priority="25" operator="equal">
      <formula>"DESPESA"</formula>
    </cfRule>
    <cfRule type="cellIs" dxfId="313" priority="26" operator="equal">
      <formula>"RECEITA"</formula>
    </cfRule>
    <cfRule type="cellIs" dxfId="312" priority="27" operator="equal">
      <formula>"DESPESA"</formula>
    </cfRule>
    <cfRule type="cellIs" dxfId="311" priority="28" operator="equal">
      <formula>"RECEITA"</formula>
    </cfRule>
    <cfRule type="cellIs" dxfId="310" priority="29" operator="equal">
      <formula>"DESPESA"</formula>
    </cfRule>
  </conditionalFormatting>
  <conditionalFormatting sqref="N10">
    <cfRule type="cellIs" dxfId="309" priority="19" operator="greaterThan">
      <formula>0</formula>
    </cfRule>
    <cfRule type="cellIs" dxfId="308" priority="20" operator="greaterThan">
      <formula>0</formula>
    </cfRule>
    <cfRule type="cellIs" dxfId="307" priority="21" operator="greaterThan">
      <formula>0</formula>
    </cfRule>
    <cfRule type="cellIs" dxfId="306" priority="22" operator="lessThan">
      <formula>0</formula>
    </cfRule>
    <cfRule type="cellIs" dxfId="305" priority="23" operator="greaterThan">
      <formula>0</formula>
    </cfRule>
  </conditionalFormatting>
  <conditionalFormatting sqref="E7:E84">
    <cfRule type="cellIs" dxfId="304" priority="7" operator="equal">
      <formula>"RECEITA"</formula>
    </cfRule>
    <cfRule type="cellIs" dxfId="303" priority="8" operator="equal">
      <formula>"DESPESA"</formula>
    </cfRule>
    <cfRule type="cellIs" dxfId="302" priority="9" operator="equal">
      <formula>"RECEITA"</formula>
    </cfRule>
    <cfRule type="cellIs" dxfId="301" priority="10" operator="equal">
      <formula>"DESPESA"</formula>
    </cfRule>
    <cfRule type="cellIs" dxfId="300" priority="11" operator="equal">
      <formula>"RECEITA"</formula>
    </cfRule>
    <cfRule type="cellIs" dxfId="299" priority="12" operator="equal">
      <formula>"DESPESA"</formula>
    </cfRule>
  </conditionalFormatting>
  <conditionalFormatting sqref="D7:D84">
    <cfRule type="cellIs" dxfId="298" priority="3" operator="equal">
      <formula>"RECEITA"</formula>
    </cfRule>
    <cfRule type="cellIs" dxfId="297" priority="4" operator="equal">
      <formula>"DESPESA"</formula>
    </cfRule>
    <cfRule type="cellIs" dxfId="296" priority="5" operator="equal">
      <formula>"RECEITA"</formula>
    </cfRule>
    <cfRule type="cellIs" dxfId="295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B44579F9-3008-4EA6-8CBA-9268FB383647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BAAAF150-174F-4D64-BAAB-72D3DD8D5929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B1:O84"/>
  <sheetViews>
    <sheetView showGridLines="0" zoomScale="90" zoomScaleNormal="90" workbookViewId="0">
      <selection activeCell="J5" sqref="J5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87" t="s">
        <v>19</v>
      </c>
      <c r="D5" s="87"/>
      <c r="E5" s="87"/>
      <c r="F5" s="87"/>
      <c r="G5" s="87"/>
      <c r="H5" s="8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40</v>
      </c>
      <c r="E7" s="5" t="s">
        <v>44</v>
      </c>
      <c r="F7" s="5" t="s">
        <v>5</v>
      </c>
      <c r="G7" s="5" t="s">
        <v>110</v>
      </c>
      <c r="H7" s="6">
        <v>1</v>
      </c>
      <c r="I7" s="4">
        <v>46266</v>
      </c>
      <c r="J7" t="str">
        <f>VLOOKUP(D7,'plano de contas'!$O$8:$P$13,2,0)</f>
        <v>REC_SER</v>
      </c>
      <c r="M7" s="86" t="s">
        <v>14</v>
      </c>
      <c r="N7" s="8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76</v>
      </c>
      <c r="E8" s="5" t="s">
        <v>44</v>
      </c>
      <c r="F8" s="5" t="s">
        <v>11</v>
      </c>
      <c r="G8" s="5" t="s">
        <v>124</v>
      </c>
      <c r="H8" s="6">
        <v>2</v>
      </c>
      <c r="I8" s="4">
        <v>46267</v>
      </c>
      <c r="J8" t="str">
        <f>VLOOKUP(D8,'plano de contas'!$O$8:$P$13,2,0)</f>
        <v>DESP_MKT</v>
      </c>
      <c r="M8" s="7" t="s">
        <v>3</v>
      </c>
      <c r="N8" s="8">
        <f>'FLUXO DE CAIXA (2)'!K9</f>
        <v>13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46025</v>
      </c>
      <c r="D9" s="5" t="s">
        <v>39</v>
      </c>
      <c r="E9" s="5" t="s">
        <v>53</v>
      </c>
      <c r="F9" s="5" t="s">
        <v>6</v>
      </c>
      <c r="G9" s="5" t="s">
        <v>125</v>
      </c>
      <c r="H9" s="6">
        <v>3</v>
      </c>
      <c r="I9" s="4">
        <v>46268</v>
      </c>
      <c r="J9" t="str">
        <f>VLOOKUP(D9,'plano de contas'!$O$8:$P$13,2,0)</f>
        <v>REC_PROD</v>
      </c>
      <c r="M9" s="7" t="s">
        <v>4</v>
      </c>
      <c r="N9" s="8">
        <f>'FLUXO DE CAIXA (2)'!K10</f>
        <v>619</v>
      </c>
      <c r="O9" t="str">
        <f t="shared" si="0"/>
        <v>RECEITAS</v>
      </c>
    </row>
    <row r="10" spans="2:15" ht="30" customHeight="1" x14ac:dyDescent="0.35">
      <c r="C10" s="4">
        <v>46026</v>
      </c>
      <c r="D10" s="5" t="s">
        <v>41</v>
      </c>
      <c r="E10" s="5" t="s">
        <v>44</v>
      </c>
      <c r="F10" s="5" t="s">
        <v>7</v>
      </c>
      <c r="G10" s="5" t="s">
        <v>126</v>
      </c>
      <c r="H10" s="6">
        <v>4</v>
      </c>
      <c r="I10" s="4">
        <v>46269</v>
      </c>
      <c r="J10" t="str">
        <f>VLOOKUP(D10,'plano de contas'!$O$8:$P$13,2,0)</f>
        <v>DESP_PROD</v>
      </c>
      <c r="M10" s="9" t="s">
        <v>15</v>
      </c>
      <c r="N10" s="10">
        <f>N8-N9</f>
        <v>-606</v>
      </c>
      <c r="O10" t="str">
        <f t="shared" si="0"/>
        <v>DESPESAS</v>
      </c>
    </row>
    <row r="11" spans="2:15" ht="30" customHeight="1" x14ac:dyDescent="0.25">
      <c r="C11" s="4">
        <v>46027</v>
      </c>
      <c r="D11" s="5" t="s">
        <v>41</v>
      </c>
      <c r="E11" s="5" t="s">
        <v>44</v>
      </c>
      <c r="F11" s="5" t="s">
        <v>8</v>
      </c>
      <c r="G11" s="5" t="s">
        <v>127</v>
      </c>
      <c r="H11" s="6">
        <v>5</v>
      </c>
      <c r="I11" s="4">
        <v>46270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46028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46271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46029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46272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46030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46273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46274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46275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46033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46276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46034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46277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46035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46278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46036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46279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46037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46280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46038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46281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46039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46282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46040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46283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46041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46284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46042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46285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46043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46286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46044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46287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46045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46288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46046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46289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46047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46290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46048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46291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46049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46292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46050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46293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46051</v>
      </c>
      <c r="D35" s="5" t="s">
        <v>41</v>
      </c>
      <c r="E35" s="5" t="s">
        <v>44</v>
      </c>
      <c r="F35" s="5" t="s">
        <v>18</v>
      </c>
      <c r="G35" s="5"/>
      <c r="H35" s="6">
        <v>29</v>
      </c>
      <c r="I35" s="4">
        <v>46294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46052</v>
      </c>
      <c r="D36" s="5" t="s">
        <v>41</v>
      </c>
      <c r="E36" s="5" t="s">
        <v>44</v>
      </c>
      <c r="F36" s="5" t="s">
        <v>18</v>
      </c>
      <c r="G36" s="5"/>
      <c r="H36" s="6">
        <v>1</v>
      </c>
      <c r="I36" s="4">
        <v>46295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46053</v>
      </c>
      <c r="D37" s="5" t="s">
        <v>41</v>
      </c>
      <c r="E37" s="5" t="s">
        <v>44</v>
      </c>
      <c r="F37" s="5" t="s">
        <v>18</v>
      </c>
      <c r="G37" s="5"/>
      <c r="H37" s="6">
        <v>2</v>
      </c>
      <c r="I37" s="4">
        <v>46296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46054</v>
      </c>
      <c r="D38" s="5" t="s">
        <v>41</v>
      </c>
      <c r="E38" s="5" t="s">
        <v>44</v>
      </c>
      <c r="F38" s="5" t="s">
        <v>18</v>
      </c>
      <c r="G38" s="5"/>
      <c r="H38" s="6">
        <v>3</v>
      </c>
      <c r="I38" s="4">
        <v>46297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46055</v>
      </c>
      <c r="D39" s="5" t="s">
        <v>41</v>
      </c>
      <c r="E39" s="5" t="s">
        <v>44</v>
      </c>
      <c r="F39" s="5" t="s">
        <v>18</v>
      </c>
      <c r="G39" s="5"/>
      <c r="H39" s="6">
        <v>4</v>
      </c>
      <c r="I39" s="4">
        <v>46298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46056</v>
      </c>
      <c r="D40" s="5" t="s">
        <v>41</v>
      </c>
      <c r="E40" s="5" t="s">
        <v>44</v>
      </c>
      <c r="F40" s="5" t="s">
        <v>18</v>
      </c>
      <c r="G40" s="5"/>
      <c r="H40" s="6">
        <v>5</v>
      </c>
      <c r="I40" s="4">
        <v>46299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46057</v>
      </c>
      <c r="D41" s="5" t="s">
        <v>41</v>
      </c>
      <c r="E41" s="5" t="s">
        <v>44</v>
      </c>
      <c r="F41" s="5" t="s">
        <v>18</v>
      </c>
      <c r="G41" s="5"/>
      <c r="H41" s="6">
        <v>6</v>
      </c>
      <c r="I41" s="4">
        <v>46300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46058</v>
      </c>
      <c r="D42" s="5" t="s">
        <v>41</v>
      </c>
      <c r="E42" s="5" t="s">
        <v>44</v>
      </c>
      <c r="F42" s="5" t="s">
        <v>18</v>
      </c>
      <c r="G42" s="5"/>
      <c r="H42" s="6">
        <v>7</v>
      </c>
      <c r="I42" s="4">
        <v>46301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46059</v>
      </c>
      <c r="D43" s="5" t="s">
        <v>41</v>
      </c>
      <c r="E43" s="5" t="s">
        <v>44</v>
      </c>
      <c r="F43" s="5" t="s">
        <v>18</v>
      </c>
      <c r="G43" s="5"/>
      <c r="H43" s="6">
        <v>8</v>
      </c>
      <c r="I43" s="4">
        <v>46302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46060</v>
      </c>
      <c r="D44" s="5" t="s">
        <v>41</v>
      </c>
      <c r="E44" s="5" t="s">
        <v>44</v>
      </c>
      <c r="F44" s="5" t="s">
        <v>18</v>
      </c>
      <c r="G44" s="5"/>
      <c r="H44" s="6">
        <v>9</v>
      </c>
      <c r="I44" s="4">
        <v>46303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46061</v>
      </c>
      <c r="D45" s="5" t="s">
        <v>41</v>
      </c>
      <c r="E45" s="5" t="s">
        <v>44</v>
      </c>
      <c r="F45" s="5" t="s">
        <v>18</v>
      </c>
      <c r="G45" s="5"/>
      <c r="H45" s="6">
        <v>10</v>
      </c>
      <c r="I45" s="4">
        <v>46304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46062</v>
      </c>
      <c r="D46" s="5" t="s">
        <v>41</v>
      </c>
      <c r="E46" s="5" t="s">
        <v>44</v>
      </c>
      <c r="F46" s="5" t="s">
        <v>18</v>
      </c>
      <c r="G46" s="5"/>
      <c r="H46" s="6">
        <v>11</v>
      </c>
      <c r="I46" s="4">
        <v>46305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46063</v>
      </c>
      <c r="D47" s="5" t="s">
        <v>41</v>
      </c>
      <c r="E47" s="5" t="s">
        <v>44</v>
      </c>
      <c r="F47" s="5" t="s">
        <v>18</v>
      </c>
      <c r="G47" s="5"/>
      <c r="H47" s="6">
        <v>12</v>
      </c>
      <c r="I47" s="4">
        <v>46306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46064</v>
      </c>
      <c r="D48" s="5" t="s">
        <v>41</v>
      </c>
      <c r="E48" s="5" t="s">
        <v>44</v>
      </c>
      <c r="F48" s="5" t="s">
        <v>18</v>
      </c>
      <c r="G48" s="5"/>
      <c r="H48" s="6">
        <v>13</v>
      </c>
      <c r="I48" s="4">
        <v>46307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46065</v>
      </c>
      <c r="D49" s="5" t="s">
        <v>41</v>
      </c>
      <c r="E49" s="5" t="s">
        <v>44</v>
      </c>
      <c r="F49" s="5" t="s">
        <v>18</v>
      </c>
      <c r="G49" s="5"/>
      <c r="H49" s="6">
        <v>14</v>
      </c>
      <c r="I49" s="4">
        <v>46308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46066</v>
      </c>
      <c r="D50" s="5" t="s">
        <v>41</v>
      </c>
      <c r="E50" s="5" t="s">
        <v>44</v>
      </c>
      <c r="F50" s="5" t="s">
        <v>18</v>
      </c>
      <c r="G50" s="5"/>
      <c r="H50" s="6">
        <v>15</v>
      </c>
      <c r="I50" s="4">
        <v>46309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46067</v>
      </c>
      <c r="D51" s="5" t="s">
        <v>41</v>
      </c>
      <c r="E51" s="5" t="s">
        <v>44</v>
      </c>
      <c r="F51" s="5" t="s">
        <v>18</v>
      </c>
      <c r="G51" s="5"/>
      <c r="H51" s="6">
        <v>16</v>
      </c>
      <c r="I51" s="4">
        <v>46310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46068</v>
      </c>
      <c r="D52" s="5" t="s">
        <v>41</v>
      </c>
      <c r="E52" s="5" t="s">
        <v>44</v>
      </c>
      <c r="F52" s="5" t="s">
        <v>18</v>
      </c>
      <c r="G52" s="5"/>
      <c r="H52" s="6">
        <v>17</v>
      </c>
      <c r="I52" s="4">
        <v>46311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46069</v>
      </c>
      <c r="D53" s="5" t="s">
        <v>41</v>
      </c>
      <c r="E53" s="5" t="s">
        <v>44</v>
      </c>
      <c r="F53" s="5" t="s">
        <v>18</v>
      </c>
      <c r="G53" s="5"/>
      <c r="H53" s="6">
        <v>18</v>
      </c>
      <c r="I53" s="4">
        <v>46312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46070</v>
      </c>
      <c r="D54" s="5" t="s">
        <v>41</v>
      </c>
      <c r="E54" s="5" t="s">
        <v>44</v>
      </c>
      <c r="F54" s="5" t="s">
        <v>18</v>
      </c>
      <c r="G54" s="5"/>
      <c r="H54" s="6">
        <v>19</v>
      </c>
      <c r="I54" s="4">
        <v>46313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46071</v>
      </c>
      <c r="D55" s="5" t="s">
        <v>41</v>
      </c>
      <c r="E55" s="5" t="s">
        <v>44</v>
      </c>
      <c r="F55" s="5" t="s">
        <v>18</v>
      </c>
      <c r="G55" s="5"/>
      <c r="H55" s="6">
        <v>20</v>
      </c>
      <c r="I55" s="4">
        <v>46314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46072</v>
      </c>
      <c r="D56" s="5" t="s">
        <v>41</v>
      </c>
      <c r="E56" s="5" t="s">
        <v>44</v>
      </c>
      <c r="F56" s="5" t="s">
        <v>18</v>
      </c>
      <c r="G56" s="5"/>
      <c r="H56" s="6">
        <v>21</v>
      </c>
      <c r="I56" s="4">
        <v>46315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46073</v>
      </c>
      <c r="D57" s="5" t="s">
        <v>41</v>
      </c>
      <c r="E57" s="5" t="s">
        <v>44</v>
      </c>
      <c r="F57" s="5" t="s">
        <v>18</v>
      </c>
      <c r="G57" s="5"/>
      <c r="H57" s="6">
        <v>22</v>
      </c>
      <c r="I57" s="4">
        <v>46316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46074</v>
      </c>
      <c r="D58" s="5" t="s">
        <v>41</v>
      </c>
      <c r="E58" s="5" t="s">
        <v>44</v>
      </c>
      <c r="F58" s="5" t="s">
        <v>18</v>
      </c>
      <c r="G58" s="5"/>
      <c r="H58" s="6">
        <v>23</v>
      </c>
      <c r="I58" s="4">
        <v>46317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46075</v>
      </c>
      <c r="D59" s="5" t="s">
        <v>41</v>
      </c>
      <c r="E59" s="5" t="s">
        <v>44</v>
      </c>
      <c r="F59" s="5" t="s">
        <v>18</v>
      </c>
      <c r="G59" s="5"/>
      <c r="H59" s="6">
        <v>24</v>
      </c>
      <c r="I59" s="4">
        <v>46318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46076</v>
      </c>
      <c r="D60" s="5" t="s">
        <v>41</v>
      </c>
      <c r="E60" s="5" t="s">
        <v>44</v>
      </c>
      <c r="F60" s="5" t="s">
        <v>18</v>
      </c>
      <c r="G60" s="5"/>
      <c r="H60" s="6">
        <v>25</v>
      </c>
      <c r="I60" s="4">
        <v>46289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46077</v>
      </c>
      <c r="D61" s="5" t="s">
        <v>41</v>
      </c>
      <c r="E61" s="5" t="s">
        <v>44</v>
      </c>
      <c r="F61" s="5" t="s">
        <v>18</v>
      </c>
      <c r="G61" s="5"/>
      <c r="H61" s="6">
        <v>26</v>
      </c>
      <c r="I61" s="4">
        <v>46290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46078</v>
      </c>
      <c r="D62" s="5" t="s">
        <v>41</v>
      </c>
      <c r="E62" s="5" t="s">
        <v>44</v>
      </c>
      <c r="F62" s="5" t="s">
        <v>18</v>
      </c>
      <c r="G62" s="5"/>
      <c r="H62" s="6">
        <v>27</v>
      </c>
      <c r="I62" s="4">
        <v>46291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46079</v>
      </c>
      <c r="D63" s="5" t="s">
        <v>41</v>
      </c>
      <c r="E63" s="5" t="s">
        <v>44</v>
      </c>
      <c r="F63" s="5" t="s">
        <v>18</v>
      </c>
      <c r="G63" s="5"/>
      <c r="H63" s="6">
        <v>28</v>
      </c>
      <c r="I63" s="4">
        <v>46292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46080</v>
      </c>
      <c r="D64" s="5" t="s">
        <v>41</v>
      </c>
      <c r="E64" s="5" t="s">
        <v>44</v>
      </c>
      <c r="F64" s="5" t="s">
        <v>18</v>
      </c>
      <c r="G64" s="5"/>
      <c r="H64" s="6">
        <v>29</v>
      </c>
      <c r="I64" s="4">
        <v>46293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46081</v>
      </c>
      <c r="D65" s="5" t="s">
        <v>41</v>
      </c>
      <c r="E65" s="5" t="s">
        <v>44</v>
      </c>
      <c r="F65" s="5" t="s">
        <v>18</v>
      </c>
      <c r="G65" s="5"/>
      <c r="H65" s="6">
        <v>30</v>
      </c>
      <c r="I65" s="4">
        <v>46294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46082</v>
      </c>
      <c r="D66" s="5" t="s">
        <v>41</v>
      </c>
      <c r="E66" s="5" t="s">
        <v>44</v>
      </c>
      <c r="F66" s="5" t="s">
        <v>18</v>
      </c>
      <c r="G66" s="5"/>
      <c r="H66" s="6">
        <v>31</v>
      </c>
      <c r="I66" s="4">
        <v>46295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46083</v>
      </c>
      <c r="D67" s="5" t="s">
        <v>41</v>
      </c>
      <c r="E67" s="5" t="s">
        <v>44</v>
      </c>
      <c r="F67" s="5" t="s">
        <v>18</v>
      </c>
      <c r="G67" s="5"/>
      <c r="H67" s="6">
        <v>32</v>
      </c>
      <c r="I67" s="4">
        <v>46296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46084</v>
      </c>
      <c r="D68" s="5" t="s">
        <v>41</v>
      </c>
      <c r="E68" s="5" t="s">
        <v>44</v>
      </c>
      <c r="F68" s="5" t="s">
        <v>18</v>
      </c>
      <c r="G68" s="5"/>
      <c r="H68" s="6">
        <v>33</v>
      </c>
      <c r="I68" s="4">
        <v>46297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46085</v>
      </c>
      <c r="D69" s="5" t="s">
        <v>41</v>
      </c>
      <c r="E69" s="5" t="s">
        <v>44</v>
      </c>
      <c r="F69" s="5" t="s">
        <v>18</v>
      </c>
      <c r="G69" s="5"/>
      <c r="H69" s="6">
        <v>34</v>
      </c>
      <c r="I69" s="4">
        <v>46298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46086</v>
      </c>
      <c r="D70" s="5" t="s">
        <v>41</v>
      </c>
      <c r="E70" s="5" t="s">
        <v>44</v>
      </c>
      <c r="F70" s="5" t="s">
        <v>18</v>
      </c>
      <c r="G70" s="5"/>
      <c r="H70" s="6">
        <v>35</v>
      </c>
      <c r="I70" s="4">
        <v>46299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46087</v>
      </c>
      <c r="D71" s="5" t="s">
        <v>41</v>
      </c>
      <c r="E71" s="5" t="s">
        <v>44</v>
      </c>
      <c r="F71" s="5" t="s">
        <v>18</v>
      </c>
      <c r="G71" s="5"/>
      <c r="H71" s="6">
        <v>36</v>
      </c>
      <c r="I71" s="4">
        <v>46300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46088</v>
      </c>
      <c r="D72" s="5" t="s">
        <v>41</v>
      </c>
      <c r="E72" s="5" t="s">
        <v>44</v>
      </c>
      <c r="F72" s="5" t="s">
        <v>18</v>
      </c>
      <c r="G72" s="5"/>
      <c r="H72" s="6">
        <v>37</v>
      </c>
      <c r="I72" s="4">
        <v>46301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46089</v>
      </c>
      <c r="D73" s="5" t="s">
        <v>41</v>
      </c>
      <c r="E73" s="5" t="s">
        <v>44</v>
      </c>
      <c r="F73" s="5" t="s">
        <v>18</v>
      </c>
      <c r="G73" s="5"/>
      <c r="H73" s="6">
        <v>38</v>
      </c>
      <c r="I73" s="4">
        <v>46302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46090</v>
      </c>
      <c r="D74" s="5" t="s">
        <v>41</v>
      </c>
      <c r="E74" s="5" t="s">
        <v>44</v>
      </c>
      <c r="F74" s="5" t="s">
        <v>18</v>
      </c>
      <c r="G74" s="5"/>
      <c r="H74" s="6">
        <v>39</v>
      </c>
      <c r="I74" s="4">
        <v>46303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46091</v>
      </c>
      <c r="D75" s="5" t="s">
        <v>41</v>
      </c>
      <c r="E75" s="5" t="s">
        <v>44</v>
      </c>
      <c r="F75" s="5" t="s">
        <v>18</v>
      </c>
      <c r="G75" s="5"/>
      <c r="H75" s="6">
        <v>40</v>
      </c>
      <c r="I75" s="4">
        <v>46304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46092</v>
      </c>
      <c r="D76" s="5" t="s">
        <v>41</v>
      </c>
      <c r="E76" s="5" t="s">
        <v>44</v>
      </c>
      <c r="F76" s="5" t="s">
        <v>18</v>
      </c>
      <c r="G76" s="5"/>
      <c r="H76" s="6">
        <v>41</v>
      </c>
      <c r="I76" s="4">
        <v>46305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46093</v>
      </c>
      <c r="D77" s="5" t="s">
        <v>41</v>
      </c>
      <c r="E77" s="5" t="s">
        <v>44</v>
      </c>
      <c r="F77" s="5" t="s">
        <v>18</v>
      </c>
      <c r="G77" s="5"/>
      <c r="H77" s="6">
        <v>42</v>
      </c>
      <c r="I77" s="4">
        <v>46306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46094</v>
      </c>
      <c r="D78" s="5" t="s">
        <v>41</v>
      </c>
      <c r="E78" s="5" t="s">
        <v>44</v>
      </c>
      <c r="F78" s="5" t="s">
        <v>18</v>
      </c>
      <c r="G78" s="5"/>
      <c r="H78" s="6">
        <v>43</v>
      </c>
      <c r="I78" s="4">
        <v>46307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46095</v>
      </c>
      <c r="D79" s="5" t="s">
        <v>41</v>
      </c>
      <c r="E79" s="5" t="s">
        <v>44</v>
      </c>
      <c r="F79" s="5" t="s">
        <v>18</v>
      </c>
      <c r="G79" s="5"/>
      <c r="H79" s="6">
        <v>44</v>
      </c>
      <c r="I79" s="4">
        <v>46308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46096</v>
      </c>
      <c r="D80" s="5" t="s">
        <v>41</v>
      </c>
      <c r="E80" s="5" t="s">
        <v>44</v>
      </c>
      <c r="F80" s="5" t="s">
        <v>18</v>
      </c>
      <c r="G80" s="5" t="s">
        <v>113</v>
      </c>
      <c r="H80" s="6">
        <v>45</v>
      </c>
      <c r="I80" s="4">
        <v>46309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4">
        <v>46097</v>
      </c>
      <c r="D81" s="5" t="s">
        <v>41</v>
      </c>
      <c r="E81" s="5" t="s">
        <v>44</v>
      </c>
      <c r="F81" s="5" t="s">
        <v>18</v>
      </c>
      <c r="G81" s="5"/>
      <c r="H81" s="6">
        <v>46</v>
      </c>
      <c r="I81" s="4">
        <v>46310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4">
        <v>46098</v>
      </c>
      <c r="D82" s="5" t="s">
        <v>41</v>
      </c>
      <c r="E82" s="5" t="s">
        <v>44</v>
      </c>
      <c r="F82" s="5" t="s">
        <v>18</v>
      </c>
      <c r="G82" s="5"/>
      <c r="H82" s="6">
        <v>47</v>
      </c>
      <c r="I82" s="4">
        <v>46311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4">
        <v>46099</v>
      </c>
      <c r="D83" s="5" t="s">
        <v>41</v>
      </c>
      <c r="E83" s="5" t="s">
        <v>44</v>
      </c>
      <c r="F83" s="5" t="s">
        <v>18</v>
      </c>
      <c r="G83" s="5"/>
      <c r="H83" s="6">
        <v>48</v>
      </c>
      <c r="I83" s="4">
        <v>46312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4">
        <v>46100</v>
      </c>
      <c r="D84" s="5" t="s">
        <v>41</v>
      </c>
      <c r="E84" s="5" t="s">
        <v>44</v>
      </c>
      <c r="F84" s="5" t="s">
        <v>18</v>
      </c>
      <c r="G84" s="5"/>
      <c r="H84" s="6">
        <v>49</v>
      </c>
      <c r="I84" s="4">
        <v>46313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5:G1048576">
    <cfRule type="cellIs" dxfId="292" priority="36" operator="equal">
      <formula>"RECEITA"</formula>
    </cfRule>
    <cfRule type="cellIs" dxfId="291" priority="37" operator="equal">
      <formula>"DESPESA"</formula>
    </cfRule>
    <cfRule type="cellIs" dxfId="290" priority="38" operator="equal">
      <formula>"RECEITA"</formula>
    </cfRule>
    <cfRule type="cellIs" dxfId="289" priority="39" operator="equal">
      <formula>"DESPESA"</formula>
    </cfRule>
    <cfRule type="cellIs" dxfId="288" priority="40" operator="equal">
      <formula>"RECEITA"</formula>
    </cfRule>
    <cfRule type="cellIs" dxfId="287" priority="41" operator="equal">
      <formula>"DESPESA"</formula>
    </cfRule>
  </conditionalFormatting>
  <conditionalFormatting sqref="M8">
    <cfRule type="cellIs" dxfId="286" priority="30" operator="equal">
      <formula>"RECEITA"</formula>
    </cfRule>
    <cfRule type="cellIs" dxfId="285" priority="31" operator="equal">
      <formula>"DESPESA"</formula>
    </cfRule>
    <cfRule type="cellIs" dxfId="284" priority="32" operator="equal">
      <formula>"RECEITA"</formula>
    </cfRule>
    <cfRule type="cellIs" dxfId="283" priority="33" operator="equal">
      <formula>"DESPESA"</formula>
    </cfRule>
    <cfRule type="cellIs" dxfId="282" priority="34" operator="equal">
      <formula>"RECEITA"</formula>
    </cfRule>
    <cfRule type="cellIs" dxfId="281" priority="35" operator="equal">
      <formula>"DESPESA"</formula>
    </cfRule>
  </conditionalFormatting>
  <conditionalFormatting sqref="M9">
    <cfRule type="cellIs" dxfId="280" priority="24" operator="equal">
      <formula>"RECEITA"</formula>
    </cfRule>
    <cfRule type="cellIs" dxfId="279" priority="25" operator="equal">
      <formula>"DESPESA"</formula>
    </cfRule>
    <cfRule type="cellIs" dxfId="278" priority="26" operator="equal">
      <formula>"RECEITA"</formula>
    </cfRule>
    <cfRule type="cellIs" dxfId="277" priority="27" operator="equal">
      <formula>"DESPESA"</formula>
    </cfRule>
    <cfRule type="cellIs" dxfId="276" priority="28" operator="equal">
      <formula>"RECEITA"</formula>
    </cfRule>
    <cfRule type="cellIs" dxfId="275" priority="29" operator="equal">
      <formula>"DESPESA"</formula>
    </cfRule>
  </conditionalFormatting>
  <conditionalFormatting sqref="N10">
    <cfRule type="cellIs" dxfId="274" priority="19" operator="greaterThan">
      <formula>0</formula>
    </cfRule>
    <cfRule type="cellIs" dxfId="273" priority="20" operator="greaterThan">
      <formula>0</formula>
    </cfRule>
    <cfRule type="cellIs" dxfId="272" priority="21" operator="greaterThan">
      <formula>0</formula>
    </cfRule>
    <cfRule type="cellIs" dxfId="271" priority="22" operator="lessThan">
      <formula>0</formula>
    </cfRule>
    <cfRule type="cellIs" dxfId="270" priority="23" operator="greaterThan">
      <formula>0</formula>
    </cfRule>
  </conditionalFormatting>
  <conditionalFormatting sqref="E7:E84">
    <cfRule type="cellIs" dxfId="269" priority="7" operator="equal">
      <formula>"RECEITA"</formula>
    </cfRule>
    <cfRule type="cellIs" dxfId="268" priority="8" operator="equal">
      <formula>"DESPESA"</formula>
    </cfRule>
    <cfRule type="cellIs" dxfId="267" priority="9" operator="equal">
      <formula>"RECEITA"</formula>
    </cfRule>
    <cfRule type="cellIs" dxfId="266" priority="10" operator="equal">
      <formula>"DESPESA"</formula>
    </cfRule>
    <cfRule type="cellIs" dxfId="265" priority="11" operator="equal">
      <formula>"RECEITA"</formula>
    </cfRule>
    <cfRule type="cellIs" dxfId="264" priority="12" operator="equal">
      <formula>"DESPESA"</formula>
    </cfRule>
  </conditionalFormatting>
  <conditionalFormatting sqref="D7:D84">
    <cfRule type="cellIs" dxfId="263" priority="3" operator="equal">
      <formula>"RECEITA"</formula>
    </cfRule>
    <cfRule type="cellIs" dxfId="262" priority="4" operator="equal">
      <formula>"DESPESA"</formula>
    </cfRule>
    <cfRule type="cellIs" dxfId="261" priority="5" operator="equal">
      <formula>"RECEITA"</formula>
    </cfRule>
    <cfRule type="cellIs" dxfId="260" priority="6" operator="equal">
      <formula>"DESPESA"</formula>
    </cfRule>
  </conditionalFormatting>
  <dataValidations disablePrompts="1"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67ACA0DD-18D5-4476-BAB7-416DC664A5ED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5FF32BB3-BCC7-4E97-8C95-C88FCACDDF0A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B1:O84"/>
  <sheetViews>
    <sheetView showGridLines="0" zoomScale="90" zoomScaleNormal="90" workbookViewId="0">
      <selection activeCell="E10" sqref="E10"/>
    </sheetView>
  </sheetViews>
  <sheetFormatPr defaultRowHeight="15" x14ac:dyDescent="0.25"/>
  <cols>
    <col min="3" max="3" width="18.285156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87" t="s">
        <v>19</v>
      </c>
      <c r="D5" s="87"/>
      <c r="E5" s="87"/>
      <c r="F5" s="87"/>
      <c r="G5" s="87"/>
      <c r="H5" s="8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46296</v>
      </c>
      <c r="D7" s="5" t="s">
        <v>40</v>
      </c>
      <c r="E7" s="5" t="s">
        <v>44</v>
      </c>
      <c r="F7" s="5" t="s">
        <v>5</v>
      </c>
      <c r="G7" s="5" t="s">
        <v>119</v>
      </c>
      <c r="H7" s="6">
        <v>1</v>
      </c>
      <c r="I7" s="4">
        <v>46327</v>
      </c>
      <c r="J7" t="str">
        <f>VLOOKUP(D7,'plano de contas'!$O$8:$P$13,2,0)</f>
        <v>REC_SER</v>
      </c>
      <c r="M7" s="86" t="s">
        <v>14</v>
      </c>
      <c r="N7" s="8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46297</v>
      </c>
      <c r="D8" s="5" t="s">
        <v>41</v>
      </c>
      <c r="E8" s="5" t="s">
        <v>44</v>
      </c>
      <c r="F8" s="5" t="s">
        <v>11</v>
      </c>
      <c r="G8" s="5" t="s">
        <v>119</v>
      </c>
      <c r="H8" s="6">
        <v>2</v>
      </c>
      <c r="I8" s="4">
        <v>46328</v>
      </c>
      <c r="J8" t="str">
        <f>VLOOKUP(D8,'plano de contas'!$O$8:$P$13,2,0)</f>
        <v>DESP_PROD</v>
      </c>
      <c r="M8" s="7" t="s">
        <v>3</v>
      </c>
      <c r="N8" s="8">
        <f>'FLUXO DE CAIXA (2)'!L9</f>
        <v>40.8333333333333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46298</v>
      </c>
      <c r="D9" s="5" t="s">
        <v>42</v>
      </c>
      <c r="E9" s="5" t="s">
        <v>53</v>
      </c>
      <c r="F9" s="5" t="s">
        <v>6</v>
      </c>
      <c r="G9" s="5" t="s">
        <v>119</v>
      </c>
      <c r="H9" s="6">
        <v>3</v>
      </c>
      <c r="I9" s="4">
        <v>46329</v>
      </c>
      <c r="J9" t="str">
        <f>VLOOKUP(D9,'plano de contas'!$O$8:$P$13,2,0)</f>
        <v>DESP_RH</v>
      </c>
      <c r="M9" s="7" t="s">
        <v>4</v>
      </c>
      <c r="N9" s="8">
        <f>'FLUXO DE CAIXA (2)'!L10</f>
        <v>1487.2333333333329</v>
      </c>
      <c r="O9" t="str">
        <f t="shared" si="0"/>
        <v>DESPESAS</v>
      </c>
    </row>
    <row r="10" spans="2:15" ht="30" customHeight="1" x14ac:dyDescent="0.35">
      <c r="C10" s="4">
        <v>46299</v>
      </c>
      <c r="D10" s="5" t="s">
        <v>39</v>
      </c>
      <c r="E10" s="5" t="s">
        <v>47</v>
      </c>
      <c r="F10" s="5" t="s">
        <v>7</v>
      </c>
      <c r="G10" s="5" t="s">
        <v>119</v>
      </c>
      <c r="H10" s="6">
        <v>4</v>
      </c>
      <c r="I10" s="4">
        <v>46330</v>
      </c>
      <c r="J10" t="str">
        <f>VLOOKUP(D10,'plano de contas'!$O$8:$P$13,2,0)</f>
        <v>REC_PROD</v>
      </c>
      <c r="M10" s="9" t="s">
        <v>15</v>
      </c>
      <c r="N10" s="10">
        <f>N8-N9</f>
        <v>-1446.3999999999996</v>
      </c>
      <c r="O10" t="str">
        <f t="shared" si="0"/>
        <v>RECEITAS</v>
      </c>
    </row>
    <row r="11" spans="2:15" ht="30" customHeight="1" x14ac:dyDescent="0.25">
      <c r="C11" s="4">
        <v>46300</v>
      </c>
      <c r="D11" s="5" t="s">
        <v>41</v>
      </c>
      <c r="E11" s="5" t="s">
        <v>44</v>
      </c>
      <c r="F11" s="5" t="s">
        <v>8</v>
      </c>
      <c r="G11" s="5" t="s">
        <v>119</v>
      </c>
      <c r="H11" s="6">
        <v>5</v>
      </c>
      <c r="I11" s="4">
        <v>46331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46301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46332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46302</v>
      </c>
      <c r="D13" s="5" t="s">
        <v>41</v>
      </c>
      <c r="E13" s="5" t="s">
        <v>44</v>
      </c>
      <c r="F13" s="5" t="s">
        <v>12</v>
      </c>
      <c r="G13" s="5"/>
      <c r="H13" s="6">
        <v>19</v>
      </c>
      <c r="I13" s="4"/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46303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46334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46304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46335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46305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46336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46306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46337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46307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46338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46308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46339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46309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46340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46310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46341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46311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46342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46312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46343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46313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46344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46314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46345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46315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46346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46316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46347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46317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46348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46318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46349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46319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46350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46320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46351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46321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46321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46322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46322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46323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46323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46324</v>
      </c>
      <c r="D35" s="5" t="s">
        <v>41</v>
      </c>
      <c r="E35" s="5" t="s">
        <v>44</v>
      </c>
      <c r="F35" s="5" t="s">
        <v>18</v>
      </c>
      <c r="G35" s="5"/>
      <c r="H35" s="6">
        <v>29</v>
      </c>
      <c r="I35" s="4">
        <v>46324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46325</v>
      </c>
      <c r="D36" s="5" t="s">
        <v>41</v>
      </c>
      <c r="E36" s="5" t="s">
        <v>44</v>
      </c>
      <c r="F36" s="5" t="s">
        <v>18</v>
      </c>
      <c r="G36" s="5"/>
      <c r="H36" s="6">
        <v>30</v>
      </c>
      <c r="I36" s="4">
        <v>46325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46326</v>
      </c>
      <c r="D37" s="5" t="s">
        <v>41</v>
      </c>
      <c r="E37" s="5" t="s">
        <v>44</v>
      </c>
      <c r="F37" s="5" t="s">
        <v>18</v>
      </c>
      <c r="G37" s="5"/>
      <c r="H37" s="6">
        <v>31</v>
      </c>
      <c r="I37" s="4">
        <v>46326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I38" s="4">
        <v>46296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I39" s="4">
        <v>46297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I40" s="4">
        <v>46298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I41" s="4">
        <v>46299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I42" s="4">
        <v>46300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I43" s="4">
        <v>46301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I44" s="4">
        <v>46302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I45" s="4">
        <v>46303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I46" s="4">
        <v>46304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I47" s="4">
        <v>46305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I48" s="4">
        <v>46306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I49" s="4">
        <v>46307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I50" s="4">
        <v>46308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I51" s="4">
        <v>46309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41</v>
      </c>
      <c r="E52" s="5" t="s">
        <v>44</v>
      </c>
      <c r="G52" s="5"/>
      <c r="I52" s="4">
        <v>46310</v>
      </c>
      <c r="J52" t="str">
        <f>VLOOKUP(D52,'plano de contas'!$O$8:$P$13,2,0)</f>
        <v>DESP_PROD</v>
      </c>
      <c r="O52" t="str">
        <f t="shared" si="0"/>
        <v>DESPESAS</v>
      </c>
    </row>
    <row r="53" spans="4:15" x14ac:dyDescent="0.25">
      <c r="D53" s="5" t="s">
        <v>41</v>
      </c>
      <c r="E53" s="5" t="s">
        <v>44</v>
      </c>
      <c r="G53" s="5"/>
      <c r="I53" s="4">
        <v>46311</v>
      </c>
      <c r="J53" t="str">
        <f>VLOOKUP(D53,'plano de contas'!$O$8:$P$13,2,0)</f>
        <v>DESP_PROD</v>
      </c>
      <c r="O53" t="str">
        <f t="shared" si="0"/>
        <v>DESPESAS</v>
      </c>
    </row>
    <row r="54" spans="4:15" x14ac:dyDescent="0.25">
      <c r="D54" s="5" t="s">
        <v>41</v>
      </c>
      <c r="E54" s="5" t="s">
        <v>44</v>
      </c>
      <c r="G54" s="5"/>
      <c r="I54" s="4">
        <v>46312</v>
      </c>
      <c r="J54" t="str">
        <f>VLOOKUP(D54,'plano de contas'!$O$8:$P$13,2,0)</f>
        <v>DESP_PROD</v>
      </c>
      <c r="O54" t="str">
        <f t="shared" si="0"/>
        <v>DESPESAS</v>
      </c>
    </row>
    <row r="55" spans="4:15" x14ac:dyDescent="0.25">
      <c r="D55" s="5" t="s">
        <v>41</v>
      </c>
      <c r="E55" s="5" t="s">
        <v>44</v>
      </c>
      <c r="G55" s="5"/>
      <c r="I55" s="4">
        <v>46313</v>
      </c>
      <c r="J55" t="str">
        <f>VLOOKUP(D55,'plano de contas'!$O$8:$P$13,2,0)</f>
        <v>DESP_PROD</v>
      </c>
      <c r="O55" t="str">
        <f t="shared" si="0"/>
        <v>DESPESAS</v>
      </c>
    </row>
    <row r="56" spans="4:15" x14ac:dyDescent="0.25">
      <c r="D56" s="5" t="s">
        <v>41</v>
      </c>
      <c r="E56" s="5" t="s">
        <v>44</v>
      </c>
      <c r="G56" s="5"/>
      <c r="I56" s="4">
        <v>46314</v>
      </c>
      <c r="J56" t="str">
        <f>VLOOKUP(D56,'plano de contas'!$O$8:$P$13,2,0)</f>
        <v>DESP_PROD</v>
      </c>
      <c r="O56" t="str">
        <f t="shared" si="0"/>
        <v>DESPESAS</v>
      </c>
    </row>
    <row r="57" spans="4:15" x14ac:dyDescent="0.25">
      <c r="D57" s="5" t="s">
        <v>41</v>
      </c>
      <c r="E57" s="5" t="s">
        <v>44</v>
      </c>
      <c r="G57" s="5"/>
      <c r="I57" s="4">
        <v>46315</v>
      </c>
      <c r="J57" t="str">
        <f>VLOOKUP(D57,'plano de contas'!$O$8:$P$13,2,0)</f>
        <v>DESP_PROD</v>
      </c>
      <c r="O57" t="str">
        <f t="shared" si="0"/>
        <v>DESPESAS</v>
      </c>
    </row>
    <row r="58" spans="4:15" x14ac:dyDescent="0.25">
      <c r="D58" s="5" t="s">
        <v>41</v>
      </c>
      <c r="E58" s="5" t="s">
        <v>44</v>
      </c>
      <c r="G58" s="5"/>
      <c r="I58" s="4">
        <v>46316</v>
      </c>
      <c r="J58" t="str">
        <f>VLOOKUP(D58,'plano de contas'!$O$8:$P$13,2,0)</f>
        <v>DESP_PROD</v>
      </c>
      <c r="O58" t="str">
        <f t="shared" si="0"/>
        <v>DESPESAS</v>
      </c>
    </row>
    <row r="59" spans="4:15" x14ac:dyDescent="0.25">
      <c r="D59" s="5" t="s">
        <v>41</v>
      </c>
      <c r="E59" s="5" t="s">
        <v>44</v>
      </c>
      <c r="G59" s="5"/>
      <c r="I59" s="4">
        <v>46317</v>
      </c>
      <c r="J59" t="str">
        <f>VLOOKUP(D59,'plano de contas'!$O$8:$P$13,2,0)</f>
        <v>DESP_PROD</v>
      </c>
      <c r="O59" t="str">
        <f t="shared" si="0"/>
        <v>DESPESAS</v>
      </c>
    </row>
    <row r="60" spans="4:15" x14ac:dyDescent="0.25">
      <c r="D60" s="5" t="s">
        <v>41</v>
      </c>
      <c r="E60" s="5" t="s">
        <v>44</v>
      </c>
      <c r="G60" s="5"/>
      <c r="I60" s="4">
        <v>46318</v>
      </c>
      <c r="J60" t="str">
        <f>VLOOKUP(D60,'plano de contas'!$O$8:$P$13,2,0)</f>
        <v>DESP_PROD</v>
      </c>
      <c r="O60" t="str">
        <f t="shared" si="0"/>
        <v>DESPESAS</v>
      </c>
    </row>
    <row r="61" spans="4:15" x14ac:dyDescent="0.25">
      <c r="D61" s="5" t="s">
        <v>41</v>
      </c>
      <c r="E61" s="5" t="s">
        <v>44</v>
      </c>
      <c r="G61" s="5"/>
      <c r="I61" s="4">
        <v>46319</v>
      </c>
      <c r="J61" t="str">
        <f>VLOOKUP(D61,'plano de contas'!$O$8:$P$13,2,0)</f>
        <v>DESP_PROD</v>
      </c>
      <c r="O61" t="str">
        <f t="shared" si="0"/>
        <v>DESPESAS</v>
      </c>
    </row>
    <row r="62" spans="4:15" x14ac:dyDescent="0.25">
      <c r="D62" s="5" t="s">
        <v>41</v>
      </c>
      <c r="E62" s="5" t="s">
        <v>44</v>
      </c>
      <c r="G62" s="5"/>
      <c r="I62" s="4">
        <v>46320</v>
      </c>
      <c r="J62" t="str">
        <f>VLOOKUP(D62,'plano de contas'!$O$8:$P$13,2,0)</f>
        <v>DESP_PROD</v>
      </c>
      <c r="O62" t="str">
        <f t="shared" si="0"/>
        <v>DESPESAS</v>
      </c>
    </row>
    <row r="63" spans="4:15" x14ac:dyDescent="0.25">
      <c r="D63" s="5" t="s">
        <v>41</v>
      </c>
      <c r="E63" s="5" t="s">
        <v>44</v>
      </c>
      <c r="G63" s="5"/>
      <c r="I63" s="4">
        <v>46321</v>
      </c>
      <c r="J63" t="str">
        <f>VLOOKUP(D63,'plano de contas'!$O$8:$P$13,2,0)</f>
        <v>DESP_PROD</v>
      </c>
      <c r="O63" t="str">
        <f t="shared" si="0"/>
        <v>DESPESAS</v>
      </c>
    </row>
    <row r="64" spans="4:15" x14ac:dyDescent="0.25">
      <c r="D64" s="5" t="s">
        <v>41</v>
      </c>
      <c r="E64" s="5" t="s">
        <v>44</v>
      </c>
      <c r="G64" s="5"/>
      <c r="I64" s="4">
        <v>46322</v>
      </c>
      <c r="J64" t="str">
        <f>VLOOKUP(D64,'plano de contas'!$O$8:$P$13,2,0)</f>
        <v>DESP_PROD</v>
      </c>
      <c r="O64" t="str">
        <f t="shared" si="0"/>
        <v>DESPESAS</v>
      </c>
    </row>
    <row r="65" spans="4:15" x14ac:dyDescent="0.25">
      <c r="D65" s="5" t="s">
        <v>41</v>
      </c>
      <c r="E65" s="5" t="s">
        <v>44</v>
      </c>
      <c r="G65" s="5"/>
      <c r="I65" s="4">
        <v>46323</v>
      </c>
      <c r="J65" t="str">
        <f>VLOOKUP(D65,'plano de contas'!$O$8:$P$13,2,0)</f>
        <v>DESP_PROD</v>
      </c>
      <c r="O65" t="str">
        <f t="shared" si="0"/>
        <v>DESPESAS</v>
      </c>
    </row>
    <row r="66" spans="4:15" x14ac:dyDescent="0.25">
      <c r="D66" s="5" t="s">
        <v>41</v>
      </c>
      <c r="E66" s="5" t="s">
        <v>44</v>
      </c>
      <c r="G66" s="5"/>
      <c r="I66" s="4">
        <v>46324</v>
      </c>
      <c r="J66" t="str">
        <f>VLOOKUP(D66,'plano de contas'!$O$8:$P$13,2,0)</f>
        <v>DESP_PROD</v>
      </c>
      <c r="O66" t="str">
        <f t="shared" si="0"/>
        <v>DESPESAS</v>
      </c>
    </row>
    <row r="67" spans="4:15" x14ac:dyDescent="0.25">
      <c r="D67" s="5" t="s">
        <v>41</v>
      </c>
      <c r="E67" s="5" t="s">
        <v>44</v>
      </c>
      <c r="G67" s="5"/>
      <c r="I67" s="4">
        <v>46325</v>
      </c>
      <c r="J67" t="str">
        <f>VLOOKUP(D67,'plano de contas'!$O$8:$P$13,2,0)</f>
        <v>DESP_PROD</v>
      </c>
      <c r="O67" t="str">
        <f t="shared" si="0"/>
        <v>DESPESAS</v>
      </c>
    </row>
    <row r="68" spans="4:15" x14ac:dyDescent="0.25">
      <c r="D68" s="5" t="s">
        <v>41</v>
      </c>
      <c r="E68" s="5" t="s">
        <v>44</v>
      </c>
      <c r="G68" s="5"/>
      <c r="I68" s="4">
        <v>46326</v>
      </c>
      <c r="J68" t="str">
        <f>VLOOKUP(D68,'plano de contas'!$O$8:$P$13,2,0)</f>
        <v>DESP_PROD</v>
      </c>
      <c r="O68" t="str">
        <f t="shared" si="0"/>
        <v>DESPESAS</v>
      </c>
    </row>
    <row r="69" spans="4:15" x14ac:dyDescent="0.25">
      <c r="D69" s="5" t="s">
        <v>41</v>
      </c>
      <c r="E69" s="5" t="s">
        <v>44</v>
      </c>
      <c r="G69" s="5"/>
      <c r="I69" s="4">
        <v>46327</v>
      </c>
      <c r="J69" t="str">
        <f>VLOOKUP(D69,'plano de contas'!$O$8:$P$13,2,0)</f>
        <v>DESP_PROD</v>
      </c>
      <c r="O69" t="str">
        <f t="shared" si="0"/>
        <v>DESPESAS</v>
      </c>
    </row>
    <row r="70" spans="4:15" x14ac:dyDescent="0.25">
      <c r="D70" s="5" t="s">
        <v>41</v>
      </c>
      <c r="E70" s="5" t="s">
        <v>44</v>
      </c>
      <c r="G70" s="5"/>
      <c r="I70" s="4">
        <v>46328</v>
      </c>
      <c r="J70" t="str">
        <f>VLOOKUP(D70,'plano de contas'!$O$8:$P$13,2,0)</f>
        <v>DESP_PROD</v>
      </c>
      <c r="O70" t="str">
        <f t="shared" si="0"/>
        <v>DESPESAS</v>
      </c>
    </row>
    <row r="71" spans="4:15" x14ac:dyDescent="0.25">
      <c r="D71" s="5" t="s">
        <v>41</v>
      </c>
      <c r="E71" s="5" t="s">
        <v>44</v>
      </c>
      <c r="G71" s="5"/>
      <c r="I71" s="4">
        <v>46329</v>
      </c>
      <c r="J71" t="str">
        <f>VLOOKUP(D71,'plano de contas'!$O$8:$P$13,2,0)</f>
        <v>DESP_PROD</v>
      </c>
      <c r="O71" t="str">
        <f t="shared" si="0"/>
        <v>DESPESAS</v>
      </c>
    </row>
    <row r="72" spans="4:15" x14ac:dyDescent="0.25">
      <c r="D72" s="5" t="s">
        <v>41</v>
      </c>
      <c r="E72" s="5" t="s">
        <v>44</v>
      </c>
      <c r="G72" s="5"/>
      <c r="I72" s="4">
        <v>46330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4:15" x14ac:dyDescent="0.25">
      <c r="D73" s="5" t="s">
        <v>41</v>
      </c>
      <c r="E73" s="5" t="s">
        <v>44</v>
      </c>
      <c r="G73" s="5"/>
      <c r="I73" s="4">
        <v>46331</v>
      </c>
      <c r="J73" t="str">
        <f>VLOOKUP(D73,'plano de contas'!$O$8:$P$13,2,0)</f>
        <v>DESP_PROD</v>
      </c>
      <c r="O73" t="str">
        <f t="shared" si="1"/>
        <v>DESPESAS</v>
      </c>
    </row>
    <row r="74" spans="4:15" x14ac:dyDescent="0.25">
      <c r="D74" s="5" t="s">
        <v>41</v>
      </c>
      <c r="E74" s="5" t="s">
        <v>44</v>
      </c>
      <c r="G74" s="5"/>
      <c r="I74" s="4">
        <v>46332</v>
      </c>
      <c r="J74" t="str">
        <f>VLOOKUP(D74,'plano de contas'!$O$8:$P$13,2,0)</f>
        <v>DESP_PROD</v>
      </c>
      <c r="O74" t="str">
        <f t="shared" si="1"/>
        <v>DESPESAS</v>
      </c>
    </row>
    <row r="75" spans="4:15" x14ac:dyDescent="0.25">
      <c r="D75" s="5" t="s">
        <v>41</v>
      </c>
      <c r="E75" s="5" t="s">
        <v>44</v>
      </c>
      <c r="G75" s="5"/>
      <c r="I75" s="4">
        <v>46333</v>
      </c>
      <c r="J75" t="str">
        <f>VLOOKUP(D75,'plano de contas'!$O$8:$P$13,2,0)</f>
        <v>DESP_PROD</v>
      </c>
      <c r="O75" t="str">
        <f t="shared" si="1"/>
        <v>DESPESAS</v>
      </c>
    </row>
    <row r="76" spans="4:15" x14ac:dyDescent="0.25">
      <c r="D76" s="5" t="s">
        <v>41</v>
      </c>
      <c r="E76" s="5" t="s">
        <v>44</v>
      </c>
      <c r="G76" s="5"/>
      <c r="I76" s="4">
        <v>46334</v>
      </c>
      <c r="J76" t="str">
        <f>VLOOKUP(D76,'plano de contas'!$O$8:$P$13,2,0)</f>
        <v>DESP_PROD</v>
      </c>
      <c r="O76" t="str">
        <f t="shared" si="1"/>
        <v>DESPESAS</v>
      </c>
    </row>
    <row r="77" spans="4:15" x14ac:dyDescent="0.25">
      <c r="D77" s="5" t="s">
        <v>41</v>
      </c>
      <c r="E77" s="5" t="s">
        <v>44</v>
      </c>
      <c r="G77" s="5"/>
      <c r="I77" s="4">
        <v>46335</v>
      </c>
      <c r="J77" t="str">
        <f>VLOOKUP(D77,'plano de contas'!$O$8:$P$13,2,0)</f>
        <v>DESP_PROD</v>
      </c>
      <c r="O77" t="str">
        <f t="shared" si="1"/>
        <v>DESPESAS</v>
      </c>
    </row>
    <row r="78" spans="4:15" x14ac:dyDescent="0.25">
      <c r="D78" s="5" t="s">
        <v>41</v>
      </c>
      <c r="E78" s="5" t="s">
        <v>44</v>
      </c>
      <c r="G78" s="5"/>
      <c r="I78" s="4">
        <v>46336</v>
      </c>
      <c r="J78" t="str">
        <f>VLOOKUP(D78,'plano de contas'!$O$8:$P$13,2,0)</f>
        <v>DESP_PROD</v>
      </c>
      <c r="O78" t="str">
        <f t="shared" si="1"/>
        <v>DESPESAS</v>
      </c>
    </row>
    <row r="79" spans="4:15" x14ac:dyDescent="0.25">
      <c r="D79" s="5" t="s">
        <v>41</v>
      </c>
      <c r="E79" s="5" t="s">
        <v>44</v>
      </c>
      <c r="G79" s="5"/>
      <c r="I79" s="4">
        <v>46337</v>
      </c>
      <c r="J79" t="str">
        <f>VLOOKUP(D79,'plano de contas'!$O$8:$P$13,2,0)</f>
        <v>DESP_PROD</v>
      </c>
      <c r="O79" t="str">
        <f t="shared" si="1"/>
        <v>DESPESAS</v>
      </c>
    </row>
    <row r="80" spans="4:15" x14ac:dyDescent="0.25">
      <c r="D80" s="5" t="s">
        <v>41</v>
      </c>
      <c r="E80" s="5" t="s">
        <v>44</v>
      </c>
      <c r="G80" s="5" t="s">
        <v>113</v>
      </c>
      <c r="I80" s="4">
        <v>46338</v>
      </c>
      <c r="J80" t="str">
        <f>VLOOKUP(D80,'plano de contas'!$O$8:$P$13,2,0)</f>
        <v>DESP_PROD</v>
      </c>
      <c r="O80" t="str">
        <f t="shared" si="1"/>
        <v>DESPESAS</v>
      </c>
    </row>
    <row r="81" spans="4:15" x14ac:dyDescent="0.25">
      <c r="D81" s="5" t="s">
        <v>41</v>
      </c>
      <c r="E81" s="5" t="s">
        <v>44</v>
      </c>
      <c r="I81" s="4">
        <v>46339</v>
      </c>
      <c r="J81" t="str">
        <f>VLOOKUP(D81,'plano de contas'!$O$8:$P$13,2,0)</f>
        <v>DESP_PROD</v>
      </c>
      <c r="O81" t="str">
        <f t="shared" si="1"/>
        <v>DESPESAS</v>
      </c>
    </row>
    <row r="82" spans="4:15" x14ac:dyDescent="0.25">
      <c r="D82" s="5" t="s">
        <v>41</v>
      </c>
      <c r="E82" s="5" t="s">
        <v>44</v>
      </c>
      <c r="I82" s="4">
        <v>46340</v>
      </c>
      <c r="J82" t="str">
        <f>VLOOKUP(D82,'plano de contas'!$O$8:$P$13,2,0)</f>
        <v>DESP_PROD</v>
      </c>
      <c r="O82" t="str">
        <f t="shared" si="1"/>
        <v>DESPESAS</v>
      </c>
    </row>
    <row r="83" spans="4:15" x14ac:dyDescent="0.25">
      <c r="D83" s="5" t="s">
        <v>41</v>
      </c>
      <c r="E83" s="5" t="s">
        <v>44</v>
      </c>
      <c r="I83" s="4">
        <v>46341</v>
      </c>
      <c r="J83" t="str">
        <f>VLOOKUP(D83,'plano de contas'!$O$8:$P$13,2,0)</f>
        <v>DESP_PROD</v>
      </c>
      <c r="O83" t="str">
        <f t="shared" si="1"/>
        <v>DESPESAS</v>
      </c>
    </row>
    <row r="84" spans="4:15" x14ac:dyDescent="0.25">
      <c r="D84" s="5" t="s">
        <v>41</v>
      </c>
      <c r="E84" s="5" t="s">
        <v>44</v>
      </c>
      <c r="I84" s="4">
        <v>46342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1:G1048576 F38:F80">
    <cfRule type="cellIs" dxfId="257" priority="36" operator="equal">
      <formula>"RECEITA"</formula>
    </cfRule>
    <cfRule type="cellIs" dxfId="256" priority="37" operator="equal">
      <formula>"DESPESA"</formula>
    </cfRule>
    <cfRule type="cellIs" dxfId="255" priority="38" operator="equal">
      <formula>"RECEITA"</formula>
    </cfRule>
    <cfRule type="cellIs" dxfId="254" priority="39" operator="equal">
      <formula>"DESPESA"</formula>
    </cfRule>
    <cfRule type="cellIs" dxfId="253" priority="40" operator="equal">
      <formula>"RECEITA"</formula>
    </cfRule>
    <cfRule type="cellIs" dxfId="252" priority="41" operator="equal">
      <formula>"DESPESA"</formula>
    </cfRule>
  </conditionalFormatting>
  <conditionalFormatting sqref="M8">
    <cfRule type="cellIs" dxfId="251" priority="30" operator="equal">
      <formula>"RECEITA"</formula>
    </cfRule>
    <cfRule type="cellIs" dxfId="250" priority="31" operator="equal">
      <formula>"DESPESA"</formula>
    </cfRule>
    <cfRule type="cellIs" dxfId="249" priority="32" operator="equal">
      <formula>"RECEITA"</formula>
    </cfRule>
    <cfRule type="cellIs" dxfId="248" priority="33" operator="equal">
      <formula>"DESPESA"</formula>
    </cfRule>
    <cfRule type="cellIs" dxfId="247" priority="34" operator="equal">
      <formula>"RECEITA"</formula>
    </cfRule>
    <cfRule type="cellIs" dxfId="246" priority="35" operator="equal">
      <formula>"DESPESA"</formula>
    </cfRule>
  </conditionalFormatting>
  <conditionalFormatting sqref="M9">
    <cfRule type="cellIs" dxfId="245" priority="24" operator="equal">
      <formula>"RECEITA"</formula>
    </cfRule>
    <cfRule type="cellIs" dxfId="244" priority="25" operator="equal">
      <formula>"DESPESA"</formula>
    </cfRule>
    <cfRule type="cellIs" dxfId="243" priority="26" operator="equal">
      <formula>"RECEITA"</formula>
    </cfRule>
    <cfRule type="cellIs" dxfId="242" priority="27" operator="equal">
      <formula>"DESPESA"</formula>
    </cfRule>
    <cfRule type="cellIs" dxfId="241" priority="28" operator="equal">
      <formula>"RECEITA"</formula>
    </cfRule>
    <cfRule type="cellIs" dxfId="240" priority="29" operator="equal">
      <formula>"DESPESA"</formula>
    </cfRule>
  </conditionalFormatting>
  <conditionalFormatting sqref="N10">
    <cfRule type="cellIs" dxfId="239" priority="19" operator="greaterThan">
      <formula>0</formula>
    </cfRule>
    <cfRule type="cellIs" dxfId="238" priority="20" operator="greaterThan">
      <formula>0</formula>
    </cfRule>
    <cfRule type="cellIs" dxfId="237" priority="21" operator="greaterThan">
      <formula>0</formula>
    </cfRule>
    <cfRule type="cellIs" dxfId="236" priority="22" operator="lessThan">
      <formula>0</formula>
    </cfRule>
    <cfRule type="cellIs" dxfId="235" priority="23" operator="greaterThan">
      <formula>0</formula>
    </cfRule>
  </conditionalFormatting>
  <conditionalFormatting sqref="E7:E84">
    <cfRule type="cellIs" dxfId="234" priority="7" operator="equal">
      <formula>"RECEITA"</formula>
    </cfRule>
    <cfRule type="cellIs" dxfId="233" priority="8" operator="equal">
      <formula>"DESPESA"</formula>
    </cfRule>
    <cfRule type="cellIs" dxfId="232" priority="9" operator="equal">
      <formula>"RECEITA"</formula>
    </cfRule>
    <cfRule type="cellIs" dxfId="231" priority="10" operator="equal">
      <formula>"DESPESA"</formula>
    </cfRule>
    <cfRule type="cellIs" dxfId="230" priority="11" operator="equal">
      <formula>"RECEITA"</formula>
    </cfRule>
    <cfRule type="cellIs" dxfId="229" priority="12" operator="equal">
      <formula>"DESPESA"</formula>
    </cfRule>
  </conditionalFormatting>
  <conditionalFormatting sqref="D7:D84">
    <cfRule type="cellIs" dxfId="228" priority="3" operator="equal">
      <formula>"RECEITA"</formula>
    </cfRule>
    <cfRule type="cellIs" dxfId="227" priority="4" operator="equal">
      <formula>"DESPESA"</formula>
    </cfRule>
    <cfRule type="cellIs" dxfId="226" priority="5" operator="equal">
      <formula>"RECEITA"</formula>
    </cfRule>
    <cfRule type="cellIs" dxfId="225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EA05109-4868-4479-BA37-14D62494B334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68E571A4-BD5E-4A41-9371-600CB162F86F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B1:O84"/>
  <sheetViews>
    <sheetView showGridLines="0" zoomScale="90" zoomScaleNormal="90" workbookViewId="0">
      <selection activeCell="G7" sqref="G7:G11"/>
    </sheetView>
  </sheetViews>
  <sheetFormatPr defaultRowHeight="15" x14ac:dyDescent="0.25"/>
  <cols>
    <col min="3" max="3" width="14.7109375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87" t="s">
        <v>19</v>
      </c>
      <c r="D5" s="87"/>
      <c r="E5" s="87"/>
      <c r="F5" s="87"/>
      <c r="G5" s="87"/>
      <c r="H5" s="8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46327</v>
      </c>
      <c r="D7" s="5" t="s">
        <v>40</v>
      </c>
      <c r="E7" s="5" t="s">
        <v>44</v>
      </c>
      <c r="F7" s="5" t="s">
        <v>5</v>
      </c>
      <c r="G7" s="5" t="s">
        <v>117</v>
      </c>
      <c r="H7" s="6">
        <v>1</v>
      </c>
      <c r="I7" s="4">
        <v>46327</v>
      </c>
      <c r="J7" t="str">
        <f>VLOOKUP(D7,'plano de contas'!$O$8:$P$13,2,0)</f>
        <v>REC_SER</v>
      </c>
      <c r="M7" s="86" t="s">
        <v>14</v>
      </c>
      <c r="N7" s="8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46328</v>
      </c>
      <c r="D8" s="5" t="s">
        <v>41</v>
      </c>
      <c r="E8" s="5" t="s">
        <v>44</v>
      </c>
      <c r="F8" s="5" t="s">
        <v>11</v>
      </c>
      <c r="G8" s="5" t="s">
        <v>117</v>
      </c>
      <c r="H8" s="6">
        <v>2</v>
      </c>
      <c r="I8" s="4">
        <v>46328</v>
      </c>
      <c r="J8" t="str">
        <f>VLOOKUP(D8,'plano de contas'!$O$8:$P$13,2,0)</f>
        <v>DESP_PROD</v>
      </c>
      <c r="M8" s="7" t="s">
        <v>3</v>
      </c>
      <c r="N8" s="8">
        <f>'FLUXO DE CAIXA (2)'!M9</f>
        <v>486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46329</v>
      </c>
      <c r="D9" s="5" t="s">
        <v>42</v>
      </c>
      <c r="E9" s="5" t="s">
        <v>53</v>
      </c>
      <c r="F9" s="5" t="s">
        <v>6</v>
      </c>
      <c r="G9" s="5" t="s">
        <v>117</v>
      </c>
      <c r="H9" s="6">
        <v>3</v>
      </c>
      <c r="I9" s="4">
        <v>46329</v>
      </c>
      <c r="J9" t="str">
        <f>VLOOKUP(D9,'plano de contas'!$O$8:$P$13,2,0)</f>
        <v>DESP_RH</v>
      </c>
      <c r="M9" s="7" t="s">
        <v>4</v>
      </c>
      <c r="N9" s="8">
        <f>'FLUXO DE CAIXA (2)'!M10</f>
        <v>771.6666666666664</v>
      </c>
      <c r="O9" t="str">
        <f t="shared" si="0"/>
        <v>DESPESAS</v>
      </c>
    </row>
    <row r="10" spans="2:15" ht="30" customHeight="1" x14ac:dyDescent="0.35">
      <c r="C10" s="4">
        <v>46330</v>
      </c>
      <c r="D10" s="5" t="s">
        <v>41</v>
      </c>
      <c r="E10" s="5" t="s">
        <v>44</v>
      </c>
      <c r="F10" s="5" t="s">
        <v>7</v>
      </c>
      <c r="G10" s="5" t="s">
        <v>117</v>
      </c>
      <c r="H10" s="6">
        <v>4</v>
      </c>
      <c r="I10" s="4">
        <v>46330</v>
      </c>
      <c r="J10" t="str">
        <f>VLOOKUP(D10,'plano de contas'!$O$8:$P$13,2,0)</f>
        <v>DESP_PROD</v>
      </c>
      <c r="M10" s="9" t="s">
        <v>15</v>
      </c>
      <c r="N10" s="10">
        <f>N8-N9</f>
        <v>-285.6666666666664</v>
      </c>
      <c r="O10" t="str">
        <f t="shared" si="0"/>
        <v>DESPESAS</v>
      </c>
    </row>
    <row r="11" spans="2:15" ht="30" customHeight="1" x14ac:dyDescent="0.25">
      <c r="C11" s="4">
        <v>46331</v>
      </c>
      <c r="D11" s="5" t="s">
        <v>41</v>
      </c>
      <c r="E11" s="5" t="s">
        <v>44</v>
      </c>
      <c r="F11" s="5" t="s">
        <v>8</v>
      </c>
      <c r="G11" s="5" t="s">
        <v>117</v>
      </c>
      <c r="H11" s="6">
        <v>5</v>
      </c>
      <c r="I11" s="4">
        <v>46331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46332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46332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46333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46333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46334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46334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46335</v>
      </c>
      <c r="D15" s="5" t="s">
        <v>40</v>
      </c>
      <c r="E15" s="5" t="s">
        <v>48</v>
      </c>
      <c r="F15" s="5" t="s">
        <v>11</v>
      </c>
      <c r="G15" s="5"/>
      <c r="H15" s="6">
        <v>9</v>
      </c>
      <c r="I15" s="4">
        <v>46335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46336</v>
      </c>
      <c r="D16" s="5" t="s">
        <v>40</v>
      </c>
      <c r="E16" s="5" t="s">
        <v>44</v>
      </c>
      <c r="F16" s="5" t="s">
        <v>6</v>
      </c>
      <c r="G16" s="5"/>
      <c r="H16" s="6">
        <v>10</v>
      </c>
      <c r="I16" s="4">
        <v>46336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46337</v>
      </c>
      <c r="D17" s="5" t="s">
        <v>40</v>
      </c>
      <c r="E17" s="5" t="s">
        <v>51</v>
      </c>
      <c r="F17" s="5" t="s">
        <v>7</v>
      </c>
      <c r="G17" s="5"/>
      <c r="H17" s="6">
        <v>11</v>
      </c>
      <c r="I17" s="4">
        <v>46337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46338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46338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46339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46339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46340</v>
      </c>
      <c r="D20" s="5" t="s">
        <v>40</v>
      </c>
      <c r="E20" s="5" t="s">
        <v>44</v>
      </c>
      <c r="F20" s="5" t="s">
        <v>10</v>
      </c>
      <c r="G20" s="5"/>
      <c r="H20" s="6">
        <v>14</v>
      </c>
      <c r="I20" s="4">
        <v>46340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46341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46341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46342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46342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46343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46343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46344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46344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46345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46345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46346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46346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46347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46347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46348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46348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46349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46349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46350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46350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46351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46351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46352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46352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46353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46353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46354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46354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46355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46355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46356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46356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46357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46327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D38" s="5" t="s">
        <v>40</v>
      </c>
      <c r="E38" s="5" t="s">
        <v>44</v>
      </c>
      <c r="G38" s="5"/>
      <c r="I38" s="4">
        <v>46328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D39" s="5" t="s">
        <v>40</v>
      </c>
      <c r="E39" s="5" t="s">
        <v>44</v>
      </c>
      <c r="G39" s="5"/>
      <c r="I39" s="4">
        <v>46329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D40" s="5" t="s">
        <v>40</v>
      </c>
      <c r="E40" s="5" t="s">
        <v>44</v>
      </c>
      <c r="G40" s="5"/>
      <c r="I40" s="4">
        <v>46330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D41" s="5" t="s">
        <v>40</v>
      </c>
      <c r="E41" s="5" t="s">
        <v>44</v>
      </c>
      <c r="G41" s="5"/>
      <c r="I41" s="4">
        <v>46331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D42" s="5" t="s">
        <v>40</v>
      </c>
      <c r="E42" s="5" t="s">
        <v>44</v>
      </c>
      <c r="G42" s="5"/>
      <c r="I42" s="4">
        <v>46332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D43" s="5" t="s">
        <v>40</v>
      </c>
      <c r="E43" s="5" t="s">
        <v>44</v>
      </c>
      <c r="G43" s="5"/>
      <c r="I43" s="4">
        <v>46333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D44" s="5" t="s">
        <v>40</v>
      </c>
      <c r="E44" s="5" t="s">
        <v>44</v>
      </c>
      <c r="G44" s="5"/>
      <c r="I44" s="4">
        <v>46334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D45" s="5" t="s">
        <v>40</v>
      </c>
      <c r="E45" s="5" t="s">
        <v>44</v>
      </c>
      <c r="G45" s="5"/>
      <c r="I45" s="4">
        <v>46335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D46" s="5" t="s">
        <v>40</v>
      </c>
      <c r="E46" s="5" t="s">
        <v>44</v>
      </c>
      <c r="G46" s="5"/>
      <c r="I46" s="4">
        <v>46336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D47" s="5" t="s">
        <v>40</v>
      </c>
      <c r="E47" s="5" t="s">
        <v>44</v>
      </c>
      <c r="G47" s="5"/>
      <c r="I47" s="4">
        <v>46337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D48" s="5" t="s">
        <v>40</v>
      </c>
      <c r="E48" s="5" t="s">
        <v>44</v>
      </c>
      <c r="G48" s="5"/>
      <c r="I48" s="4">
        <v>46338</v>
      </c>
      <c r="J48" t="str">
        <f>VLOOKUP(D48,'plano de contas'!$O$8:$P$13,2,0)</f>
        <v>REC_SER</v>
      </c>
      <c r="O48" t="str">
        <f t="shared" si="0"/>
        <v>RECEITAS</v>
      </c>
    </row>
    <row r="49" spans="4:15" x14ac:dyDescent="0.25">
      <c r="D49" s="5" t="s">
        <v>40</v>
      </c>
      <c r="E49" s="5" t="s">
        <v>44</v>
      </c>
      <c r="G49" s="5"/>
      <c r="I49" s="4">
        <v>46339</v>
      </c>
      <c r="J49" t="str">
        <f>VLOOKUP(D49,'plano de contas'!$O$8:$P$13,2,0)</f>
        <v>REC_SER</v>
      </c>
      <c r="O49" t="str">
        <f t="shared" si="0"/>
        <v>RECEITAS</v>
      </c>
    </row>
    <row r="50" spans="4:15" x14ac:dyDescent="0.25">
      <c r="D50" s="5" t="s">
        <v>40</v>
      </c>
      <c r="E50" s="5" t="s">
        <v>44</v>
      </c>
      <c r="G50" s="5"/>
      <c r="I50" s="4">
        <v>46340</v>
      </c>
      <c r="J50" t="str">
        <f>VLOOKUP(D50,'plano de contas'!$O$8:$P$13,2,0)</f>
        <v>REC_SER</v>
      </c>
      <c r="O50" t="str">
        <f t="shared" si="0"/>
        <v>RECEITAS</v>
      </c>
    </row>
    <row r="51" spans="4:15" x14ac:dyDescent="0.25">
      <c r="D51" s="5" t="s">
        <v>40</v>
      </c>
      <c r="E51" s="5" t="s">
        <v>44</v>
      </c>
      <c r="G51" s="5"/>
      <c r="I51" s="4">
        <v>46341</v>
      </c>
      <c r="J51" t="str">
        <f>VLOOKUP(D51,'plano de contas'!$O$8:$P$13,2,0)</f>
        <v>REC_SER</v>
      </c>
      <c r="O51" t="str">
        <f t="shared" si="0"/>
        <v>RECEITAS</v>
      </c>
    </row>
    <row r="52" spans="4:15" x14ac:dyDescent="0.25">
      <c r="D52" s="5" t="s">
        <v>40</v>
      </c>
      <c r="E52" s="5" t="s">
        <v>44</v>
      </c>
      <c r="G52" s="5"/>
      <c r="I52" s="4">
        <v>46342</v>
      </c>
      <c r="J52" t="str">
        <f>VLOOKUP(D52,'plano de contas'!$O$8:$P$13,2,0)</f>
        <v>REC_SER</v>
      </c>
      <c r="O52" t="str">
        <f t="shared" si="0"/>
        <v>RECEITAS</v>
      </c>
    </row>
    <row r="53" spans="4:15" x14ac:dyDescent="0.25">
      <c r="D53" s="5" t="s">
        <v>40</v>
      </c>
      <c r="E53" s="5" t="s">
        <v>44</v>
      </c>
      <c r="G53" s="5"/>
      <c r="I53" s="4">
        <v>46343</v>
      </c>
      <c r="J53" t="str">
        <f>VLOOKUP(D53,'plano de contas'!$O$8:$P$13,2,0)</f>
        <v>REC_SER</v>
      </c>
      <c r="O53" t="str">
        <f t="shared" si="0"/>
        <v>RECEITAS</v>
      </c>
    </row>
    <row r="54" spans="4:15" x14ac:dyDescent="0.25">
      <c r="D54" s="5" t="s">
        <v>40</v>
      </c>
      <c r="E54" s="5" t="s">
        <v>44</v>
      </c>
      <c r="G54" s="5"/>
      <c r="I54" s="4">
        <v>46344</v>
      </c>
      <c r="J54" t="str">
        <f>VLOOKUP(D54,'plano de contas'!$O$8:$P$13,2,0)</f>
        <v>REC_SER</v>
      </c>
      <c r="O54" t="str">
        <f t="shared" si="0"/>
        <v>RECEITAS</v>
      </c>
    </row>
    <row r="55" spans="4:15" x14ac:dyDescent="0.25">
      <c r="D55" s="5" t="s">
        <v>40</v>
      </c>
      <c r="E55" s="5" t="s">
        <v>44</v>
      </c>
      <c r="G55" s="5"/>
      <c r="I55" s="4">
        <v>46345</v>
      </c>
      <c r="J55" t="str">
        <f>VLOOKUP(D55,'plano de contas'!$O$8:$P$13,2,0)</f>
        <v>REC_SER</v>
      </c>
      <c r="O55" t="str">
        <f t="shared" si="0"/>
        <v>RECEITAS</v>
      </c>
    </row>
    <row r="56" spans="4:15" x14ac:dyDescent="0.25">
      <c r="D56" s="5" t="s">
        <v>40</v>
      </c>
      <c r="E56" s="5" t="s">
        <v>44</v>
      </c>
      <c r="G56" s="5"/>
      <c r="I56" s="4">
        <v>46346</v>
      </c>
      <c r="J56" t="str">
        <f>VLOOKUP(D56,'plano de contas'!$O$8:$P$13,2,0)</f>
        <v>REC_SER</v>
      </c>
      <c r="O56" t="str">
        <f t="shared" si="0"/>
        <v>RECEITAS</v>
      </c>
    </row>
    <row r="57" spans="4:15" x14ac:dyDescent="0.25">
      <c r="D57" s="5" t="s">
        <v>40</v>
      </c>
      <c r="E57" s="5" t="s">
        <v>44</v>
      </c>
      <c r="G57" s="5"/>
      <c r="I57" s="4">
        <v>46347</v>
      </c>
      <c r="J57" t="str">
        <f>VLOOKUP(D57,'plano de contas'!$O$8:$P$13,2,0)</f>
        <v>REC_SER</v>
      </c>
      <c r="O57" t="str">
        <f t="shared" si="0"/>
        <v>RECEITAS</v>
      </c>
    </row>
    <row r="58" spans="4:15" x14ac:dyDescent="0.25">
      <c r="D58" s="5" t="s">
        <v>40</v>
      </c>
      <c r="E58" s="5" t="s">
        <v>44</v>
      </c>
      <c r="G58" s="5"/>
      <c r="I58" s="4">
        <v>46348</v>
      </c>
      <c r="J58" t="str">
        <f>VLOOKUP(D58,'plano de contas'!$O$8:$P$13,2,0)</f>
        <v>REC_SER</v>
      </c>
      <c r="O58" t="str">
        <f t="shared" si="0"/>
        <v>RECEITAS</v>
      </c>
    </row>
    <row r="59" spans="4:15" x14ac:dyDescent="0.25">
      <c r="D59" s="5" t="s">
        <v>40</v>
      </c>
      <c r="E59" s="5" t="s">
        <v>44</v>
      </c>
      <c r="G59" s="5"/>
      <c r="I59" s="4">
        <v>46349</v>
      </c>
      <c r="J59" t="str">
        <f>VLOOKUP(D59,'plano de contas'!$O$8:$P$13,2,0)</f>
        <v>REC_SER</v>
      </c>
      <c r="O59" t="str">
        <f t="shared" si="0"/>
        <v>RECEITAS</v>
      </c>
    </row>
    <row r="60" spans="4:15" x14ac:dyDescent="0.25">
      <c r="D60" s="5" t="s">
        <v>40</v>
      </c>
      <c r="E60" s="5" t="s">
        <v>44</v>
      </c>
      <c r="G60" s="5"/>
      <c r="I60" s="4">
        <v>46350</v>
      </c>
      <c r="J60" t="str">
        <f>VLOOKUP(D60,'plano de contas'!$O$8:$P$13,2,0)</f>
        <v>REC_SER</v>
      </c>
      <c r="O60" t="str">
        <f t="shared" si="0"/>
        <v>RECEITAS</v>
      </c>
    </row>
    <row r="61" spans="4:15" x14ac:dyDescent="0.25">
      <c r="D61" s="5" t="s">
        <v>40</v>
      </c>
      <c r="E61" s="5" t="s">
        <v>44</v>
      </c>
      <c r="G61" s="5"/>
      <c r="I61" s="4">
        <v>46351</v>
      </c>
      <c r="J61" t="str">
        <f>VLOOKUP(D61,'plano de contas'!$O$8:$P$13,2,0)</f>
        <v>REC_SER</v>
      </c>
      <c r="O61" t="str">
        <f t="shared" si="0"/>
        <v>RECEITAS</v>
      </c>
    </row>
    <row r="62" spans="4:15" x14ac:dyDescent="0.25">
      <c r="D62" s="5" t="s">
        <v>40</v>
      </c>
      <c r="E62" s="5" t="s">
        <v>44</v>
      </c>
      <c r="G62" s="5"/>
      <c r="I62" s="4">
        <v>46352</v>
      </c>
      <c r="J62" t="str">
        <f>VLOOKUP(D62,'plano de contas'!$O$8:$P$13,2,0)</f>
        <v>REC_SER</v>
      </c>
      <c r="O62" t="str">
        <f t="shared" si="0"/>
        <v>RECEITAS</v>
      </c>
    </row>
    <row r="63" spans="4:15" x14ac:dyDescent="0.25">
      <c r="D63" s="5" t="s">
        <v>40</v>
      </c>
      <c r="E63" s="5" t="s">
        <v>44</v>
      </c>
      <c r="G63" s="5"/>
      <c r="I63" s="4">
        <v>46353</v>
      </c>
      <c r="J63" t="str">
        <f>VLOOKUP(D63,'plano de contas'!$O$8:$P$13,2,0)</f>
        <v>REC_SER</v>
      </c>
      <c r="O63" t="str">
        <f t="shared" si="0"/>
        <v>RECEITAS</v>
      </c>
    </row>
    <row r="64" spans="4:15" x14ac:dyDescent="0.25">
      <c r="D64" s="5" t="s">
        <v>40</v>
      </c>
      <c r="E64" s="5" t="s">
        <v>44</v>
      </c>
      <c r="G64" s="5"/>
      <c r="I64" s="4">
        <v>46354</v>
      </c>
      <c r="J64" t="str">
        <f>VLOOKUP(D64,'plano de contas'!$O$8:$P$13,2,0)</f>
        <v>REC_SER</v>
      </c>
      <c r="O64" t="str">
        <f t="shared" si="0"/>
        <v>RECEITAS</v>
      </c>
    </row>
    <row r="65" spans="4:15" x14ac:dyDescent="0.25">
      <c r="D65" s="5" t="s">
        <v>40</v>
      </c>
      <c r="E65" s="5" t="s">
        <v>44</v>
      </c>
      <c r="G65" s="5"/>
      <c r="I65" s="4">
        <v>46355</v>
      </c>
      <c r="J65" t="str">
        <f>VLOOKUP(D65,'plano de contas'!$O$8:$P$13,2,0)</f>
        <v>REC_SER</v>
      </c>
      <c r="O65" t="str">
        <f t="shared" si="0"/>
        <v>RECEITAS</v>
      </c>
    </row>
    <row r="66" spans="4:15" x14ac:dyDescent="0.25">
      <c r="D66" s="5" t="s">
        <v>40</v>
      </c>
      <c r="E66" s="5" t="s">
        <v>44</v>
      </c>
      <c r="G66" s="5"/>
      <c r="I66" s="4">
        <v>46356</v>
      </c>
      <c r="J66" t="str">
        <f>VLOOKUP(D66,'plano de contas'!$O$8:$P$13,2,0)</f>
        <v>REC_SER</v>
      </c>
      <c r="O66" t="str">
        <f t="shared" si="0"/>
        <v>RECEITAS</v>
      </c>
    </row>
    <row r="67" spans="4:15" x14ac:dyDescent="0.25">
      <c r="D67" s="5" t="s">
        <v>40</v>
      </c>
      <c r="E67" s="5" t="s">
        <v>44</v>
      </c>
      <c r="G67" s="5"/>
      <c r="I67" s="4">
        <v>46357</v>
      </c>
      <c r="J67" t="str">
        <f>VLOOKUP(D67,'plano de contas'!$O$8:$P$13,2,0)</f>
        <v>REC_SER</v>
      </c>
      <c r="O67" t="str">
        <f t="shared" si="0"/>
        <v>RECEITAS</v>
      </c>
    </row>
    <row r="68" spans="4:15" x14ac:dyDescent="0.25">
      <c r="D68" s="5" t="s">
        <v>40</v>
      </c>
      <c r="E68" s="5" t="s">
        <v>44</v>
      </c>
      <c r="G68" s="5"/>
      <c r="I68" s="4">
        <v>46358</v>
      </c>
      <c r="J68" t="str">
        <f>VLOOKUP(D68,'plano de contas'!$O$8:$P$13,2,0)</f>
        <v>REC_SER</v>
      </c>
      <c r="O68" t="str">
        <f t="shared" si="0"/>
        <v>RECEITAS</v>
      </c>
    </row>
    <row r="69" spans="4:15" x14ac:dyDescent="0.25">
      <c r="D69" s="5" t="s">
        <v>40</v>
      </c>
      <c r="E69" s="5" t="s">
        <v>44</v>
      </c>
      <c r="G69" s="5"/>
      <c r="I69" s="4">
        <v>46359</v>
      </c>
      <c r="J69" t="str">
        <f>VLOOKUP(D69,'plano de contas'!$O$8:$P$13,2,0)</f>
        <v>REC_SER</v>
      </c>
      <c r="O69" t="str">
        <f t="shared" si="0"/>
        <v>RECEITAS</v>
      </c>
    </row>
    <row r="70" spans="4:15" x14ac:dyDescent="0.25">
      <c r="D70" s="5" t="s">
        <v>40</v>
      </c>
      <c r="E70" s="5" t="s">
        <v>44</v>
      </c>
      <c r="G70" s="5"/>
      <c r="I70" s="4">
        <v>46360</v>
      </c>
      <c r="J70" t="str">
        <f>VLOOKUP(D70,'plano de contas'!$O$8:$P$13,2,0)</f>
        <v>REC_SER</v>
      </c>
      <c r="O70" t="str">
        <f t="shared" si="0"/>
        <v>RECEITAS</v>
      </c>
    </row>
    <row r="71" spans="4:15" x14ac:dyDescent="0.25">
      <c r="D71" s="5" t="s">
        <v>40</v>
      </c>
      <c r="E71" s="5" t="s">
        <v>44</v>
      </c>
      <c r="G71" s="5"/>
      <c r="I71" s="4">
        <v>46361</v>
      </c>
      <c r="J71" t="str">
        <f>VLOOKUP(D71,'plano de contas'!$O$8:$P$13,2,0)</f>
        <v>REC_SER</v>
      </c>
      <c r="O71" t="str">
        <f t="shared" si="0"/>
        <v>RECEITAS</v>
      </c>
    </row>
    <row r="72" spans="4:15" x14ac:dyDescent="0.25">
      <c r="D72" s="5" t="s">
        <v>40</v>
      </c>
      <c r="E72" s="5" t="s">
        <v>44</v>
      </c>
      <c r="G72" s="5"/>
      <c r="I72" s="4">
        <v>46362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40</v>
      </c>
      <c r="E73" s="5" t="s">
        <v>44</v>
      </c>
      <c r="G73" s="5"/>
      <c r="I73" s="4">
        <v>46363</v>
      </c>
      <c r="J73" t="str">
        <f>VLOOKUP(D73,'plano de contas'!$O$8:$P$13,2,0)</f>
        <v>REC_SER</v>
      </c>
      <c r="O73" t="str">
        <f t="shared" si="1"/>
        <v>RECEITAS</v>
      </c>
    </row>
    <row r="74" spans="4:15" x14ac:dyDescent="0.25">
      <c r="D74" s="5" t="s">
        <v>40</v>
      </c>
      <c r="E74" s="5" t="s">
        <v>44</v>
      </c>
      <c r="G74" s="5"/>
      <c r="I74" s="4">
        <v>46364</v>
      </c>
      <c r="J74" t="str">
        <f>VLOOKUP(D74,'plano de contas'!$O$8:$P$13,2,0)</f>
        <v>REC_SER</v>
      </c>
      <c r="O74" t="str">
        <f t="shared" si="1"/>
        <v>RECEITAS</v>
      </c>
    </row>
    <row r="75" spans="4:15" x14ac:dyDescent="0.25">
      <c r="D75" s="5" t="s">
        <v>40</v>
      </c>
      <c r="E75" s="5" t="s">
        <v>44</v>
      </c>
      <c r="G75" s="5"/>
      <c r="I75" s="4">
        <v>46365</v>
      </c>
      <c r="J75" t="str">
        <f>VLOOKUP(D75,'plano de contas'!$O$8:$P$13,2,0)</f>
        <v>REC_SER</v>
      </c>
      <c r="O75" t="str">
        <f t="shared" si="1"/>
        <v>RECEITAS</v>
      </c>
    </row>
    <row r="76" spans="4:15" x14ac:dyDescent="0.25">
      <c r="D76" s="5" t="s">
        <v>40</v>
      </c>
      <c r="E76" s="5" t="s">
        <v>44</v>
      </c>
      <c r="G76" s="5"/>
      <c r="I76" s="4">
        <v>46366</v>
      </c>
      <c r="J76" t="str">
        <f>VLOOKUP(D76,'plano de contas'!$O$8:$P$13,2,0)</f>
        <v>REC_SER</v>
      </c>
      <c r="O76" t="str">
        <f t="shared" si="1"/>
        <v>RECEITAS</v>
      </c>
    </row>
    <row r="77" spans="4:15" x14ac:dyDescent="0.25">
      <c r="D77" s="5" t="s">
        <v>40</v>
      </c>
      <c r="E77" s="5" t="s">
        <v>44</v>
      </c>
      <c r="G77" s="5"/>
      <c r="I77" s="4">
        <v>46367</v>
      </c>
      <c r="J77" t="str">
        <f>VLOOKUP(D77,'plano de contas'!$O$8:$P$13,2,0)</f>
        <v>REC_SER</v>
      </c>
      <c r="O77" t="str">
        <f t="shared" si="1"/>
        <v>RECEITAS</v>
      </c>
    </row>
    <row r="78" spans="4:15" x14ac:dyDescent="0.25">
      <c r="D78" s="5" t="s">
        <v>40</v>
      </c>
      <c r="E78" s="5" t="s">
        <v>44</v>
      </c>
      <c r="G78" s="5"/>
      <c r="I78" s="4">
        <v>46368</v>
      </c>
      <c r="J78" t="str">
        <f>VLOOKUP(D78,'plano de contas'!$O$8:$P$13,2,0)</f>
        <v>REC_SER</v>
      </c>
      <c r="O78" t="str">
        <f t="shared" si="1"/>
        <v>RECEITAS</v>
      </c>
    </row>
    <row r="79" spans="4:15" x14ac:dyDescent="0.25">
      <c r="D79" s="5" t="s">
        <v>40</v>
      </c>
      <c r="E79" s="5" t="s">
        <v>44</v>
      </c>
      <c r="G79" s="5"/>
      <c r="I79" s="4">
        <v>46369</v>
      </c>
      <c r="J79" t="str">
        <f>VLOOKUP(D79,'plano de contas'!$O$8:$P$13,2,0)</f>
        <v>REC_SER</v>
      </c>
      <c r="O79" t="str">
        <f t="shared" si="1"/>
        <v>RECEITAS</v>
      </c>
    </row>
    <row r="80" spans="4:15" x14ac:dyDescent="0.25">
      <c r="D80" s="5" t="s">
        <v>40</v>
      </c>
      <c r="E80" s="5" t="s">
        <v>44</v>
      </c>
      <c r="G80" s="5" t="s">
        <v>113</v>
      </c>
      <c r="I80" s="4">
        <v>46370</v>
      </c>
      <c r="J80" t="str">
        <f>VLOOKUP(D80,'plano de contas'!$O$8:$P$13,2,0)</f>
        <v>REC_SER</v>
      </c>
      <c r="O80" t="str">
        <f t="shared" si="1"/>
        <v>RECEITAS</v>
      </c>
    </row>
    <row r="81" spans="4:15" x14ac:dyDescent="0.25">
      <c r="D81" s="5" t="s">
        <v>40</v>
      </c>
      <c r="E81" s="5" t="s">
        <v>44</v>
      </c>
      <c r="I81" s="4">
        <v>46371</v>
      </c>
      <c r="J81" t="str">
        <f>VLOOKUP(D81,'plano de contas'!$O$8:$P$13,2,0)</f>
        <v>REC_SER</v>
      </c>
      <c r="O81" t="str">
        <f t="shared" si="1"/>
        <v>RECEITAS</v>
      </c>
    </row>
    <row r="82" spans="4:15" x14ac:dyDescent="0.25">
      <c r="D82" s="5" t="s">
        <v>40</v>
      </c>
      <c r="E82" s="5" t="s">
        <v>44</v>
      </c>
      <c r="I82" s="4">
        <v>46372</v>
      </c>
      <c r="J82" t="str">
        <f>VLOOKUP(D82,'plano de contas'!$O$8:$P$13,2,0)</f>
        <v>REC_SER</v>
      </c>
      <c r="O82" t="str">
        <f t="shared" si="1"/>
        <v>RECEITAS</v>
      </c>
    </row>
    <row r="83" spans="4:15" x14ac:dyDescent="0.25">
      <c r="D83" s="5" t="s">
        <v>40</v>
      </c>
      <c r="E83" s="5" t="s">
        <v>44</v>
      </c>
      <c r="I83" s="4">
        <v>46373</v>
      </c>
      <c r="J83" t="str">
        <f>VLOOKUP(D83,'plano de contas'!$O$8:$P$13,2,0)</f>
        <v>REC_SER</v>
      </c>
      <c r="O83" t="str">
        <f t="shared" si="1"/>
        <v>RECEITAS</v>
      </c>
    </row>
    <row r="84" spans="4:15" x14ac:dyDescent="0.25">
      <c r="D84" s="5" t="s">
        <v>40</v>
      </c>
      <c r="E84" s="5" t="s">
        <v>44</v>
      </c>
      <c r="I84" s="4">
        <v>46374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222" priority="36" operator="equal">
      <formula>"RECEITA"</formula>
    </cfRule>
    <cfRule type="cellIs" dxfId="221" priority="37" operator="equal">
      <formula>"DESPESA"</formula>
    </cfRule>
    <cfRule type="cellIs" dxfId="220" priority="38" operator="equal">
      <formula>"RECEITA"</formula>
    </cfRule>
    <cfRule type="cellIs" dxfId="219" priority="39" operator="equal">
      <formula>"DESPESA"</formula>
    </cfRule>
    <cfRule type="cellIs" dxfId="218" priority="40" operator="equal">
      <formula>"RECEITA"</formula>
    </cfRule>
    <cfRule type="cellIs" dxfId="217" priority="41" operator="equal">
      <formula>"DESPESA"</formula>
    </cfRule>
  </conditionalFormatting>
  <conditionalFormatting sqref="M8">
    <cfRule type="cellIs" dxfId="216" priority="30" operator="equal">
      <formula>"RECEITA"</formula>
    </cfRule>
    <cfRule type="cellIs" dxfId="215" priority="31" operator="equal">
      <formula>"DESPESA"</formula>
    </cfRule>
    <cfRule type="cellIs" dxfId="214" priority="32" operator="equal">
      <formula>"RECEITA"</formula>
    </cfRule>
    <cfRule type="cellIs" dxfId="213" priority="33" operator="equal">
      <formula>"DESPESA"</formula>
    </cfRule>
    <cfRule type="cellIs" dxfId="212" priority="34" operator="equal">
      <formula>"RECEITA"</formula>
    </cfRule>
    <cfRule type="cellIs" dxfId="211" priority="35" operator="equal">
      <formula>"DESPESA"</formula>
    </cfRule>
  </conditionalFormatting>
  <conditionalFormatting sqref="M9">
    <cfRule type="cellIs" dxfId="210" priority="24" operator="equal">
      <formula>"RECEITA"</formula>
    </cfRule>
    <cfRule type="cellIs" dxfId="209" priority="25" operator="equal">
      <formula>"DESPESA"</formula>
    </cfRule>
    <cfRule type="cellIs" dxfId="208" priority="26" operator="equal">
      <formula>"RECEITA"</formula>
    </cfRule>
    <cfRule type="cellIs" dxfId="207" priority="27" operator="equal">
      <formula>"DESPESA"</formula>
    </cfRule>
    <cfRule type="cellIs" dxfId="206" priority="28" operator="equal">
      <formula>"RECEITA"</formula>
    </cfRule>
    <cfRule type="cellIs" dxfId="205" priority="29" operator="equal">
      <formula>"DESPESA"</formula>
    </cfRule>
  </conditionalFormatting>
  <conditionalFormatting sqref="N10">
    <cfRule type="cellIs" dxfId="204" priority="19" operator="greaterThan">
      <formula>0</formula>
    </cfRule>
    <cfRule type="cellIs" dxfId="203" priority="20" operator="greaterThan">
      <formula>0</formula>
    </cfRule>
    <cfRule type="cellIs" dxfId="202" priority="21" operator="greaterThan">
      <formula>0</formula>
    </cfRule>
    <cfRule type="cellIs" dxfId="201" priority="22" operator="lessThan">
      <formula>0</formula>
    </cfRule>
    <cfRule type="cellIs" dxfId="200" priority="23" operator="greaterThan">
      <formula>0</formula>
    </cfRule>
  </conditionalFormatting>
  <conditionalFormatting sqref="E7:E84">
    <cfRule type="cellIs" dxfId="199" priority="7" operator="equal">
      <formula>"RECEITA"</formula>
    </cfRule>
    <cfRule type="cellIs" dxfId="198" priority="8" operator="equal">
      <formula>"DESPESA"</formula>
    </cfRule>
    <cfRule type="cellIs" dxfId="197" priority="9" operator="equal">
      <formula>"RECEITA"</formula>
    </cfRule>
    <cfRule type="cellIs" dxfId="196" priority="10" operator="equal">
      <formula>"DESPESA"</formula>
    </cfRule>
    <cfRule type="cellIs" dxfId="195" priority="11" operator="equal">
      <formula>"RECEITA"</formula>
    </cfRule>
    <cfRule type="cellIs" dxfId="194" priority="12" operator="equal">
      <formula>"DESPESA"</formula>
    </cfRule>
  </conditionalFormatting>
  <conditionalFormatting sqref="D7:D84">
    <cfRule type="cellIs" dxfId="193" priority="3" operator="equal">
      <formula>"RECEITA"</formula>
    </cfRule>
    <cfRule type="cellIs" dxfId="192" priority="4" operator="equal">
      <formula>"DESPESA"</formula>
    </cfRule>
    <cfRule type="cellIs" dxfId="191" priority="5" operator="equal">
      <formula>"RECEITA"</formula>
    </cfRule>
    <cfRule type="cellIs" dxfId="190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7B40A2E-3D46-434B-8644-2B8779731989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B96FFC6D-8AD4-45CC-AB79-FD7A4FE494B8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B1:O99"/>
  <sheetViews>
    <sheetView showGridLines="0" zoomScale="90" zoomScaleNormal="90" workbookViewId="0">
      <selection activeCell="G7" sqref="G7"/>
    </sheetView>
  </sheetViews>
  <sheetFormatPr defaultRowHeight="15" x14ac:dyDescent="0.25"/>
  <cols>
    <col min="3" max="3" width="13.710937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87" t="s">
        <v>19</v>
      </c>
      <c r="D5" s="87"/>
      <c r="E5" s="87"/>
      <c r="F5" s="87"/>
      <c r="G5" s="87"/>
      <c r="H5" s="8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46357</v>
      </c>
      <c r="D7" s="5" t="s">
        <v>42</v>
      </c>
      <c r="E7" s="5" t="s">
        <v>57</v>
      </c>
      <c r="F7" s="5" t="s">
        <v>5</v>
      </c>
      <c r="G7" s="5" t="s">
        <v>112</v>
      </c>
      <c r="H7" s="6">
        <v>10000</v>
      </c>
      <c r="I7" s="4">
        <v>46357</v>
      </c>
      <c r="J7" t="str">
        <f>VLOOKUP(D7,'plano de contas'!$O$8:$P$13,2,0)</f>
        <v>DESP_RH</v>
      </c>
      <c r="M7" s="86" t="s">
        <v>14</v>
      </c>
      <c r="N7" s="86"/>
      <c r="O7" t="str">
        <f>IF(OR(D7="RECEITAS COM SERVIÇOS",D7="RECEITAS COM PRODUTOS"),"RECEITAS","DESPESAS")</f>
        <v>DESPESAS</v>
      </c>
    </row>
    <row r="8" spans="2:15" ht="30" customHeight="1" x14ac:dyDescent="0.35">
      <c r="C8" s="4">
        <v>46358</v>
      </c>
      <c r="D8" s="5" t="s">
        <v>39</v>
      </c>
      <c r="E8" s="5" t="s">
        <v>74</v>
      </c>
      <c r="F8" s="5" t="s">
        <v>11</v>
      </c>
      <c r="G8" s="5" t="s">
        <v>112</v>
      </c>
      <c r="H8" s="6">
        <v>1</v>
      </c>
      <c r="I8" s="4">
        <v>46358</v>
      </c>
      <c r="J8" t="str">
        <f>VLOOKUP(D8,'plano de contas'!$O$8:$P$13,2,0)</f>
        <v>REC_PROD</v>
      </c>
      <c r="M8" s="7" t="s">
        <v>3</v>
      </c>
      <c r="N8" s="8">
        <f>'FLUXO DE CAIXA (2)'!N9</f>
        <v>8018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46359</v>
      </c>
      <c r="D9" s="5" t="s">
        <v>40</v>
      </c>
      <c r="E9" s="5" t="s">
        <v>48</v>
      </c>
      <c r="F9" s="5" t="s">
        <v>6</v>
      </c>
      <c r="G9" s="5" t="s">
        <v>112</v>
      </c>
      <c r="H9" s="6">
        <v>2000</v>
      </c>
      <c r="I9" s="4">
        <v>46359</v>
      </c>
      <c r="J9" t="str">
        <f>VLOOKUP(D9,'plano de contas'!$O$8:$P$13,2,0)</f>
        <v>REC_SER</v>
      </c>
      <c r="M9" s="7" t="s">
        <v>4</v>
      </c>
      <c r="N9" s="8">
        <f>'FLUXO DE CAIXA (2)'!N10</f>
        <v>11535</v>
      </c>
      <c r="O9" t="str">
        <f t="shared" si="0"/>
        <v>RECEITAS</v>
      </c>
    </row>
    <row r="10" spans="2:15" ht="30" customHeight="1" x14ac:dyDescent="0.35">
      <c r="C10" s="4">
        <v>46360</v>
      </c>
      <c r="D10" s="5" t="s">
        <v>43</v>
      </c>
      <c r="E10" s="5" t="s">
        <v>54</v>
      </c>
      <c r="F10" s="5" t="s">
        <v>7</v>
      </c>
      <c r="G10" s="5" t="s">
        <v>112</v>
      </c>
      <c r="H10" s="6">
        <v>3</v>
      </c>
      <c r="I10" s="4">
        <v>46360</v>
      </c>
      <c r="J10" t="str">
        <f>VLOOKUP(D10,'plano de contas'!$O$8:$P$13,2,0)</f>
        <v>DESP_OP</v>
      </c>
      <c r="M10" s="9" t="s">
        <v>15</v>
      </c>
      <c r="N10" s="10">
        <f>N8-N9</f>
        <v>-3517</v>
      </c>
      <c r="O10" t="str">
        <f t="shared" si="0"/>
        <v>DESPESAS</v>
      </c>
    </row>
    <row r="11" spans="2:15" ht="30" customHeight="1" x14ac:dyDescent="0.25">
      <c r="C11" s="4">
        <v>46361</v>
      </c>
      <c r="D11" s="5" t="s">
        <v>41</v>
      </c>
      <c r="E11" s="5" t="s">
        <v>44</v>
      </c>
      <c r="F11" s="5" t="s">
        <v>8</v>
      </c>
      <c r="G11" s="5" t="s">
        <v>112</v>
      </c>
      <c r="H11" s="6">
        <v>1100</v>
      </c>
      <c r="I11" s="4">
        <v>46361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46362</v>
      </c>
      <c r="D12" s="5" t="s">
        <v>41</v>
      </c>
      <c r="E12" s="5" t="s">
        <v>54</v>
      </c>
      <c r="F12" s="5" t="s">
        <v>9</v>
      </c>
      <c r="G12" s="5" t="s">
        <v>113</v>
      </c>
      <c r="H12" s="6">
        <v>5</v>
      </c>
      <c r="I12" s="4">
        <v>46362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46363</v>
      </c>
      <c r="D13" s="5" t="s">
        <v>39</v>
      </c>
      <c r="E13" s="5" t="s">
        <v>74</v>
      </c>
      <c r="F13" s="5" t="s">
        <v>12</v>
      </c>
      <c r="G13" s="5" t="s">
        <v>110</v>
      </c>
      <c r="H13" s="6">
        <v>6000</v>
      </c>
      <c r="I13" s="4">
        <v>46363</v>
      </c>
      <c r="J13" t="str">
        <f>VLOOKUP(D13,'plano de contas'!$O$8:$P$13,2,0)</f>
        <v>REC_PROD</v>
      </c>
      <c r="M13" t="s">
        <v>79</v>
      </c>
      <c r="O13" t="str">
        <f t="shared" si="0"/>
        <v>RECEITAS</v>
      </c>
    </row>
    <row r="14" spans="2:15" ht="30" customHeight="1" x14ac:dyDescent="0.25">
      <c r="C14" s="4">
        <v>46364</v>
      </c>
      <c r="D14" s="5" t="s">
        <v>42</v>
      </c>
      <c r="E14" s="5" t="s">
        <v>59</v>
      </c>
      <c r="F14" s="5" t="s">
        <v>5</v>
      </c>
      <c r="G14" s="5"/>
      <c r="H14" s="6">
        <v>7</v>
      </c>
      <c r="I14" s="4">
        <v>46364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46365</v>
      </c>
      <c r="D15" s="5" t="s">
        <v>40</v>
      </c>
      <c r="E15" s="5" t="s">
        <v>44</v>
      </c>
      <c r="F15" s="5" t="s">
        <v>11</v>
      </c>
      <c r="G15" s="5"/>
      <c r="H15" s="6">
        <v>8</v>
      </c>
      <c r="I15" s="4">
        <v>46365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46366</v>
      </c>
      <c r="D16" s="5" t="s">
        <v>40</v>
      </c>
      <c r="E16" s="5" t="s">
        <v>44</v>
      </c>
      <c r="F16" s="5" t="s">
        <v>6</v>
      </c>
      <c r="G16" s="5"/>
      <c r="H16" s="6">
        <v>9</v>
      </c>
      <c r="I16" s="4">
        <v>46366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46367</v>
      </c>
      <c r="D17" s="5" t="s">
        <v>43</v>
      </c>
      <c r="E17" s="5" t="s">
        <v>51</v>
      </c>
      <c r="F17" s="5" t="s">
        <v>7</v>
      </c>
      <c r="G17" s="5"/>
      <c r="H17" s="6">
        <v>10</v>
      </c>
      <c r="I17" s="4">
        <v>46367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46368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11</v>
      </c>
      <c r="I18" s="4">
        <v>46368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46369</v>
      </c>
      <c r="D19" s="5" t="s">
        <v>41</v>
      </c>
      <c r="E19" s="5" t="s">
        <v>44</v>
      </c>
      <c r="F19" s="5" t="s">
        <v>9</v>
      </c>
      <c r="G19" s="5"/>
      <c r="H19" s="6">
        <v>12</v>
      </c>
      <c r="I19" s="4">
        <v>46369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46370</v>
      </c>
      <c r="D20" s="5" t="s">
        <v>41</v>
      </c>
      <c r="E20" s="5" t="s">
        <v>44</v>
      </c>
      <c r="F20" s="5" t="s">
        <v>10</v>
      </c>
      <c r="G20" s="5"/>
      <c r="H20" s="6">
        <v>13</v>
      </c>
      <c r="I20" s="4">
        <v>46370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46371</v>
      </c>
      <c r="D21" s="5" t="s">
        <v>41</v>
      </c>
      <c r="E21" s="5" t="s">
        <v>44</v>
      </c>
      <c r="F21" s="5" t="s">
        <v>5</v>
      </c>
      <c r="G21" s="5"/>
      <c r="H21" s="6">
        <v>14</v>
      </c>
      <c r="I21" s="4">
        <v>46371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46372</v>
      </c>
      <c r="D22" s="5" t="s">
        <v>41</v>
      </c>
      <c r="E22" s="5" t="s">
        <v>44</v>
      </c>
      <c r="F22" s="5" t="s">
        <v>11</v>
      </c>
      <c r="G22" s="5"/>
      <c r="H22" s="6">
        <v>15</v>
      </c>
      <c r="I22" s="4">
        <v>46372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46373</v>
      </c>
      <c r="D23" s="5" t="s">
        <v>41</v>
      </c>
      <c r="E23" s="5" t="s">
        <v>44</v>
      </c>
      <c r="F23" s="5" t="s">
        <v>6</v>
      </c>
      <c r="G23" s="5"/>
      <c r="H23" s="6">
        <v>16</v>
      </c>
      <c r="I23" s="4">
        <v>46373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46374</v>
      </c>
      <c r="D24" s="5" t="s">
        <v>41</v>
      </c>
      <c r="E24" s="5" t="s">
        <v>44</v>
      </c>
      <c r="F24" s="5" t="s">
        <v>7</v>
      </c>
      <c r="G24" s="5"/>
      <c r="H24" s="6">
        <v>17</v>
      </c>
      <c r="I24" s="4">
        <v>46374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46375</v>
      </c>
      <c r="D25" s="5" t="s">
        <v>41</v>
      </c>
      <c r="E25" s="5" t="s">
        <v>44</v>
      </c>
      <c r="F25" s="5" t="s">
        <v>8</v>
      </c>
      <c r="G25" s="5"/>
      <c r="H25" s="6">
        <v>18</v>
      </c>
      <c r="I25" s="4">
        <v>46375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46376</v>
      </c>
      <c r="D26" s="5" t="s">
        <v>41</v>
      </c>
      <c r="E26" s="5" t="s">
        <v>44</v>
      </c>
      <c r="F26" s="5" t="s">
        <v>16</v>
      </c>
      <c r="G26" s="5" t="s">
        <v>115</v>
      </c>
      <c r="H26" s="6">
        <v>19</v>
      </c>
      <c r="I26" s="4">
        <v>46376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46377</v>
      </c>
      <c r="D27" s="5" t="s">
        <v>41</v>
      </c>
      <c r="E27" s="5" t="s">
        <v>44</v>
      </c>
      <c r="F27" s="5" t="s">
        <v>17</v>
      </c>
      <c r="G27" s="5" t="s">
        <v>128</v>
      </c>
      <c r="H27" s="6">
        <v>20</v>
      </c>
      <c r="I27" s="4">
        <v>46377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46378</v>
      </c>
      <c r="D28" s="5" t="s">
        <v>41</v>
      </c>
      <c r="E28" s="5" t="s">
        <v>44</v>
      </c>
      <c r="F28" s="5" t="s">
        <v>18</v>
      </c>
      <c r="G28" s="5" t="s">
        <v>129</v>
      </c>
      <c r="H28" s="6">
        <v>21</v>
      </c>
      <c r="I28" s="4">
        <v>46378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46379</v>
      </c>
      <c r="D29" s="5" t="s">
        <v>41</v>
      </c>
      <c r="E29" s="5" t="s">
        <v>44</v>
      </c>
      <c r="F29" s="5" t="s">
        <v>18</v>
      </c>
      <c r="G29" s="5" t="s">
        <v>130</v>
      </c>
      <c r="H29" s="6">
        <v>22</v>
      </c>
      <c r="I29" s="4">
        <v>46379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46380</v>
      </c>
      <c r="D30" s="5" t="s">
        <v>41</v>
      </c>
      <c r="E30" s="5" t="s">
        <v>44</v>
      </c>
      <c r="F30" s="5" t="s">
        <v>18</v>
      </c>
      <c r="G30" s="5" t="s">
        <v>131</v>
      </c>
      <c r="H30" s="6">
        <v>23</v>
      </c>
      <c r="I30" s="4">
        <v>46380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46381</v>
      </c>
      <c r="D31" s="5" t="s">
        <v>41</v>
      </c>
      <c r="E31" s="5" t="s">
        <v>44</v>
      </c>
      <c r="F31" s="5" t="s">
        <v>18</v>
      </c>
      <c r="G31" s="5" t="s">
        <v>132</v>
      </c>
      <c r="H31" s="6">
        <v>24</v>
      </c>
      <c r="I31" s="4">
        <v>46381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46382</v>
      </c>
      <c r="D32" s="5" t="s">
        <v>41</v>
      </c>
      <c r="E32" s="5" t="s">
        <v>44</v>
      </c>
      <c r="F32" s="5" t="s">
        <v>18</v>
      </c>
      <c r="G32" s="5" t="s">
        <v>133</v>
      </c>
      <c r="H32" s="6">
        <v>25</v>
      </c>
      <c r="I32" s="4">
        <v>46382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46383</v>
      </c>
      <c r="D33" s="5" t="s">
        <v>41</v>
      </c>
      <c r="E33" s="5" t="s">
        <v>44</v>
      </c>
      <c r="F33" s="5" t="s">
        <v>18</v>
      </c>
      <c r="G33" s="5" t="s">
        <v>134</v>
      </c>
      <c r="H33" s="6">
        <v>26</v>
      </c>
      <c r="I33" s="4">
        <v>46383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46384</v>
      </c>
      <c r="D34" s="5" t="s">
        <v>41</v>
      </c>
      <c r="E34" s="5" t="s">
        <v>44</v>
      </c>
      <c r="F34" s="5" t="s">
        <v>18</v>
      </c>
      <c r="G34" s="5" t="s">
        <v>135</v>
      </c>
      <c r="H34" s="6">
        <v>27</v>
      </c>
      <c r="I34" s="4">
        <v>46384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46385</v>
      </c>
      <c r="D35" s="5" t="s">
        <v>41</v>
      </c>
      <c r="E35" s="5" t="s">
        <v>44</v>
      </c>
      <c r="F35" s="5" t="s">
        <v>18</v>
      </c>
      <c r="G35" s="5" t="s">
        <v>136</v>
      </c>
      <c r="H35" s="6">
        <v>28</v>
      </c>
      <c r="I35" s="4">
        <v>46385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46386</v>
      </c>
      <c r="D36" s="5" t="s">
        <v>41</v>
      </c>
      <c r="E36" s="5" t="s">
        <v>44</v>
      </c>
      <c r="F36" s="5" t="s">
        <v>18</v>
      </c>
      <c r="G36" s="5" t="s">
        <v>137</v>
      </c>
      <c r="H36" s="6">
        <v>29</v>
      </c>
      <c r="I36" s="4">
        <v>46386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46387</v>
      </c>
      <c r="D37" s="5" t="s">
        <v>41</v>
      </c>
      <c r="E37" s="5" t="s">
        <v>44</v>
      </c>
      <c r="F37" s="5" t="s">
        <v>18</v>
      </c>
      <c r="G37" s="5" t="s">
        <v>138</v>
      </c>
      <c r="H37" s="6">
        <v>30</v>
      </c>
      <c r="I37" s="4">
        <v>46357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46357</v>
      </c>
      <c r="D38" s="5" t="s">
        <v>41</v>
      </c>
      <c r="E38" s="5" t="s">
        <v>44</v>
      </c>
      <c r="G38" s="5" t="s">
        <v>139</v>
      </c>
      <c r="I38" s="4">
        <v>46358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46358</v>
      </c>
      <c r="D39" s="5" t="s">
        <v>41</v>
      </c>
      <c r="E39" s="5" t="s">
        <v>44</v>
      </c>
      <c r="G39" s="5" t="s">
        <v>140</v>
      </c>
      <c r="I39" s="4">
        <v>46359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46359</v>
      </c>
      <c r="D40" s="5" t="s">
        <v>41</v>
      </c>
      <c r="E40" s="5" t="s">
        <v>44</v>
      </c>
      <c r="G40" s="5" t="s">
        <v>141</v>
      </c>
      <c r="I40" s="4">
        <v>46360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46360</v>
      </c>
      <c r="D41" s="5" t="s">
        <v>41</v>
      </c>
      <c r="E41" s="5" t="s">
        <v>44</v>
      </c>
      <c r="G41" s="5" t="s">
        <v>142</v>
      </c>
      <c r="I41" s="4">
        <v>46361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46361</v>
      </c>
      <c r="D42" s="5" t="s">
        <v>41</v>
      </c>
      <c r="E42" s="5" t="s">
        <v>44</v>
      </c>
      <c r="G42" s="5" t="s">
        <v>143</v>
      </c>
      <c r="I42" s="4">
        <v>46362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46362</v>
      </c>
      <c r="D43" s="5" t="s">
        <v>41</v>
      </c>
      <c r="E43" s="5" t="s">
        <v>44</v>
      </c>
      <c r="G43" s="5" t="s">
        <v>144</v>
      </c>
      <c r="I43" s="4">
        <v>46363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46363</v>
      </c>
      <c r="D44" s="5" t="s">
        <v>41</v>
      </c>
      <c r="E44" s="5" t="s">
        <v>44</v>
      </c>
      <c r="G44" s="5" t="s">
        <v>145</v>
      </c>
      <c r="I44" s="4">
        <v>46364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46364</v>
      </c>
      <c r="D45" s="5" t="s">
        <v>41</v>
      </c>
      <c r="E45" s="5" t="s">
        <v>44</v>
      </c>
      <c r="G45" s="5" t="s">
        <v>146</v>
      </c>
      <c r="I45" s="4">
        <v>46365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46365</v>
      </c>
      <c r="D46" s="5" t="s">
        <v>41</v>
      </c>
      <c r="E46" s="5" t="s">
        <v>44</v>
      </c>
      <c r="G46" s="5" t="s">
        <v>147</v>
      </c>
      <c r="I46" s="4">
        <v>46366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46366</v>
      </c>
      <c r="D47" s="5" t="s">
        <v>41</v>
      </c>
      <c r="E47" s="5" t="s">
        <v>44</v>
      </c>
      <c r="G47" s="5" t="s">
        <v>148</v>
      </c>
      <c r="I47" s="4">
        <v>46367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46367</v>
      </c>
      <c r="D48" s="5" t="s">
        <v>41</v>
      </c>
      <c r="E48" s="5" t="s">
        <v>44</v>
      </c>
      <c r="G48" s="5" t="s">
        <v>149</v>
      </c>
      <c r="I48" s="4">
        <v>46368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46368</v>
      </c>
      <c r="D49" s="5" t="s">
        <v>41</v>
      </c>
      <c r="E49" s="5" t="s">
        <v>44</v>
      </c>
      <c r="G49" s="5" t="s">
        <v>150</v>
      </c>
      <c r="I49" s="4">
        <v>46369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46369</v>
      </c>
      <c r="D50" s="5" t="s">
        <v>41</v>
      </c>
      <c r="E50" s="5" t="s">
        <v>44</v>
      </c>
      <c r="G50" s="5" t="s">
        <v>151</v>
      </c>
      <c r="I50" s="4">
        <v>46370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46370</v>
      </c>
      <c r="D51" s="5" t="s">
        <v>41</v>
      </c>
      <c r="E51" s="5" t="s">
        <v>44</v>
      </c>
      <c r="G51" s="5" t="s">
        <v>152</v>
      </c>
      <c r="I51" s="4">
        <v>46371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46371</v>
      </c>
      <c r="D52" s="5" t="s">
        <v>41</v>
      </c>
      <c r="E52" s="5" t="s">
        <v>44</v>
      </c>
      <c r="G52" s="5" t="s">
        <v>153</v>
      </c>
      <c r="I52" s="4">
        <v>46372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46372</v>
      </c>
      <c r="D53" s="5" t="s">
        <v>41</v>
      </c>
      <c r="E53" s="5" t="s">
        <v>44</v>
      </c>
      <c r="G53" s="5" t="s">
        <v>154</v>
      </c>
      <c r="I53" s="4">
        <v>46373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46373</v>
      </c>
      <c r="D54" s="5" t="s">
        <v>41</v>
      </c>
      <c r="E54" s="5" t="s">
        <v>44</v>
      </c>
      <c r="G54" s="5" t="s">
        <v>155</v>
      </c>
      <c r="I54" s="4">
        <v>46374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46374</v>
      </c>
      <c r="D55" s="5" t="s">
        <v>41</v>
      </c>
      <c r="E55" s="5" t="s">
        <v>44</v>
      </c>
      <c r="G55" s="5" t="s">
        <v>156</v>
      </c>
      <c r="I55" s="4">
        <v>46375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46375</v>
      </c>
      <c r="D56" s="5" t="s">
        <v>41</v>
      </c>
      <c r="E56" s="5" t="s">
        <v>44</v>
      </c>
      <c r="G56" s="5" t="s">
        <v>157</v>
      </c>
      <c r="I56" s="4">
        <v>46376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46376</v>
      </c>
      <c r="D57" s="5" t="s">
        <v>41</v>
      </c>
      <c r="E57" s="5" t="s">
        <v>44</v>
      </c>
      <c r="G57" s="5" t="s">
        <v>158</v>
      </c>
      <c r="I57" s="4">
        <v>46377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46377</v>
      </c>
      <c r="D58" s="5" t="s">
        <v>41</v>
      </c>
      <c r="E58" s="5" t="s">
        <v>44</v>
      </c>
      <c r="G58" s="5" t="s">
        <v>159</v>
      </c>
      <c r="I58" s="4">
        <v>46378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46378</v>
      </c>
      <c r="D59" s="5" t="s">
        <v>41</v>
      </c>
      <c r="E59" s="5" t="s">
        <v>44</v>
      </c>
      <c r="G59" s="5" t="s">
        <v>160</v>
      </c>
      <c r="I59" s="4">
        <v>46379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46379</v>
      </c>
      <c r="D60" s="5" t="s">
        <v>41</v>
      </c>
      <c r="E60" s="5" t="s">
        <v>44</v>
      </c>
      <c r="G60" s="5" t="s">
        <v>161</v>
      </c>
      <c r="I60" s="4">
        <v>46380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46380</v>
      </c>
      <c r="D61" s="5" t="s">
        <v>41</v>
      </c>
      <c r="E61" s="5" t="s">
        <v>44</v>
      </c>
      <c r="G61" s="5" t="s">
        <v>162</v>
      </c>
      <c r="I61" s="4">
        <v>46381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46381</v>
      </c>
      <c r="D62" s="5" t="s">
        <v>41</v>
      </c>
      <c r="E62" s="5" t="s">
        <v>44</v>
      </c>
      <c r="G62" s="5" t="s">
        <v>163</v>
      </c>
      <c r="I62" s="4">
        <v>46382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46382</v>
      </c>
      <c r="D63" s="5" t="s">
        <v>41</v>
      </c>
      <c r="E63" s="5" t="s">
        <v>44</v>
      </c>
      <c r="G63" s="5" t="s">
        <v>164</v>
      </c>
      <c r="I63" s="4">
        <v>46383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46383</v>
      </c>
      <c r="D64" s="5" t="s">
        <v>41</v>
      </c>
      <c r="E64" s="5" t="s">
        <v>44</v>
      </c>
      <c r="G64" s="5" t="s">
        <v>165</v>
      </c>
      <c r="I64" s="4">
        <v>46384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46384</v>
      </c>
      <c r="D65" s="5" t="s">
        <v>41</v>
      </c>
      <c r="E65" s="5" t="s">
        <v>44</v>
      </c>
      <c r="G65" s="5" t="s">
        <v>166</v>
      </c>
      <c r="I65" s="4">
        <v>46385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46385</v>
      </c>
      <c r="D66" s="5" t="s">
        <v>41</v>
      </c>
      <c r="E66" s="5" t="s">
        <v>44</v>
      </c>
      <c r="G66" s="5" t="s">
        <v>167</v>
      </c>
      <c r="I66" s="4">
        <v>46356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46386</v>
      </c>
      <c r="D67" s="5" t="s">
        <v>41</v>
      </c>
      <c r="E67" s="5" t="s">
        <v>44</v>
      </c>
      <c r="G67" s="5" t="s">
        <v>168</v>
      </c>
      <c r="I67" s="4">
        <v>46357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46387</v>
      </c>
      <c r="D68" s="5" t="s">
        <v>41</v>
      </c>
      <c r="E68" s="5" t="s">
        <v>44</v>
      </c>
      <c r="G68" s="5" t="s">
        <v>169</v>
      </c>
      <c r="I68" s="4">
        <v>46358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46357</v>
      </c>
      <c r="D69" s="5" t="s">
        <v>41</v>
      </c>
      <c r="E69" s="5" t="s">
        <v>44</v>
      </c>
      <c r="G69" s="5" t="s">
        <v>170</v>
      </c>
      <c r="I69" s="4">
        <v>46359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46358</v>
      </c>
      <c r="D70" s="5" t="s">
        <v>41</v>
      </c>
      <c r="E70" s="5" t="s">
        <v>44</v>
      </c>
      <c r="G70" s="5" t="s">
        <v>171</v>
      </c>
      <c r="I70" s="4">
        <v>46360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46359</v>
      </c>
      <c r="D71" s="5" t="s">
        <v>41</v>
      </c>
      <c r="E71" s="5" t="s">
        <v>44</v>
      </c>
      <c r="G71" s="5" t="s">
        <v>172</v>
      </c>
      <c r="I71" s="4">
        <v>46361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46360</v>
      </c>
      <c r="D72" s="5" t="s">
        <v>41</v>
      </c>
      <c r="E72" s="5" t="s">
        <v>44</v>
      </c>
      <c r="G72" s="5" t="s">
        <v>173</v>
      </c>
      <c r="I72" s="4">
        <v>46362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46361</v>
      </c>
      <c r="D73" s="5" t="s">
        <v>41</v>
      </c>
      <c r="E73" s="5" t="s">
        <v>44</v>
      </c>
      <c r="G73" s="5" t="s">
        <v>174</v>
      </c>
      <c r="I73" s="4">
        <v>46363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46362</v>
      </c>
      <c r="D74" s="5" t="s">
        <v>41</v>
      </c>
      <c r="E74" s="5" t="s">
        <v>44</v>
      </c>
      <c r="G74" s="5" t="s">
        <v>175</v>
      </c>
      <c r="I74" s="4">
        <v>46364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46363</v>
      </c>
      <c r="D75" s="5" t="s">
        <v>41</v>
      </c>
      <c r="E75" s="5" t="s">
        <v>44</v>
      </c>
      <c r="G75" s="5" t="s">
        <v>176</v>
      </c>
      <c r="I75" s="4">
        <v>46365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46364</v>
      </c>
      <c r="D76" s="5" t="s">
        <v>41</v>
      </c>
      <c r="E76" s="5" t="s">
        <v>44</v>
      </c>
      <c r="G76" s="5" t="s">
        <v>177</v>
      </c>
      <c r="I76" s="4">
        <v>46366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46365</v>
      </c>
      <c r="D77" s="5" t="s">
        <v>41</v>
      </c>
      <c r="E77" s="5" t="s">
        <v>44</v>
      </c>
      <c r="G77" s="5" t="s">
        <v>178</v>
      </c>
      <c r="I77" s="4">
        <v>46367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46366</v>
      </c>
      <c r="D78" s="5" t="s">
        <v>41</v>
      </c>
      <c r="E78" s="5" t="s">
        <v>44</v>
      </c>
      <c r="G78" s="5" t="s">
        <v>179</v>
      </c>
      <c r="I78" s="4">
        <v>46368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46367</v>
      </c>
      <c r="D79" s="5" t="s">
        <v>41</v>
      </c>
      <c r="E79" s="5" t="s">
        <v>44</v>
      </c>
      <c r="G79" s="5" t="s">
        <v>180</v>
      </c>
      <c r="I79" s="4">
        <v>46369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46368</v>
      </c>
      <c r="D80" s="5" t="s">
        <v>41</v>
      </c>
      <c r="E80" s="5" t="s">
        <v>44</v>
      </c>
      <c r="G80" s="5" t="s">
        <v>113</v>
      </c>
      <c r="I80" s="4">
        <v>46370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4">
        <v>46369</v>
      </c>
      <c r="D81" s="5" t="s">
        <v>41</v>
      </c>
      <c r="E81" s="5" t="s">
        <v>44</v>
      </c>
      <c r="I81" s="4">
        <v>46371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4">
        <v>46370</v>
      </c>
      <c r="D82" s="5" t="s">
        <v>41</v>
      </c>
      <c r="E82" s="5" t="s">
        <v>44</v>
      </c>
      <c r="I82" s="4">
        <v>46372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4">
        <v>46371</v>
      </c>
      <c r="D83" s="5" t="s">
        <v>41</v>
      </c>
      <c r="E83" s="5" t="s">
        <v>44</v>
      </c>
      <c r="I83" s="4">
        <v>46373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4">
        <v>46372</v>
      </c>
      <c r="D84" s="5" t="s">
        <v>41</v>
      </c>
      <c r="E84" s="5" t="s">
        <v>44</v>
      </c>
      <c r="I84" s="4">
        <v>46374</v>
      </c>
      <c r="J84" t="str">
        <f>VLOOKUP(D84,'plano de contas'!$O$8:$P$13,2,0)</f>
        <v>DESP_PROD</v>
      </c>
      <c r="O84" t="str">
        <f t="shared" si="1"/>
        <v>DESPESAS</v>
      </c>
    </row>
    <row r="85" spans="3:15" x14ac:dyDescent="0.25">
      <c r="C85" s="4"/>
    </row>
    <row r="86" spans="3:15" x14ac:dyDescent="0.25">
      <c r="C86" s="4"/>
    </row>
    <row r="87" spans="3:15" x14ac:dyDescent="0.25">
      <c r="C87" s="4"/>
    </row>
    <row r="88" spans="3:15" x14ac:dyDescent="0.25">
      <c r="C88" s="4"/>
    </row>
    <row r="89" spans="3:15" x14ac:dyDescent="0.25">
      <c r="C89" s="4"/>
    </row>
    <row r="90" spans="3:15" x14ac:dyDescent="0.25">
      <c r="C90" s="4"/>
    </row>
    <row r="91" spans="3:15" x14ac:dyDescent="0.25">
      <c r="C91" s="4"/>
    </row>
    <row r="92" spans="3:15" x14ac:dyDescent="0.25">
      <c r="C92" s="4"/>
    </row>
    <row r="93" spans="3:15" x14ac:dyDescent="0.25">
      <c r="C93" s="4"/>
    </row>
    <row r="94" spans="3:15" x14ac:dyDescent="0.25">
      <c r="C94" s="4"/>
    </row>
    <row r="95" spans="3:15" x14ac:dyDescent="0.25">
      <c r="C95" s="4"/>
    </row>
    <row r="96" spans="3:15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</sheetData>
  <autoFilter ref="H8:H37"/>
  <mergeCells count="2">
    <mergeCell ref="C5:H5"/>
    <mergeCell ref="M7:N7"/>
  </mergeCells>
  <conditionalFormatting sqref="F81:G1048576 F38:F80">
    <cfRule type="cellIs" dxfId="187" priority="36" operator="equal">
      <formula>"RECEITA"</formula>
    </cfRule>
    <cfRule type="cellIs" dxfId="186" priority="37" operator="equal">
      <formula>"DESPESA"</formula>
    </cfRule>
    <cfRule type="cellIs" dxfId="185" priority="38" operator="equal">
      <formula>"RECEITA"</formula>
    </cfRule>
    <cfRule type="cellIs" dxfId="184" priority="39" operator="equal">
      <formula>"DESPESA"</formula>
    </cfRule>
    <cfRule type="cellIs" dxfId="183" priority="40" operator="equal">
      <formula>"RECEITA"</formula>
    </cfRule>
    <cfRule type="cellIs" dxfId="182" priority="41" operator="equal">
      <formula>"DESPESA"</formula>
    </cfRule>
  </conditionalFormatting>
  <conditionalFormatting sqref="M8">
    <cfRule type="cellIs" dxfId="181" priority="30" operator="equal">
      <formula>"RECEITA"</formula>
    </cfRule>
    <cfRule type="cellIs" dxfId="180" priority="31" operator="equal">
      <formula>"DESPESA"</formula>
    </cfRule>
    <cfRule type="cellIs" dxfId="179" priority="32" operator="equal">
      <formula>"RECEITA"</formula>
    </cfRule>
    <cfRule type="cellIs" dxfId="178" priority="33" operator="equal">
      <formula>"DESPESA"</formula>
    </cfRule>
    <cfRule type="cellIs" dxfId="177" priority="34" operator="equal">
      <formula>"RECEITA"</formula>
    </cfRule>
    <cfRule type="cellIs" dxfId="176" priority="35" operator="equal">
      <formula>"DESPESA"</formula>
    </cfRule>
  </conditionalFormatting>
  <conditionalFormatting sqref="M9">
    <cfRule type="cellIs" dxfId="175" priority="24" operator="equal">
      <formula>"RECEITA"</formula>
    </cfRule>
    <cfRule type="cellIs" dxfId="174" priority="25" operator="equal">
      <formula>"DESPESA"</formula>
    </cfRule>
    <cfRule type="cellIs" dxfId="173" priority="26" operator="equal">
      <formula>"RECEITA"</formula>
    </cfRule>
    <cfRule type="cellIs" dxfId="172" priority="27" operator="equal">
      <formula>"DESPESA"</formula>
    </cfRule>
    <cfRule type="cellIs" dxfId="171" priority="28" operator="equal">
      <formula>"RECEITA"</formula>
    </cfRule>
    <cfRule type="cellIs" dxfId="170" priority="29" operator="equal">
      <formula>"DESPESA"</formula>
    </cfRule>
  </conditionalFormatting>
  <conditionalFormatting sqref="N10">
    <cfRule type="cellIs" dxfId="169" priority="19" operator="greaterThan">
      <formula>0</formula>
    </cfRule>
    <cfRule type="cellIs" dxfId="168" priority="20" operator="greaterThan">
      <formula>0</formula>
    </cfRule>
    <cfRule type="cellIs" dxfId="167" priority="21" operator="greaterThan">
      <formula>0</formula>
    </cfRule>
    <cfRule type="cellIs" dxfId="166" priority="22" operator="lessThan">
      <formula>0</formula>
    </cfRule>
    <cfRule type="cellIs" dxfId="165" priority="23" operator="greaterThan">
      <formula>0</formula>
    </cfRule>
  </conditionalFormatting>
  <conditionalFormatting sqref="E7:E84">
    <cfRule type="cellIs" dxfId="164" priority="7" operator="equal">
      <formula>"RECEITA"</formula>
    </cfRule>
    <cfRule type="cellIs" dxfId="163" priority="8" operator="equal">
      <formula>"DESPESA"</formula>
    </cfRule>
    <cfRule type="cellIs" dxfId="162" priority="9" operator="equal">
      <formula>"RECEITA"</formula>
    </cfRule>
    <cfRule type="cellIs" dxfId="161" priority="10" operator="equal">
      <formula>"DESPESA"</formula>
    </cfRule>
    <cfRule type="cellIs" dxfId="160" priority="11" operator="equal">
      <formula>"RECEITA"</formula>
    </cfRule>
    <cfRule type="cellIs" dxfId="159" priority="12" operator="equal">
      <formula>"DESPESA"</formula>
    </cfRule>
  </conditionalFormatting>
  <conditionalFormatting sqref="D7:D84">
    <cfRule type="cellIs" dxfId="158" priority="3" operator="equal">
      <formula>"RECEITA"</formula>
    </cfRule>
    <cfRule type="cellIs" dxfId="157" priority="4" operator="equal">
      <formula>"DESPESA"</formula>
    </cfRule>
    <cfRule type="cellIs" dxfId="156" priority="5" operator="equal">
      <formula>"RECEITA"</formula>
    </cfRule>
    <cfRule type="cellIs" dxfId="155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7E4B899-0C12-478A-A269-805F7F364A0D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6577AA18-0F82-463F-B0EA-E3963552545E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1:I13"/>
  <sheetViews>
    <sheetView showGridLines="0" zoomScaleNormal="100" workbookViewId="0">
      <selection activeCell="E17" sqref="E17"/>
    </sheetView>
  </sheetViews>
  <sheetFormatPr defaultRowHeight="15" x14ac:dyDescent="0.25"/>
  <cols>
    <col min="1" max="1" width="2.42578125" customWidth="1"/>
    <col min="2" max="2" width="2.85546875" customWidth="1"/>
    <col min="3" max="3" width="42.85546875" customWidth="1"/>
    <col min="4" max="4" width="3" customWidth="1"/>
    <col min="5" max="5" width="42.85546875" customWidth="1"/>
    <col min="6" max="6" width="3" customWidth="1"/>
    <col min="7" max="7" width="42.85546875" customWidth="1"/>
    <col min="8" max="8" width="3" customWidth="1"/>
    <col min="9" max="9" width="42.85546875" customWidth="1"/>
  </cols>
  <sheetData>
    <row r="1" spans="3:9" s="72" customFormat="1" ht="51.75" customHeight="1" thickBot="1" x14ac:dyDescent="0.3">
      <c r="C1" s="75"/>
      <c r="D1" s="75"/>
      <c r="E1" s="75"/>
      <c r="F1" s="75"/>
      <c r="G1" s="75"/>
      <c r="H1" s="75"/>
      <c r="I1" s="75"/>
    </row>
    <row r="2" spans="3:9" ht="6.75" customHeight="1" x14ac:dyDescent="0.25"/>
    <row r="3" spans="3:9" ht="22.5" customHeight="1" x14ac:dyDescent="0.25">
      <c r="C3" s="84" t="str">
        <f>'FLUXO DE CAIXA (2)'!B12</f>
        <v>VALOR ACUMULADO</v>
      </c>
      <c r="E3" s="84" t="str">
        <f>'FLUXO DE CAIXA (2)'!B9</f>
        <v>RECEITAS</v>
      </c>
      <c r="G3" s="84" t="str">
        <f>'FLUXO DE CAIXA (2)'!B10</f>
        <v>DESPESAS</v>
      </c>
      <c r="I3" s="84" t="str">
        <f>'FLUXO DE CAIXA (2)'!B11</f>
        <v>SALDO FINANCEIRO</v>
      </c>
    </row>
    <row r="4" spans="3:9" ht="43.5" customHeight="1" x14ac:dyDescent="0.5">
      <c r="C4" s="95">
        <f>'AUXILIAR 2'!J10</f>
        <v>411</v>
      </c>
      <c r="E4" s="94">
        <f>'AUXILIAR 2'!J7</f>
        <v>1505</v>
      </c>
      <c r="G4" s="96">
        <f>'AUXILIAR 2'!J8</f>
        <v>1205</v>
      </c>
      <c r="I4" s="95">
        <f>'AUXILIAR 2'!J9</f>
        <v>300</v>
      </c>
    </row>
    <row r="5" spans="3:9" ht="33.75" x14ac:dyDescent="0.5">
      <c r="E5" s="73"/>
      <c r="F5" s="73"/>
      <c r="G5" s="73"/>
      <c r="H5" s="73"/>
      <c r="I5" s="83"/>
    </row>
    <row r="6" spans="3:9" ht="22.5" customHeight="1" x14ac:dyDescent="0.25">
      <c r="C6" s="84" t="str">
        <f>'FLUXO DE CAIXA (2)'!B16</f>
        <v>CONTAS A RECEBER</v>
      </c>
      <c r="D6" s="77"/>
      <c r="E6" s="72"/>
      <c r="F6" s="72"/>
      <c r="G6" s="72"/>
      <c r="H6" s="72"/>
      <c r="I6" s="76"/>
    </row>
    <row r="7" spans="3:9" ht="43.5" customHeight="1" x14ac:dyDescent="0.5">
      <c r="C7" s="94">
        <f>'AUXILIAR 2'!J11</f>
        <v>18</v>
      </c>
      <c r="D7" s="77"/>
      <c r="E7" s="53"/>
      <c r="F7" s="72"/>
      <c r="G7" s="72"/>
      <c r="H7" s="72"/>
      <c r="I7" s="77"/>
    </row>
    <row r="8" spans="3:9" x14ac:dyDescent="0.25">
      <c r="D8" s="77"/>
      <c r="E8" s="72"/>
      <c r="F8" s="72"/>
      <c r="G8" s="72"/>
      <c r="H8" s="72"/>
      <c r="I8" s="77"/>
    </row>
    <row r="9" spans="3:9" ht="22.5" customHeight="1" x14ac:dyDescent="0.25">
      <c r="C9" s="84" t="str">
        <f>'FLUXO DE CAIXA (2)'!B17</f>
        <v>CONTAS A PAGAR</v>
      </c>
      <c r="D9" s="77"/>
      <c r="E9" s="72"/>
      <c r="F9" s="72"/>
      <c r="G9" s="72"/>
      <c r="H9" s="72"/>
      <c r="I9" s="77"/>
    </row>
    <row r="10" spans="3:9" ht="43.5" customHeight="1" x14ac:dyDescent="0.5">
      <c r="C10" s="96">
        <f>'AUXILIAR 2'!J12</f>
        <v>0</v>
      </c>
      <c r="D10" s="77"/>
      <c r="E10" s="72"/>
      <c r="F10" s="72"/>
      <c r="G10" s="72"/>
      <c r="H10" s="72"/>
      <c r="I10" s="77"/>
    </row>
    <row r="11" spans="3:9" ht="16.5" customHeight="1" x14ac:dyDescent="0.25">
      <c r="D11" s="77"/>
      <c r="E11" s="72"/>
      <c r="F11" s="72"/>
      <c r="G11" s="72"/>
      <c r="H11" s="72"/>
      <c r="I11" s="77"/>
    </row>
    <row r="12" spans="3:9" ht="22.5" customHeight="1" x14ac:dyDescent="0.25">
      <c r="C12" s="84" t="str">
        <f>'FLUXO DE CAIXA (2)'!B18</f>
        <v>NECESSIDADE DE CAIXA</v>
      </c>
      <c r="D12" s="77"/>
      <c r="E12" s="72"/>
      <c r="F12" s="72"/>
      <c r="G12" s="72"/>
      <c r="H12" s="72"/>
      <c r="I12" s="77"/>
    </row>
    <row r="13" spans="3:9" ht="43.5" customHeight="1" x14ac:dyDescent="0.25">
      <c r="C13" s="95">
        <f>'AUXILIAR 2'!J13</f>
        <v>18</v>
      </c>
      <c r="D13" s="77"/>
      <c r="E13" s="78"/>
      <c r="F13" s="73"/>
      <c r="G13" s="73"/>
      <c r="H13" s="73"/>
      <c r="I13" s="79"/>
    </row>
  </sheetData>
  <conditionalFormatting sqref="C13 E7">
    <cfRule type="cellIs" dxfId="152" priority="5" operator="lessThan">
      <formula>0</formula>
    </cfRule>
    <cfRule type="cellIs" dxfId="151" priority="6" operator="greaterThan">
      <formula>0</formula>
    </cfRule>
  </conditionalFormatting>
  <conditionalFormatting sqref="I4">
    <cfRule type="cellIs" dxfId="150" priority="3" operator="lessThan">
      <formula>0</formula>
    </cfRule>
    <cfRule type="cellIs" dxfId="149" priority="4" operator="greaterThan">
      <formula>0</formula>
    </cfRule>
  </conditionalFormatting>
  <conditionalFormatting sqref="C4">
    <cfRule type="cellIs" dxfId="148" priority="1" operator="lessThan">
      <formula>0</formula>
    </cfRule>
    <cfRule type="cellIs" dxfId="147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Drop Down 1">
              <controlPr defaultSize="0" autoLine="0" autoPict="0">
                <anchor moveWithCells="1">
                  <from>
                    <xdr:col>2</xdr:col>
                    <xdr:colOff>95250</xdr:colOff>
                    <xdr:row>0</xdr:row>
                    <xdr:rowOff>66675</xdr:rowOff>
                  </from>
                  <to>
                    <xdr:col>2</xdr:col>
                    <xdr:colOff>2733675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14"/>
  <sheetViews>
    <sheetView showGridLines="0" zoomScale="80" zoomScaleNormal="80" workbookViewId="0">
      <selection activeCell="J13" sqref="J13"/>
    </sheetView>
  </sheetViews>
  <sheetFormatPr defaultRowHeight="15" x14ac:dyDescent="0.25"/>
  <cols>
    <col min="3" max="3" width="11.85546875" customWidth="1"/>
    <col min="5" max="5" width="25.28515625" bestFit="1" customWidth="1"/>
    <col min="6" max="6" width="12" customWidth="1"/>
    <col min="9" max="9" width="39" bestFit="1" customWidth="1"/>
    <col min="10" max="10" width="23.42578125" bestFit="1" customWidth="1"/>
    <col min="11" max="11" width="9.85546875" bestFit="1" customWidth="1"/>
  </cols>
  <sheetData>
    <row r="2" spans="2:11" x14ac:dyDescent="0.25">
      <c r="B2" s="88" t="s">
        <v>182</v>
      </c>
      <c r="C2" s="88"/>
      <c r="E2" t="s">
        <v>183</v>
      </c>
      <c r="F2" s="71">
        <v>5</v>
      </c>
      <c r="I2" t="s">
        <v>192</v>
      </c>
      <c r="J2">
        <v>1</v>
      </c>
    </row>
    <row r="3" spans="2:11" x14ac:dyDescent="0.25">
      <c r="B3" s="45">
        <v>1</v>
      </c>
      <c r="C3" s="45" t="s">
        <v>20</v>
      </c>
    </row>
    <row r="4" spans="2:11" x14ac:dyDescent="0.25">
      <c r="B4" s="45">
        <v>2</v>
      </c>
      <c r="C4" s="45" t="s">
        <v>21</v>
      </c>
      <c r="E4" t="s">
        <v>184</v>
      </c>
      <c r="F4" t="s">
        <v>185</v>
      </c>
    </row>
    <row r="5" spans="2:11" x14ac:dyDescent="0.25">
      <c r="B5" s="45">
        <v>3</v>
      </c>
      <c r="C5" s="45" t="s">
        <v>22</v>
      </c>
      <c r="E5" t="str">
        <f>'FLUXO DE CAIXA CENTROS'!B11</f>
        <v>RECEITAS</v>
      </c>
      <c r="F5">
        <f>INDEX('FLUXO DE CAIXA (2)'!C9:$N$18,1,'AUXILIAR 2'!$F$2)</f>
        <v>1174</v>
      </c>
    </row>
    <row r="6" spans="2:11" x14ac:dyDescent="0.25">
      <c r="B6" s="45">
        <v>4</v>
      </c>
      <c r="C6" s="45" t="s">
        <v>23</v>
      </c>
      <c r="E6" t="str">
        <f>'FLUXO DE CAIXA CENTROS'!B12</f>
        <v>DESPESAS</v>
      </c>
      <c r="F6">
        <f>INDEX('FLUXO DE CAIXA (2)'!C10:$N$18,1,'AUXILIAR 2'!$F$2)</f>
        <v>0</v>
      </c>
      <c r="H6" t="s">
        <v>193</v>
      </c>
      <c r="I6" s="72" t="s">
        <v>186</v>
      </c>
    </row>
    <row r="7" spans="2:11" x14ac:dyDescent="0.25">
      <c r="B7" s="45">
        <v>5</v>
      </c>
      <c r="C7" s="45" t="s">
        <v>24</v>
      </c>
      <c r="E7" t="str">
        <f>'FLUXO DE CAIXA CENTROS'!B13</f>
        <v>SALDO FINANCEIRO</v>
      </c>
      <c r="F7">
        <f>INDEX('FLUXO DE CAIXA (2)'!C11:$N$18,1,'AUXILIAR 2'!$F$2)</f>
        <v>1174</v>
      </c>
      <c r="H7" s="85">
        <v>1</v>
      </c>
      <c r="I7" s="72" t="str">
        <f>INDICADORES!B3</f>
        <v>RECEITAS</v>
      </c>
      <c r="J7" s="82">
        <f>INDEX('FLUXO DE CAIXA (2)'!$C$9:$N$18,'AUXILIAR 2'!H7,'AUXILIAR 2'!$J$2)</f>
        <v>1505</v>
      </c>
      <c r="K7" s="50"/>
    </row>
    <row r="8" spans="2:11" x14ac:dyDescent="0.25">
      <c r="B8" s="45">
        <v>6</v>
      </c>
      <c r="C8" s="45" t="s">
        <v>25</v>
      </c>
      <c r="E8" t="str">
        <f>'FLUXO DE CAIXA CENTROS'!B14</f>
        <v>VALOR ACUMULADO</v>
      </c>
      <c r="F8">
        <f>INDEX('FLUXO DE CAIXA (2)'!C12:$N$18,1,'AUXILIAR 2'!$F$2)</f>
        <v>2567</v>
      </c>
      <c r="H8" s="85">
        <v>2</v>
      </c>
      <c r="I8" s="72" t="str">
        <f>INDICADORES!B4</f>
        <v>DESPESA</v>
      </c>
      <c r="J8" s="82">
        <f>INDEX('FLUXO DE CAIXA (2)'!$C$9:$N$18,'AUXILIAR 2'!H8,'AUXILIAR 2'!$J$2)</f>
        <v>1205</v>
      </c>
      <c r="K8" s="50"/>
    </row>
    <row r="9" spans="2:11" x14ac:dyDescent="0.25">
      <c r="B9" s="45">
        <v>7</v>
      </c>
      <c r="C9" s="45" t="s">
        <v>26</v>
      </c>
      <c r="F9">
        <f>INDEX('FLUXO DE CAIXA (2)'!C13:$N$18,1,'AUXILIAR 2'!$F$2)</f>
        <v>0</v>
      </c>
      <c r="H9" s="85">
        <v>3</v>
      </c>
      <c r="I9" s="72" t="str">
        <f>INDICADORES!B5</f>
        <v>RESULTADOS</v>
      </c>
      <c r="J9" s="82">
        <f>INDEX('FLUXO DE CAIXA (2)'!$C$9:$N$18,'AUXILIAR 2'!H9,'AUXILIAR 2'!$J$2)</f>
        <v>300</v>
      </c>
      <c r="K9" s="50"/>
    </row>
    <row r="10" spans="2:11" x14ac:dyDescent="0.25">
      <c r="B10" s="45">
        <v>8</v>
      </c>
      <c r="C10" s="45" t="s">
        <v>27</v>
      </c>
      <c r="F10">
        <f>INDEX('FLUXO DE CAIXA (2)'!C14:$N$18,1,'AUXILIAR 2'!$F$2)</f>
        <v>0</v>
      </c>
      <c r="H10" s="85">
        <v>4</v>
      </c>
      <c r="I10" s="72" t="str">
        <f>INDICADORES!B6</f>
        <v>ACUMULADO</v>
      </c>
      <c r="J10" s="82">
        <f>INDEX('FLUXO DE CAIXA (2)'!$C$9:$N$18,'AUXILIAR 2'!H10,'AUXILIAR 2'!$J$2)</f>
        <v>411</v>
      </c>
      <c r="K10" s="50"/>
    </row>
    <row r="11" spans="2:11" x14ac:dyDescent="0.25">
      <c r="B11" s="45">
        <v>9</v>
      </c>
      <c r="C11" s="45" t="s">
        <v>28</v>
      </c>
      <c r="E11" t="str">
        <f>'FLUXO DE CAIXA CENTROS'!B17</f>
        <v>DESMONSTRATIVO DE CONTAS</v>
      </c>
      <c r="F11" t="str">
        <f>INDEX('FLUXO DE CAIXA (2)'!C15:$N$18,1,'AUXILIAR 2'!$F$2)</f>
        <v>MAY</v>
      </c>
      <c r="H11" s="85">
        <v>8</v>
      </c>
      <c r="I11" s="72" t="str">
        <f>INDICADORES!B7</f>
        <v>CONTAS A RECEBER</v>
      </c>
      <c r="J11" s="82">
        <f>INDEX('FLUXO DE CAIXA (2)'!$C$9:$N$18,'AUXILIAR 2'!H11,'AUXILIAR 2'!$J$2)</f>
        <v>18</v>
      </c>
      <c r="K11" s="50"/>
    </row>
    <row r="12" spans="2:11" x14ac:dyDescent="0.25">
      <c r="B12" s="45">
        <v>10</v>
      </c>
      <c r="C12" s="45" t="s">
        <v>29</v>
      </c>
      <c r="E12" t="str">
        <f>'FLUXO DE CAIXA CENTROS'!B18</f>
        <v>CONTAS A RECEBER</v>
      </c>
      <c r="F12">
        <f>INDEX('FLUXO DE CAIXA (2)'!C16:$N$18,1,'AUXILIAR 2'!$F$2)</f>
        <v>0</v>
      </c>
      <c r="H12" s="85">
        <v>9</v>
      </c>
      <c r="I12" s="72" t="str">
        <f>INDICADORES!B8</f>
        <v>CONTAS A PAGAR</v>
      </c>
      <c r="J12" s="82">
        <f>INDEX('FLUXO DE CAIXA (2)'!$C$9:$N$18,'AUXILIAR 2'!H12,'AUXILIAR 2'!$J$2)</f>
        <v>0</v>
      </c>
      <c r="K12" s="50"/>
    </row>
    <row r="13" spans="2:11" x14ac:dyDescent="0.25">
      <c r="B13" s="45">
        <v>11</v>
      </c>
      <c r="C13" s="45" t="s">
        <v>30</v>
      </c>
      <c r="E13" t="str">
        <f>'FLUXO DE CAIXA CENTROS'!B19</f>
        <v>CONTAS A PAGAR</v>
      </c>
      <c r="F13">
        <f>INDEX('FLUXO DE CAIXA (2)'!C17:$N$18,1,'AUXILIAR 2'!$F$2)</f>
        <v>0</v>
      </c>
      <c r="H13" s="85">
        <v>10</v>
      </c>
      <c r="I13" s="72" t="str">
        <f>INDICADORES!B9</f>
        <v>NECESSIDADE DE CAIXA</v>
      </c>
      <c r="J13" s="82">
        <f>INDEX('FLUXO DE CAIXA (2)'!$C$9:$N$18,'AUXILIAR 2'!H13,'AUXILIAR 2'!$J$2)</f>
        <v>18</v>
      </c>
      <c r="K13" s="50"/>
    </row>
    <row r="14" spans="2:11" x14ac:dyDescent="0.25">
      <c r="B14" s="45">
        <v>12</v>
      </c>
      <c r="C14" s="45" t="s">
        <v>31</v>
      </c>
      <c r="E14" t="str">
        <f>'FLUXO DE CAIXA CENTROS'!B20</f>
        <v>NECESSIDADE DE CAIXA</v>
      </c>
      <c r="F14">
        <f>INDEX('FLUXO DE CAIXA (2)'!C18:$N$18,1,'AUXILIAR 2'!$F$2)</f>
        <v>0</v>
      </c>
    </row>
  </sheetData>
  <mergeCells count="1">
    <mergeCell ref="B2:C2"/>
  </mergeCell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B1:R37"/>
  <sheetViews>
    <sheetView showGridLines="0" zoomScale="70" zoomScaleNormal="70" workbookViewId="0">
      <selection activeCell="C9" sqref="C9"/>
    </sheetView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2:18" s="60" customFormat="1" ht="31.5" customHeight="1" x14ac:dyDescent="0.25"/>
    <row r="2" spans="2:18" s="60" customFormat="1" ht="36" customHeight="1" x14ac:dyDescent="0.25"/>
    <row r="5" spans="2:18" ht="31.5" customHeight="1" x14ac:dyDescent="0.25"/>
    <row r="6" spans="2:18" ht="30" customHeight="1" x14ac:dyDescent="0.25"/>
    <row r="7" spans="2:18" ht="23.25" x14ac:dyDescent="0.25">
      <c r="B7" s="13" t="s">
        <v>102</v>
      </c>
      <c r="C7" s="70" t="s">
        <v>20</v>
      </c>
      <c r="D7" s="70" t="s">
        <v>21</v>
      </c>
      <c r="E7" s="70" t="s">
        <v>22</v>
      </c>
      <c r="F7" s="70" t="s">
        <v>23</v>
      </c>
      <c r="G7" s="70" t="s">
        <v>24</v>
      </c>
      <c r="H7" s="70" t="s">
        <v>25</v>
      </c>
      <c r="I7" s="70" t="s">
        <v>26</v>
      </c>
      <c r="J7" s="70" t="s">
        <v>27</v>
      </c>
      <c r="K7" s="70" t="s">
        <v>28</v>
      </c>
      <c r="L7" s="70" t="s">
        <v>29</v>
      </c>
      <c r="M7" s="70" t="s">
        <v>30</v>
      </c>
      <c r="N7" s="70" t="s">
        <v>31</v>
      </c>
      <c r="O7" s="70" t="s">
        <v>37</v>
      </c>
      <c r="P7" s="70" t="s">
        <v>32</v>
      </c>
      <c r="Q7" s="55"/>
      <c r="R7" s="55"/>
    </row>
    <row r="8" spans="2:18" ht="23.25" x14ac:dyDescent="0.25">
      <c r="B8" s="13" t="s">
        <v>33</v>
      </c>
      <c r="C8" s="53">
        <v>111</v>
      </c>
      <c r="D8" s="53">
        <f>C12</f>
        <v>411</v>
      </c>
      <c r="E8" s="53">
        <f t="shared" ref="E8:N8" si="0">D12</f>
        <v>1195</v>
      </c>
      <c r="F8" s="53">
        <f t="shared" si="0"/>
        <v>1393</v>
      </c>
      <c r="G8" s="53">
        <f t="shared" si="0"/>
        <v>1393</v>
      </c>
      <c r="H8" s="53">
        <f t="shared" si="0"/>
        <v>2567</v>
      </c>
      <c r="I8" s="53">
        <f t="shared" si="0"/>
        <v>2567</v>
      </c>
      <c r="J8" s="53">
        <f t="shared" si="0"/>
        <v>2957</v>
      </c>
      <c r="K8" s="53">
        <f t="shared" si="0"/>
        <v>2957</v>
      </c>
      <c r="L8" s="53">
        <f t="shared" si="0"/>
        <v>2351</v>
      </c>
      <c r="M8" s="53">
        <f t="shared" si="0"/>
        <v>904.60000000000036</v>
      </c>
      <c r="N8" s="53">
        <f t="shared" si="0"/>
        <v>618.93333333333396</v>
      </c>
      <c r="O8" s="53">
        <f>SUM(C8:N8)</f>
        <v>19425.533333333333</v>
      </c>
      <c r="P8" s="53">
        <f>C8</f>
        <v>111</v>
      </c>
      <c r="Q8" s="55"/>
      <c r="R8" s="55"/>
    </row>
    <row r="9" spans="2:18" ht="23.25" x14ac:dyDescent="0.25">
      <c r="B9" s="13" t="s">
        <v>34</v>
      </c>
      <c r="C9" s="53">
        <f>SUMIFS(AUXILIAR!$G$6:$G$941,AUXILIAR!$O$6:$O$941,'FLUXO DE CAIXA (2)'!C$7,AUXILIAR!$I$6:$I$941,'FLUXO DE CAIXA (2)'!$B9)</f>
        <v>1505</v>
      </c>
      <c r="D9" s="53">
        <f>SUMIFS(AUXILIAR!$G$6:$G$941,AUXILIAR!$O$6:$O$941,'FLUXO DE CAIXA (2)'!D$7,AUXILIAR!$I$6:$I$941,'FLUXO DE CAIXA (2)'!$B9)</f>
        <v>1301</v>
      </c>
      <c r="E9" s="53">
        <f>SUMIFS(AUXILIAR!$G$6:$G$941,AUXILIAR!$O$6:$O$941,'FLUXO DE CAIXA (2)'!E$7,AUXILIAR!$I$6:$I$941,'FLUXO DE CAIXA (2)'!$B9)</f>
        <v>198</v>
      </c>
      <c r="F9" s="53">
        <f>SUMIFS(AUXILIAR!$G$6:$G$941,AUXILIAR!$O$6:$O$941,'FLUXO DE CAIXA (2)'!F$7,AUXILIAR!$I$6:$I$941,'FLUXO DE CAIXA (2)'!$B9)</f>
        <v>0</v>
      </c>
      <c r="G9" s="53">
        <f>SUMIFS(AUXILIAR!$G$6:$G$941,AUXILIAR!$O$6:$O$941,'FLUXO DE CAIXA (2)'!G$7,AUXILIAR!$I$6:$I$941,'FLUXO DE CAIXA (2)'!$B9)</f>
        <v>1174</v>
      </c>
      <c r="H9" s="53">
        <f>SUMIFS(AUXILIAR!$G$6:$G$941,AUXILIAR!$O$6:$O$941,'FLUXO DE CAIXA (2)'!H$7,AUXILIAR!$I$6:$I$941,'FLUXO DE CAIXA (2)'!$B9)</f>
        <v>0</v>
      </c>
      <c r="I9" s="53">
        <f>SUMIFS(AUXILIAR!$G$6:$G$941,AUXILIAR!$O$6:$O$941,'FLUXO DE CAIXA (2)'!I$7,AUXILIAR!$I$6:$I$941,'FLUXO DE CAIXA (2)'!$B9)</f>
        <v>490</v>
      </c>
      <c r="J9" s="53">
        <f>SUMIFS(AUXILIAR!$G$6:$G$941,AUXILIAR!$O$6:$O$941,'FLUXO DE CAIXA (2)'!J$7,AUXILIAR!$I$6:$I$941,'FLUXO DE CAIXA (2)'!$B9)</f>
        <v>9</v>
      </c>
      <c r="K9" s="53">
        <f>SUMIFS(AUXILIAR!$G$6:$G$941,AUXILIAR!$O$6:$O$941,'FLUXO DE CAIXA (2)'!K$7,AUXILIAR!$I$6:$I$941,'FLUXO DE CAIXA (2)'!$B9)</f>
        <v>13</v>
      </c>
      <c r="L9" s="53">
        <f>SUMIFS(AUXILIAR!$G$6:$G$941,AUXILIAR!$O$6:$O$941,'FLUXO DE CAIXA (2)'!L$7,AUXILIAR!$I$6:$I$941,'FLUXO DE CAIXA (2)'!$B9)</f>
        <v>40.8333333333333</v>
      </c>
      <c r="M9" s="53">
        <f>SUMIFS(AUXILIAR!$G$6:$G$941,AUXILIAR!$O$6:$O$941,'FLUXO DE CAIXA (2)'!M$7,AUXILIAR!$I$6:$I$941,'FLUXO DE CAIXA (2)'!$B9)</f>
        <v>486</v>
      </c>
      <c r="N9" s="53">
        <f>SUMIFS(AUXILIAR!$G$6:$G$941,AUXILIAR!$O$6:$O$941,'FLUXO DE CAIXA (2)'!N$7,AUXILIAR!$I$6:$I$941,'FLUXO DE CAIXA (2)'!$B9)</f>
        <v>8018</v>
      </c>
      <c r="O9" s="53">
        <f>SUM(C9:N9)</f>
        <v>13234.833333333332</v>
      </c>
      <c r="P9" s="53">
        <f>SUM(C9:N9)</f>
        <v>13234.833333333332</v>
      </c>
      <c r="Q9" s="55"/>
      <c r="R9" s="55"/>
    </row>
    <row r="10" spans="2:18" ht="23.25" x14ac:dyDescent="0.25">
      <c r="B10" s="13" t="s">
        <v>35</v>
      </c>
      <c r="C10" s="53">
        <f>SUMIFS(AUXILIAR!$G$6:$G$941,AUXILIAR!$O$6:$O$941,'FLUXO DE CAIXA (2)'!C$7,AUXILIAR!$I$6:$I$941,'FLUXO DE CAIXA (2)'!$B10)</f>
        <v>1205</v>
      </c>
      <c r="D10" s="53">
        <f>SUMIFS(AUXILIAR!$G$6:$G$941,AUXILIAR!$O$6:$O$941,'FLUXO DE CAIXA (2)'!D$7,AUXILIAR!$I$6:$I$941,'FLUXO DE CAIXA (2)'!$B10)</f>
        <v>517</v>
      </c>
      <c r="E10" s="53">
        <f>SUMIFS(AUXILIAR!$G$6:$G$941,AUXILIAR!$O$6:$O$941,'FLUXO DE CAIXA (2)'!E$7,AUXILIAR!$I$6:$I$941,'FLUXO DE CAIXA (2)'!$B10)</f>
        <v>0</v>
      </c>
      <c r="F10" s="53">
        <f>SUMIFS(AUXILIAR!$G$6:$G$941,AUXILIAR!$O$6:$O$941,'FLUXO DE CAIXA (2)'!F$7,AUXILIAR!$I$6:$I$941,'FLUXO DE CAIXA (2)'!$B10)</f>
        <v>0</v>
      </c>
      <c r="G10" s="53">
        <f>SUMIFS(AUXILIAR!$G$6:$G$941,AUXILIAR!$O$6:$O$941,'FLUXO DE CAIXA (2)'!G$7,AUXILIAR!$I$6:$I$941,'FLUXO DE CAIXA (2)'!$B10)</f>
        <v>0</v>
      </c>
      <c r="H10" s="53">
        <f>SUMIFS(AUXILIAR!$G$6:$G$941,AUXILIAR!$O$6:$O$941,'FLUXO DE CAIXA (2)'!H$7,AUXILIAR!$I$6:$I$941,'FLUXO DE CAIXA (2)'!$B10)</f>
        <v>0</v>
      </c>
      <c r="I10" s="53">
        <f>SUMIFS(AUXILIAR!$G$6:$G$941,AUXILIAR!$O$6:$O$941,'FLUXO DE CAIXA (2)'!I$7,AUXILIAR!$I$6:$I$941,'FLUXO DE CAIXA (2)'!$B10)</f>
        <v>100</v>
      </c>
      <c r="J10" s="53">
        <f>SUMIFS(AUXILIAR!$G$6:$G$941,AUXILIAR!$O$6:$O$941,'FLUXO DE CAIXA (2)'!J$7,AUXILIAR!$I$6:$I$941,'FLUXO DE CAIXA (2)'!$B10)</f>
        <v>9</v>
      </c>
      <c r="K10" s="53">
        <f>SUMIFS(AUXILIAR!$G$6:$G$941,AUXILIAR!$O$6:$O$941,'FLUXO DE CAIXA (2)'!K$7,AUXILIAR!$I$6:$I$941,'FLUXO DE CAIXA (2)'!$B10)</f>
        <v>619</v>
      </c>
      <c r="L10" s="53">
        <f>SUMIFS(AUXILIAR!$G$6:$G$941,AUXILIAR!$O$6:$O$941,'FLUXO DE CAIXA (2)'!L$7,AUXILIAR!$I$6:$I$941,'FLUXO DE CAIXA (2)'!$B10)</f>
        <v>1487.2333333333329</v>
      </c>
      <c r="M10" s="53">
        <f>SUMIFS(AUXILIAR!$G$6:$G$941,AUXILIAR!$O$6:$O$941,'FLUXO DE CAIXA (2)'!M$7,AUXILIAR!$I$6:$I$941,'FLUXO DE CAIXA (2)'!$B10)</f>
        <v>771.6666666666664</v>
      </c>
      <c r="N10" s="53">
        <f>SUMIFS(AUXILIAR!$G$6:$G$941,AUXILIAR!$O$6:$O$941,'FLUXO DE CAIXA (2)'!N$7,AUXILIAR!$I$6:$I$941,'FLUXO DE CAIXA (2)'!$B10)</f>
        <v>11535</v>
      </c>
      <c r="O10" s="53">
        <f>SUM(C10:N10)</f>
        <v>16243.899999999998</v>
      </c>
      <c r="P10" s="53">
        <f>SUM(C10:N10)</f>
        <v>16243.899999999998</v>
      </c>
      <c r="Q10" s="55"/>
      <c r="R10" s="55"/>
    </row>
    <row r="11" spans="2:18" ht="23.25" x14ac:dyDescent="0.25">
      <c r="B11" s="13" t="s">
        <v>15</v>
      </c>
      <c r="C11" s="53">
        <f>C9-C10</f>
        <v>300</v>
      </c>
      <c r="D11" s="53">
        <f t="shared" ref="D11:N11" si="1">D9-D10</f>
        <v>784</v>
      </c>
      <c r="E11" s="53">
        <f t="shared" si="1"/>
        <v>198</v>
      </c>
      <c r="F11" s="53">
        <f t="shared" si="1"/>
        <v>0</v>
      </c>
      <c r="G11" s="53">
        <f t="shared" si="1"/>
        <v>1174</v>
      </c>
      <c r="H11" s="53">
        <f t="shared" si="1"/>
        <v>0</v>
      </c>
      <c r="I11" s="53">
        <f t="shared" si="1"/>
        <v>390</v>
      </c>
      <c r="J11" s="53">
        <f t="shared" si="1"/>
        <v>0</v>
      </c>
      <c r="K11" s="53">
        <f t="shared" si="1"/>
        <v>-606</v>
      </c>
      <c r="L11" s="53">
        <f t="shared" si="1"/>
        <v>-1446.3999999999996</v>
      </c>
      <c r="M11" s="53">
        <f t="shared" si="1"/>
        <v>-285.6666666666664</v>
      </c>
      <c r="N11" s="53">
        <f t="shared" si="1"/>
        <v>-3517</v>
      </c>
      <c r="O11" s="53">
        <f>SUM(C11:N11)</f>
        <v>-3009.0666666666662</v>
      </c>
      <c r="P11" s="53">
        <f>P9-P10</f>
        <v>-3009.0666666666657</v>
      </c>
      <c r="Q11" s="55"/>
      <c r="R11" s="55"/>
    </row>
    <row r="12" spans="2:18" ht="23.25" x14ac:dyDescent="0.25">
      <c r="B12" s="13" t="s">
        <v>36</v>
      </c>
      <c r="C12" s="53">
        <f>C8+C11</f>
        <v>411</v>
      </c>
      <c r="D12" s="53">
        <f t="shared" ref="D12:N12" si="2">D8+D11</f>
        <v>1195</v>
      </c>
      <c r="E12" s="53">
        <f t="shared" si="2"/>
        <v>1393</v>
      </c>
      <c r="F12" s="53">
        <f t="shared" si="2"/>
        <v>1393</v>
      </c>
      <c r="G12" s="53">
        <f t="shared" si="2"/>
        <v>2567</v>
      </c>
      <c r="H12" s="53">
        <f t="shared" si="2"/>
        <v>2567</v>
      </c>
      <c r="I12" s="53">
        <f t="shared" si="2"/>
        <v>2957</v>
      </c>
      <c r="J12" s="53">
        <f t="shared" si="2"/>
        <v>2957</v>
      </c>
      <c r="K12" s="53">
        <f t="shared" si="2"/>
        <v>2351</v>
      </c>
      <c r="L12" s="53">
        <f t="shared" si="2"/>
        <v>904.60000000000036</v>
      </c>
      <c r="M12" s="53">
        <f t="shared" si="2"/>
        <v>618.93333333333396</v>
      </c>
      <c r="N12" s="53">
        <f t="shared" si="2"/>
        <v>-2898.0666666666662</v>
      </c>
      <c r="O12" s="53">
        <f>SUM(C12:N12)</f>
        <v>16416.466666666667</v>
      </c>
      <c r="P12" s="53">
        <f>N12</f>
        <v>-2898.0666666666662</v>
      </c>
      <c r="Q12" s="55"/>
      <c r="R12" s="55"/>
    </row>
    <row r="13" spans="2:18" ht="23.25" x14ac:dyDescent="0.25">
      <c r="C13" s="55"/>
      <c r="D13" s="55"/>
      <c r="E13" s="80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</row>
    <row r="14" spans="2:18" ht="30" customHeight="1" x14ac:dyDescent="0.25"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</row>
    <row r="15" spans="2:18" ht="53.25" customHeight="1" x14ac:dyDescent="0.25">
      <c r="B15" s="57" t="s">
        <v>104</v>
      </c>
      <c r="C15" s="70" t="s">
        <v>20</v>
      </c>
      <c r="D15" s="70" t="s">
        <v>21</v>
      </c>
      <c r="E15" s="70" t="s">
        <v>22</v>
      </c>
      <c r="F15" s="70" t="s">
        <v>23</v>
      </c>
      <c r="G15" s="70" t="s">
        <v>24</v>
      </c>
      <c r="H15" s="70" t="s">
        <v>25</v>
      </c>
      <c r="I15" s="70" t="s">
        <v>26</v>
      </c>
      <c r="J15" s="70" t="s">
        <v>27</v>
      </c>
      <c r="K15" s="70" t="s">
        <v>28</v>
      </c>
      <c r="L15" s="70" t="s">
        <v>29</v>
      </c>
      <c r="M15" s="70" t="s">
        <v>30</v>
      </c>
      <c r="N15" s="70" t="s">
        <v>31</v>
      </c>
      <c r="O15" s="70" t="s">
        <v>32</v>
      </c>
      <c r="P15" s="55"/>
      <c r="Q15" s="55"/>
      <c r="R15" s="55"/>
    </row>
    <row r="16" spans="2:18" ht="30" customHeight="1" x14ac:dyDescent="0.25">
      <c r="B16" s="57" t="s">
        <v>105</v>
      </c>
      <c r="C16" s="81">
        <f>SUMIFS(AUXILIAR!$G$6:$G$941,AUXILIAR!$I$6:$I$941,"RECEITAS",AUXILIAR!$P$6:$P$941,"NAO PAGO",AUXILIAR!$L$6:$L$941,'FLUXO DE CAIXA (2)'!C$15)</f>
        <v>18</v>
      </c>
      <c r="D16" s="81">
        <f>SUMIFS(AUXILIAR!$G$6:$G$941,AUXILIAR!$I$6:$I$941,"RECEITAS",AUXILIAR!$P$6:$P$941,"NAO PAGO",AUXILIAR!$L$6:$L$941,'FLUXO DE CAIXA (2)'!D$15)</f>
        <v>0</v>
      </c>
      <c r="E16" s="81">
        <f>SUMIFS(AUXILIAR!$G$6:$G$941,AUXILIAR!$I$6:$I$941,"RECEITAS",AUXILIAR!$P$6:$P$941,"NAO PAGO",AUXILIAR!$L$6:$L$941,'FLUXO DE CAIXA (2)'!E$15)</f>
        <v>0</v>
      </c>
      <c r="F16" s="81">
        <f>SUMIFS(AUXILIAR!$G$6:$G$941,AUXILIAR!$I$6:$I$941,"RECEITAS",AUXILIAR!$P$6:$P$941,"NAO PAGO",AUXILIAR!$L$6:$L$941,'FLUXO DE CAIXA (2)'!F$15)</f>
        <v>0</v>
      </c>
      <c r="G16" s="81">
        <f>SUMIFS(AUXILIAR!$G$6:$G$941,AUXILIAR!$I$6:$I$941,"RECEITAS",AUXILIAR!$P$6:$P$941,"NAO PAGO",AUXILIAR!$L$6:$L$941,'FLUXO DE CAIXA (2)'!G$15)</f>
        <v>0</v>
      </c>
      <c r="H16" s="81">
        <f>SUMIFS(AUXILIAR!$G$6:$G$941,AUXILIAR!$I$6:$I$941,"RECEITAS",AUXILIAR!$P$6:$P$941,"NAO PAGO",AUXILIAR!$L$6:$L$941,'FLUXO DE CAIXA (2)'!H$15)</f>
        <v>0</v>
      </c>
      <c r="I16" s="81">
        <f>SUMIFS(AUXILIAR!$G$6:$G$941,AUXILIAR!$I$6:$I$941,"RECEITAS",AUXILIAR!$P$6:$P$941,"NAO PAGO",AUXILIAR!$L$6:$L$941,'FLUXO DE CAIXA (2)'!I$15)</f>
        <v>0</v>
      </c>
      <c r="J16" s="81">
        <f>SUMIFS(AUXILIAR!$G$6:$G$941,AUXILIAR!$I$6:$I$941,"RECEITAS",AUXILIAR!$P$6:$P$941,"NAO PAGO",AUXILIAR!$L$6:$L$941,'FLUXO DE CAIXA (2)'!J$15)</f>
        <v>1</v>
      </c>
      <c r="K16" s="81">
        <f>SUMIFS(AUXILIAR!$G$6:$G$941,AUXILIAR!$I$6:$I$941,"RECEITAS",AUXILIAR!$P$6:$P$941,"NAO PAGO",AUXILIAR!$L$6:$L$941,'FLUXO DE CAIXA (2)'!K$15)</f>
        <v>0</v>
      </c>
      <c r="L16" s="81">
        <f>SUMIFS(AUXILIAR!$G$6:$G$941,AUXILIAR!$I$6:$I$941,"RECEITAS",AUXILIAR!$P$6:$P$941,"NAO PAGO",AUXILIAR!$L$6:$L$941,'FLUXO DE CAIXA (2)'!L$15)</f>
        <v>0</v>
      </c>
      <c r="M16" s="81">
        <f>SUMIFS(AUXILIAR!$G$6:$G$941,AUXILIAR!$I$6:$I$941,"RECEITAS",AUXILIAR!$P$6:$P$941,"NAO PAGO",AUXILIAR!$L$6:$L$941,'FLUXO DE CAIXA (2)'!M$15)</f>
        <v>0</v>
      </c>
      <c r="N16" s="81">
        <f>SUMIFS(AUXILIAR!$G$6:$G$941,AUXILIAR!$I$6:$I$941,"RECEITAS",AUXILIAR!$P$6:$P$941,"NAO PAGO",AUXILIAR!$L$6:$L$941,'FLUXO DE CAIXA (2)'!N$15)</f>
        <v>0</v>
      </c>
      <c r="O16" s="53">
        <f>SUM(C16:N16)</f>
        <v>19</v>
      </c>
      <c r="P16" s="55"/>
      <c r="Q16" s="55"/>
      <c r="R16" s="55"/>
    </row>
    <row r="17" spans="2:18" ht="30" customHeight="1" x14ac:dyDescent="0.25">
      <c r="B17" s="57" t="s">
        <v>56</v>
      </c>
      <c r="C17" s="81">
        <f>SUMIFS(AUXILIAR!$G$6:$G$941,AUXILIAR!$I$6:$I$941,"DESPESAS",AUXILIAR!$P$6:$P$941,"NAO PAGO",AUXILIAR!$L$6:$L$941,'FLUXO DE CAIXA (2)'!C$15)</f>
        <v>0</v>
      </c>
      <c r="D17" s="81">
        <f>SUMIFS(AUXILIAR!$G$6:$G$941,AUXILIAR!$I$6:$I$941,"DESPESAS",AUXILIAR!$P$6:$P$941,"NAO PAGO",AUXILIAR!$L$6:$L$941,'FLUXO DE CAIXA (2)'!D$15)</f>
        <v>0</v>
      </c>
      <c r="E17" s="81">
        <f>SUMIFS(AUXILIAR!$G$6:$G$941,AUXILIAR!$I$6:$I$941,"DESPESAS",AUXILIAR!$P$6:$P$941,"NAO PAGO",AUXILIAR!$L$6:$L$941,'FLUXO DE CAIXA (2)'!E$15)</f>
        <v>0</v>
      </c>
      <c r="F17" s="81">
        <f>SUMIFS(AUXILIAR!$G$6:$G$941,AUXILIAR!$I$6:$I$941,"DESPESAS",AUXILIAR!$P$6:$P$941,"NAO PAGO",AUXILIAR!$L$6:$L$941,'FLUXO DE CAIXA (2)'!F$15)</f>
        <v>0</v>
      </c>
      <c r="G17" s="81">
        <f>SUMIFS(AUXILIAR!$G$6:$G$941,AUXILIAR!$I$6:$I$941,"DESPESAS",AUXILIAR!$P$6:$P$941,"NAO PAGO",AUXILIAR!$L$6:$L$941,'FLUXO DE CAIXA (2)'!G$15)</f>
        <v>0</v>
      </c>
      <c r="H17" s="81">
        <f>SUMIFS(AUXILIAR!$G$6:$G$941,AUXILIAR!$I$6:$I$941,"DESPESAS",AUXILIAR!$P$6:$P$941,"NAO PAGO",AUXILIAR!$L$6:$L$941,'FLUXO DE CAIXA (2)'!H$15)</f>
        <v>0</v>
      </c>
      <c r="I17" s="81">
        <f>SUMIFS(AUXILIAR!$G$6:$G$941,AUXILIAR!$I$6:$I$941,"DESPESAS",AUXILIAR!$P$6:$P$941,"NAO PAGO",AUXILIAR!$L$6:$L$941,'FLUXO DE CAIXA (2)'!I$15)</f>
        <v>0</v>
      </c>
      <c r="J17" s="81">
        <f>SUMIFS(AUXILIAR!$G$6:$G$941,AUXILIAR!$I$6:$I$941,"DESPESAS",AUXILIAR!$P$6:$P$941,"NAO PAGO",AUXILIAR!$L$6:$L$941,'FLUXO DE CAIXA (2)'!J$15)</f>
        <v>26</v>
      </c>
      <c r="K17" s="81">
        <f>SUMIFS(AUXILIAR!$G$6:$G$941,AUXILIAR!$I$6:$I$941,"DESPESAS",AUXILIAR!$P$6:$P$941,"NAO PAGO",AUXILIAR!$L$6:$L$941,'FLUXO DE CAIXA (2)'!K$15)</f>
        <v>0</v>
      </c>
      <c r="L17" s="81">
        <f>SUMIFS(AUXILIAR!$G$6:$G$941,AUXILIAR!$I$6:$I$941,"DESPESAS",AUXILIAR!$P$6:$P$941,"NAO PAGO",AUXILIAR!$L$6:$L$941,'FLUXO DE CAIXA (2)'!L$15)</f>
        <v>19</v>
      </c>
      <c r="M17" s="81">
        <f>SUMIFS(AUXILIAR!$G$6:$G$941,AUXILIAR!$I$6:$I$941,"DESPESAS",AUXILIAR!$P$6:$P$941,"NAO PAGO",AUXILIAR!$L$6:$L$941,'FLUXO DE CAIXA (2)'!M$15)</f>
        <v>0</v>
      </c>
      <c r="N17" s="81">
        <f>SUMIFS(AUXILIAR!$G$6:$G$941,AUXILIAR!$I$6:$I$941,"DESPESAS",AUXILIAR!$P$6:$P$941,"NAO PAGO",AUXILIAR!$L$6:$L$941,'FLUXO DE CAIXA (2)'!N$15)</f>
        <v>0</v>
      </c>
      <c r="O17" s="53">
        <f>SUM(C17:N17)</f>
        <v>45</v>
      </c>
      <c r="P17" s="55"/>
      <c r="Q17" s="55"/>
      <c r="R17" s="55"/>
    </row>
    <row r="18" spans="2:18" ht="46.5" x14ac:dyDescent="0.25">
      <c r="B18" s="57" t="s">
        <v>106</v>
      </c>
      <c r="C18" s="81">
        <f>C16-C17</f>
        <v>18</v>
      </c>
      <c r="D18" s="81">
        <f t="shared" ref="D18:O18" si="3">D16-D17</f>
        <v>0</v>
      </c>
      <c r="E18" s="81">
        <f t="shared" si="3"/>
        <v>0</v>
      </c>
      <c r="F18" s="81">
        <f t="shared" si="3"/>
        <v>0</v>
      </c>
      <c r="G18" s="81">
        <f t="shared" si="3"/>
        <v>0</v>
      </c>
      <c r="H18" s="81">
        <f t="shared" si="3"/>
        <v>0</v>
      </c>
      <c r="I18" s="81">
        <f t="shared" si="3"/>
        <v>0</v>
      </c>
      <c r="J18" s="81">
        <f t="shared" si="3"/>
        <v>-25</v>
      </c>
      <c r="K18" s="81">
        <f t="shared" si="3"/>
        <v>0</v>
      </c>
      <c r="L18" s="81">
        <f t="shared" si="3"/>
        <v>-19</v>
      </c>
      <c r="M18" s="81">
        <f t="shared" si="3"/>
        <v>0</v>
      </c>
      <c r="N18" s="81">
        <f t="shared" si="3"/>
        <v>0</v>
      </c>
      <c r="O18" s="81">
        <f t="shared" si="3"/>
        <v>-26</v>
      </c>
      <c r="P18" s="55"/>
      <c r="Q18" s="55"/>
      <c r="R18" s="55"/>
    </row>
    <row r="19" spans="2:18" ht="30" customHeight="1" x14ac:dyDescent="0.25"/>
    <row r="20" spans="2:18" ht="30" customHeight="1" x14ac:dyDescent="0.25"/>
    <row r="21" spans="2:18" ht="30" customHeight="1" x14ac:dyDescent="0.25"/>
    <row r="22" spans="2:18" ht="30" customHeight="1" x14ac:dyDescent="0.25"/>
    <row r="23" spans="2:18" ht="30" customHeight="1" x14ac:dyDescent="0.25"/>
    <row r="24" spans="2:18" ht="30" customHeight="1" x14ac:dyDescent="0.25"/>
    <row r="25" spans="2:18" ht="30" customHeight="1" x14ac:dyDescent="0.25"/>
    <row r="26" spans="2:18" ht="30" customHeight="1" x14ac:dyDescent="0.25"/>
    <row r="27" spans="2:18" ht="30" customHeight="1" x14ac:dyDescent="0.25"/>
    <row r="28" spans="2:18" ht="30" customHeight="1" x14ac:dyDescent="0.25">
      <c r="L28" t="s">
        <v>107</v>
      </c>
    </row>
    <row r="29" spans="2:18" ht="30" customHeight="1" x14ac:dyDescent="0.25"/>
    <row r="30" spans="2:18" ht="30" customHeight="1" x14ac:dyDescent="0.25"/>
    <row r="31" spans="2:18" ht="30" customHeight="1" x14ac:dyDescent="0.25"/>
    <row r="32" spans="2:18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B8">
    <cfRule type="cellIs" dxfId="146" priority="11" operator="equal">
      <formula>"RECEITA"</formula>
    </cfRule>
    <cfRule type="cellIs" dxfId="145" priority="12" operator="equal">
      <formula>"DESPESA"</formula>
    </cfRule>
    <cfRule type="cellIs" dxfId="144" priority="13" operator="equal">
      <formula>"RECEITA"</formula>
    </cfRule>
    <cfRule type="cellIs" dxfId="143" priority="14" operator="equal">
      <formula>"DESPESA"</formula>
    </cfRule>
    <cfRule type="cellIs" dxfId="142" priority="15" operator="equal">
      <formula>"RECEITA"</formula>
    </cfRule>
    <cfRule type="cellIs" dxfId="141" priority="16" operator="equal">
      <formula>"DESPESA"</formula>
    </cfRule>
  </conditionalFormatting>
  <conditionalFormatting sqref="B9">
    <cfRule type="cellIs" dxfId="140" priority="5" operator="equal">
      <formula>"RECEITA"</formula>
    </cfRule>
    <cfRule type="cellIs" dxfId="139" priority="6" operator="equal">
      <formula>"DESPESA"</formula>
    </cfRule>
    <cfRule type="cellIs" dxfId="138" priority="7" operator="equal">
      <formula>"RECEITA"</formula>
    </cfRule>
    <cfRule type="cellIs" dxfId="137" priority="8" operator="equal">
      <formula>"DESPESA"</formula>
    </cfRule>
    <cfRule type="cellIs" dxfId="136" priority="9" operator="equal">
      <formula>"RECEITA"</formula>
    </cfRule>
    <cfRule type="cellIs" dxfId="135" priority="10" operator="equal">
      <formula>"DESPESA"</formula>
    </cfRule>
  </conditionalFormatting>
  <conditionalFormatting sqref="C11:O11">
    <cfRule type="cellIs" dxfId="134" priority="3" operator="lessThan">
      <formula>0</formula>
    </cfRule>
    <cfRule type="cellIs" dxfId="133" priority="4" operator="greaterThan">
      <formula>0</formula>
    </cfRule>
  </conditionalFormatting>
  <conditionalFormatting sqref="C12:P12">
    <cfRule type="cellIs" dxfId="132" priority="1" operator="lessThan">
      <formula>0</formula>
    </cfRule>
    <cfRule type="cellIs" dxfId="131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9"/>
  <sheetViews>
    <sheetView showGridLines="0" tabSelected="1" workbookViewId="0">
      <selection activeCell="G3" sqref="G3"/>
    </sheetView>
  </sheetViews>
  <sheetFormatPr defaultRowHeight="15" x14ac:dyDescent="0.25"/>
  <cols>
    <col min="2" max="2" width="26.28515625" bestFit="1" customWidth="1"/>
    <col min="3" max="3" width="10.7109375" bestFit="1" customWidth="1"/>
    <col min="4" max="4" width="8.28515625" bestFit="1" customWidth="1"/>
    <col min="6" max="6" width="32.140625" bestFit="1" customWidth="1"/>
    <col min="7" max="7" width="44.42578125" bestFit="1" customWidth="1"/>
  </cols>
  <sheetData>
    <row r="2" spans="2:7" ht="18.75" x14ac:dyDescent="0.25">
      <c r="B2" s="97" t="s">
        <v>186</v>
      </c>
      <c r="C2" s="97" t="s">
        <v>187</v>
      </c>
      <c r="D2" s="97" t="s">
        <v>83</v>
      </c>
      <c r="F2" s="98" t="s">
        <v>194</v>
      </c>
      <c r="G2" s="98" t="s">
        <v>195</v>
      </c>
    </row>
    <row r="3" spans="2:7" x14ac:dyDescent="0.25">
      <c r="B3" s="72" t="s">
        <v>34</v>
      </c>
      <c r="C3" s="72" t="s">
        <v>189</v>
      </c>
      <c r="D3" s="72" t="s">
        <v>190</v>
      </c>
      <c r="F3" t="s">
        <v>196</v>
      </c>
      <c r="G3" t="s">
        <v>197</v>
      </c>
    </row>
    <row r="4" spans="2:7" x14ac:dyDescent="0.25">
      <c r="B4" s="72" t="s">
        <v>4</v>
      </c>
      <c r="C4" s="72" t="s">
        <v>189</v>
      </c>
      <c r="D4" s="72" t="s">
        <v>190</v>
      </c>
    </row>
    <row r="5" spans="2:7" x14ac:dyDescent="0.25">
      <c r="B5" s="72" t="s">
        <v>188</v>
      </c>
      <c r="C5" s="72" t="s">
        <v>189</v>
      </c>
      <c r="D5" s="72" t="s">
        <v>190</v>
      </c>
    </row>
    <row r="6" spans="2:7" x14ac:dyDescent="0.25">
      <c r="B6" s="74" t="s">
        <v>191</v>
      </c>
      <c r="C6" s="72" t="s">
        <v>189</v>
      </c>
    </row>
    <row r="7" spans="2:7" x14ac:dyDescent="0.25">
      <c r="B7" s="72" t="s">
        <v>105</v>
      </c>
      <c r="C7" s="72" t="s">
        <v>189</v>
      </c>
      <c r="D7" s="72"/>
    </row>
    <row r="8" spans="2:7" x14ac:dyDescent="0.25">
      <c r="B8" s="72" t="s">
        <v>56</v>
      </c>
      <c r="C8" s="72" t="s">
        <v>189</v>
      </c>
      <c r="D8" s="72"/>
    </row>
    <row r="9" spans="2:7" x14ac:dyDescent="0.25">
      <c r="B9" s="73" t="s">
        <v>106</v>
      </c>
      <c r="C9" s="73" t="s">
        <v>189</v>
      </c>
      <c r="D9" s="73"/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5"/>
  <dimension ref="A1:P37"/>
  <sheetViews>
    <sheetView showGridLines="0" zoomScale="60" zoomScaleNormal="60" workbookViewId="0">
      <selection activeCell="P8" sqref="P8"/>
    </sheetView>
  </sheetViews>
  <sheetFormatPr defaultRowHeight="15" x14ac:dyDescent="0.25"/>
  <cols>
    <col min="2" max="2" width="24.5703125" customWidth="1"/>
    <col min="3" max="3" width="19.5703125" customWidth="1"/>
    <col min="4" max="4" width="12.140625" customWidth="1"/>
    <col min="5" max="5" width="14" customWidth="1"/>
    <col min="6" max="6" width="15" customWidth="1"/>
    <col min="7" max="7" width="20.28515625" customWidth="1"/>
    <col min="8" max="8" width="17.42578125" customWidth="1"/>
    <col min="9" max="9" width="14.85546875" customWidth="1"/>
    <col min="10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1:16" s="60" customFormat="1" ht="31.5" customHeight="1" x14ac:dyDescent="0.25">
      <c r="A1" s="60" t="s">
        <v>79</v>
      </c>
    </row>
    <row r="2" spans="1:16" s="60" customFormat="1" ht="36" customHeight="1" x14ac:dyDescent="0.25"/>
    <row r="5" spans="1:16" ht="31.5" customHeight="1" x14ac:dyDescent="0.25"/>
    <row r="6" spans="1:16" ht="19.5" customHeight="1" x14ac:dyDescent="0.25"/>
    <row r="7" spans="1:16" ht="30" customHeight="1" x14ac:dyDescent="0.25">
      <c r="B7" s="13" t="s">
        <v>15</v>
      </c>
      <c r="C7" s="13" t="s">
        <v>20</v>
      </c>
      <c r="D7" s="13" t="s">
        <v>21</v>
      </c>
      <c r="E7" s="13" t="s">
        <v>22</v>
      </c>
      <c r="F7" s="13" t="s">
        <v>23</v>
      </c>
      <c r="G7" s="13" t="s">
        <v>24</v>
      </c>
      <c r="H7" s="13" t="s">
        <v>25</v>
      </c>
      <c r="I7" s="13" t="s">
        <v>26</v>
      </c>
      <c r="J7" s="13" t="s">
        <v>27</v>
      </c>
      <c r="K7" s="13" t="s">
        <v>28</v>
      </c>
      <c r="L7" s="13" t="s">
        <v>29</v>
      </c>
      <c r="M7" s="13" t="s">
        <v>30</v>
      </c>
      <c r="N7" s="13" t="s">
        <v>31</v>
      </c>
      <c r="O7" s="13" t="s">
        <v>37</v>
      </c>
      <c r="P7" s="13" t="s">
        <v>181</v>
      </c>
    </row>
    <row r="8" spans="1:16" ht="30.75" customHeight="1" x14ac:dyDescent="0.25">
      <c r="B8" s="13" t="str">
        <f>'CENTRO DE CUSTO'!B8</f>
        <v>ZANGO 3</v>
      </c>
      <c r="C8" s="13">
        <f>SUMIFS(AUXILIAR!$G$6:$G$941,AUXILIAR!$F$6:$F$941,'COMPARAÇAO CENTROS DE CUSTO'!$B8,AUXILIAR!$O$6:$O$941,'COMPARAÇAO CENTROS DE CUSTO'!C$7,AUXILIAR!$I$6:$I$941,"RECEITAS")-SUMIFS(AUXILIAR!$G$6:$G$941,AUXILIAR!$F$6:$F$941,'COMPARAÇAO CENTROS DE CUSTO'!$B8,AUXILIAR!$O$6:$O$941,'COMPARAÇAO CENTROS DE CUSTO'!C$7,AUXILIAR!$I$6:$I$941,"DESPESAS")</f>
        <v>0</v>
      </c>
      <c r="D8" s="13">
        <f>SUMIFS(AUXILIAR!$G$6:$G$941,AUXILIAR!$F$6:$F$941,'COMPARAÇAO CENTROS DE CUSTO'!$B8,AUXILIAR!$O$6:$O$941,'COMPARAÇAO CENTROS DE CUSTO'!D$7,AUXILIAR!$I$6:$I$941,"RECEITAS")-SUMIFS(AUXILIAR!$G$6:$G$941,AUXILIAR!$F$6:$F$941,'COMPARAÇAO CENTROS DE CUSTO'!$B8,AUXILIAR!$O$6:$O$941,'COMPARAÇAO CENTROS DE CUSTO'!D$7,AUXILIAR!$I$6:$I$941,"DESPESAS")</f>
        <v>0</v>
      </c>
      <c r="E8" s="13">
        <f>SUMIFS(AUXILIAR!$G$6:$G$941,AUXILIAR!$F$6:$F$941,'COMPARAÇAO CENTROS DE CUSTO'!$B8,AUXILIAR!$O$6:$O$941,'COMPARAÇAO CENTROS DE CUSTO'!E$7,AUXILIAR!$I$6:$I$941,"RECEITAS")-SUMIFS(AUXILIAR!$G$6:$G$941,AUXILIAR!$F$6:$F$941,'COMPARAÇAO CENTROS DE CUSTO'!$B8,AUXILIAR!$O$6:$O$941,'COMPARAÇAO CENTROS DE CUSTO'!E$7,AUXILIAR!$I$6:$I$941,"DESPESAS")</f>
        <v>0</v>
      </c>
      <c r="F8" s="13">
        <f>SUMIFS(AUXILIAR!$G$6:$G$941,AUXILIAR!$F$6:$F$941,'COMPARAÇAO CENTROS DE CUSTO'!$B8,AUXILIAR!$O$6:$O$941,'COMPARAÇAO CENTROS DE CUSTO'!F$7,AUXILIAR!$I$6:$I$941,"RECEITAS")-SUMIFS(AUXILIAR!$G$6:$G$941,AUXILIAR!$F$6:$F$941,'COMPARAÇAO CENTROS DE CUSTO'!$B8,AUXILIAR!$O$6:$O$941,'COMPARAÇAO CENTROS DE CUSTO'!F$7,AUXILIAR!$I$6:$I$941,"DESPESAS")</f>
        <v>0</v>
      </c>
      <c r="G8" s="13">
        <f>SUMIFS(AUXILIAR!$G$6:$G$941,AUXILIAR!$F$6:$F$941,'COMPARAÇAO CENTROS DE CUSTO'!$B8,AUXILIAR!$O$6:$O$941,'COMPARAÇAO CENTROS DE CUSTO'!G$7,AUXILIAR!$I$6:$I$941,"RECEITAS")-SUMIFS(AUXILIAR!$G$6:$G$941,AUXILIAR!$F$6:$F$941,'COMPARAÇAO CENTROS DE CUSTO'!$B8,AUXILIAR!$O$6:$O$941,'COMPARAÇAO CENTROS DE CUSTO'!G$7,AUXILIAR!$I$6:$I$941,"DESPESAS")</f>
        <v>0</v>
      </c>
      <c r="H8" s="13">
        <f>SUMIFS(AUXILIAR!$G$6:$G$941,AUXILIAR!$F$6:$F$941,'COMPARAÇAO CENTROS DE CUSTO'!$B8,AUXILIAR!$O$6:$O$941,'COMPARAÇAO CENTROS DE CUSTO'!H$7,AUXILIAR!$I$6:$I$941,"RECEITAS")-SUMIFS(AUXILIAR!$G$6:$G$941,AUXILIAR!$F$6:$F$941,'COMPARAÇAO CENTROS DE CUSTO'!$B8,AUXILIAR!$O$6:$O$941,'COMPARAÇAO CENTROS DE CUSTO'!H$7,AUXILIAR!$I$6:$I$941,"DESPESAS")</f>
        <v>0</v>
      </c>
      <c r="I8" s="13">
        <f>SUMIFS(AUXILIAR!$G$6:$G$941,AUXILIAR!$F$6:$F$941,'COMPARAÇAO CENTROS DE CUSTO'!$B8,AUXILIAR!$O$6:$O$941,'COMPARAÇAO CENTROS DE CUSTO'!I$7,AUXILIAR!$I$6:$I$941,"RECEITAS")-SUMIFS(AUXILIAR!$G$6:$G$941,AUXILIAR!$F$6:$F$941,'COMPARAÇAO CENTROS DE CUSTO'!$B8,AUXILIAR!$O$6:$O$941,'COMPARAÇAO CENTROS DE CUSTO'!I$7,AUXILIAR!$I$6:$I$941,"DESPESAS")</f>
        <v>0</v>
      </c>
      <c r="J8" s="13">
        <f>SUMIFS(AUXILIAR!$G$6:$G$941,AUXILIAR!$F$6:$F$941,'COMPARAÇAO CENTROS DE CUSTO'!$B8,AUXILIAR!$O$6:$O$941,'COMPARAÇAO CENTROS DE CUSTO'!J$7,AUXILIAR!$I$6:$I$941,"RECEITAS")-SUMIFS(AUXILIAR!$G$6:$G$941,AUXILIAR!$F$6:$F$941,'COMPARAÇAO CENTROS DE CUSTO'!$B8,AUXILIAR!$O$6:$O$941,'COMPARAÇAO CENTROS DE CUSTO'!J$7,AUXILIAR!$I$6:$I$941,"DESPESAS")</f>
        <v>0</v>
      </c>
      <c r="K8" s="13">
        <f>SUMIFS(AUXILIAR!$G$6:$G$941,AUXILIAR!$F$6:$F$941,'COMPARAÇAO CENTROS DE CUSTO'!$B8,AUXILIAR!$O$6:$O$941,'COMPARAÇAO CENTROS DE CUSTO'!K$7,AUXILIAR!$I$6:$I$941,"RECEITAS")-SUMIFS(AUXILIAR!$G$6:$G$941,AUXILIAR!$F$6:$F$941,'COMPARAÇAO CENTROS DE CUSTO'!$B8,AUXILIAR!$O$6:$O$941,'COMPARAÇAO CENTROS DE CUSTO'!K$7,AUXILIAR!$I$6:$I$941,"DESPESAS")</f>
        <v>1</v>
      </c>
      <c r="L8" s="13">
        <f>SUMIFS(AUXILIAR!$G$6:$G$941,AUXILIAR!$F$6:$F$941,'COMPARAÇAO CENTROS DE CUSTO'!$B8,AUXILIAR!$O$6:$O$941,'COMPARAÇAO CENTROS DE CUSTO'!L$7,AUXILIAR!$I$6:$I$941,"RECEITAS")-SUMIFS(AUXILIAR!$G$6:$G$941,AUXILIAR!$F$6:$F$941,'COMPARAÇAO CENTROS DE CUSTO'!$B8,AUXILIAR!$O$6:$O$941,'COMPARAÇAO CENTROS DE CUSTO'!L$7,AUXILIAR!$I$6:$I$941,"DESPESAS")</f>
        <v>0</v>
      </c>
      <c r="M8" s="13">
        <f>SUMIFS(AUXILIAR!$G$6:$G$941,AUXILIAR!$F$6:$F$941,'COMPARAÇAO CENTROS DE CUSTO'!$B8,AUXILIAR!$O$6:$O$941,'COMPARAÇAO CENTROS DE CUSTO'!M$7,AUXILIAR!$I$6:$I$941,"RECEITAS")-SUMIFS(AUXILIAR!$G$6:$G$941,AUXILIAR!$F$6:$F$941,'COMPARAÇAO CENTROS DE CUSTO'!$B8,AUXILIAR!$O$6:$O$941,'COMPARAÇAO CENTROS DE CUSTO'!M$7,AUXILIAR!$I$6:$I$941,"DESPESAS")</f>
        <v>0</v>
      </c>
      <c r="N8" s="13">
        <f>SUMIFS(AUXILIAR!$G$6:$G$941,AUXILIAR!$F$6:$F$941,'COMPARAÇAO CENTROS DE CUSTO'!$B8,AUXILIAR!$O$6:$O$941,'COMPARAÇAO CENTROS DE CUSTO'!N$7,AUXILIAR!$I$6:$I$941,"RECEITAS")-SUMIFS(AUXILIAR!$G$6:$G$941,AUXILIAR!$F$6:$F$941,'COMPARAÇAO CENTROS DE CUSTO'!$B8,AUXILIAR!$O$6:$O$941,'COMPARAÇAO CENTROS DE CUSTO'!N$7,AUXILIAR!$I$6:$I$941,"DESPESAS")</f>
        <v>6000</v>
      </c>
      <c r="O8" s="13">
        <f>IF(SUM(C8:N8)=0,"",SUM(C8:N8))</f>
        <v>6001</v>
      </c>
    </row>
    <row r="9" spans="1:16" ht="23.25" x14ac:dyDescent="0.25">
      <c r="B9" s="13" t="str">
        <f>'CENTRO DE CUSTO'!B9</f>
        <v>CACUACO</v>
      </c>
      <c r="C9" s="13">
        <f>SUMIFS(AUXILIAR!$G$6:$G$941,AUXILIAR!$F$6:$F$941,'COMPARAÇAO CENTROS DE CUSTO'!$B9,AUXILIAR!$O$6:$O$941,'COMPARAÇAO CENTROS DE CUSTO'!C$7,AUXILIAR!$I$6:$I$941,"RECEITAS")-SUMIFS(AUXILIAR!$G$6:$G$941,AUXILIAR!$F$6:$F$941,'COMPARAÇAO CENTROS DE CUSTO'!$B9,AUXILIAR!$O$6:$O$941,'COMPARAÇAO CENTROS DE CUSTO'!C$7,AUXILIAR!$I$6:$I$941,"DESPESAS")</f>
        <v>-1022</v>
      </c>
      <c r="D9" s="13">
        <f>SUMIFS(AUXILIAR!$G$6:$G$941,AUXILIAR!$F$6:$F$941,'COMPARAÇAO CENTROS DE CUSTO'!$B9,AUXILIAR!$O$6:$O$941,'COMPARAÇAO CENTROS DE CUSTO'!D$7,AUXILIAR!$I$6:$I$941,"RECEITAS")-SUMIFS(AUXILIAR!$G$6:$G$941,AUXILIAR!$F$6:$F$941,'COMPARAÇAO CENTROS DE CUSTO'!$B9,AUXILIAR!$O$6:$O$941,'COMPARAÇAO CENTROS DE CUSTO'!D$7,AUXILIAR!$I$6:$I$941,"DESPESAS")</f>
        <v>0</v>
      </c>
      <c r="E9" s="13">
        <f>SUMIFS(AUXILIAR!$G$6:$G$941,AUXILIAR!$F$6:$F$941,'COMPARAÇAO CENTROS DE CUSTO'!$B9,AUXILIAR!$O$6:$O$941,'COMPARAÇAO CENTROS DE CUSTO'!E$7,AUXILIAR!$I$6:$I$941,"RECEITAS")-SUMIFS(AUXILIAR!$G$6:$G$941,AUXILIAR!$F$6:$F$941,'COMPARAÇAO CENTROS DE CUSTO'!$B9,AUXILIAR!$O$6:$O$941,'COMPARAÇAO CENTROS DE CUSTO'!E$7,AUXILIAR!$I$6:$I$941,"DESPESAS")</f>
        <v>0</v>
      </c>
      <c r="F9" s="13">
        <f>SUMIFS(AUXILIAR!$G$6:$G$941,AUXILIAR!$F$6:$F$941,'COMPARAÇAO CENTROS DE CUSTO'!$B9,AUXILIAR!$O$6:$O$941,'COMPARAÇAO CENTROS DE CUSTO'!F$7,AUXILIAR!$I$6:$I$941,"RECEITAS")-SUMIFS(AUXILIAR!$G$6:$G$941,AUXILIAR!$F$6:$F$941,'COMPARAÇAO CENTROS DE CUSTO'!$B9,AUXILIAR!$O$6:$O$941,'COMPARAÇAO CENTROS DE CUSTO'!F$7,AUXILIAR!$I$6:$I$941,"DESPESAS")</f>
        <v>0</v>
      </c>
      <c r="G9" s="13">
        <f>SUMIFS(AUXILIAR!$G$6:$G$941,AUXILIAR!$F$6:$F$941,'COMPARAÇAO CENTROS DE CUSTO'!$B9,AUXILIAR!$O$6:$O$941,'COMPARAÇAO CENTROS DE CUSTO'!G$7,AUXILIAR!$I$6:$I$941,"RECEITAS")-SUMIFS(AUXILIAR!$G$6:$G$941,AUXILIAR!$F$6:$F$941,'COMPARAÇAO CENTROS DE CUSTO'!$B9,AUXILIAR!$O$6:$O$941,'COMPARAÇAO CENTROS DE CUSTO'!G$7,AUXILIAR!$I$6:$I$941,"DESPESAS")</f>
        <v>0</v>
      </c>
      <c r="H9" s="13">
        <f>SUMIFS(AUXILIAR!$G$6:$G$941,AUXILIAR!$F$6:$F$941,'COMPARAÇAO CENTROS DE CUSTO'!$B9,AUXILIAR!$O$6:$O$941,'COMPARAÇAO CENTROS DE CUSTO'!H$7,AUXILIAR!$I$6:$I$941,"RECEITAS")-SUMIFS(AUXILIAR!$G$6:$G$941,AUXILIAR!$F$6:$F$941,'COMPARAÇAO CENTROS DE CUSTO'!$B9,AUXILIAR!$O$6:$O$941,'COMPARAÇAO CENTROS DE CUSTO'!H$7,AUXILIAR!$I$6:$I$941,"DESPESAS")</f>
        <v>0</v>
      </c>
      <c r="I9" s="13">
        <f>SUMIFS(AUXILIAR!$G$6:$G$941,AUXILIAR!$F$6:$F$941,'COMPARAÇAO CENTROS DE CUSTO'!$B9,AUXILIAR!$O$6:$O$941,'COMPARAÇAO CENTROS DE CUSTO'!I$7,AUXILIAR!$I$6:$I$941,"RECEITAS")-SUMIFS(AUXILIAR!$G$6:$G$941,AUXILIAR!$F$6:$F$941,'COMPARAÇAO CENTROS DE CUSTO'!$B9,AUXILIAR!$O$6:$O$941,'COMPARAÇAO CENTROS DE CUSTO'!I$7,AUXILIAR!$I$6:$I$941,"DESPESAS")</f>
        <v>0</v>
      </c>
      <c r="J9" s="13">
        <f>SUMIFS(AUXILIAR!$G$6:$G$941,AUXILIAR!$F$6:$F$941,'COMPARAÇAO CENTROS DE CUSTO'!$B9,AUXILIAR!$O$6:$O$941,'COMPARAÇAO CENTROS DE CUSTO'!J$7,AUXILIAR!$I$6:$I$941,"RECEITAS")-SUMIFS(AUXILIAR!$G$6:$G$941,AUXILIAR!$F$6:$F$941,'COMPARAÇAO CENTROS DE CUSTO'!$B9,AUXILIAR!$O$6:$O$941,'COMPARAÇAO CENTROS DE CUSTO'!J$7,AUXILIAR!$I$6:$I$941,"DESPESAS")</f>
        <v>0</v>
      </c>
      <c r="K9" s="13">
        <f>SUMIFS(AUXILIAR!$G$6:$G$941,AUXILIAR!$F$6:$F$941,'COMPARAÇAO CENTROS DE CUSTO'!$B9,AUXILIAR!$O$6:$O$941,'COMPARAÇAO CENTROS DE CUSTO'!K$7,AUXILIAR!$I$6:$I$941,"RECEITAS")-SUMIFS(AUXILIAR!$G$6:$G$941,AUXILIAR!$F$6:$F$941,'COMPARAÇAO CENTROS DE CUSTO'!$B9,AUXILIAR!$O$6:$O$941,'COMPARAÇAO CENTROS DE CUSTO'!K$7,AUXILIAR!$I$6:$I$941,"DESPESAS")</f>
        <v>0</v>
      </c>
      <c r="L9" s="13">
        <f>SUMIFS(AUXILIAR!$G$6:$G$941,AUXILIAR!$F$6:$F$941,'COMPARAÇAO CENTROS DE CUSTO'!$B9,AUXILIAR!$O$6:$O$941,'COMPARAÇAO CENTROS DE CUSTO'!L$7,AUXILIAR!$I$6:$I$941,"RECEITAS")-SUMIFS(AUXILIAR!$G$6:$G$941,AUXILIAR!$F$6:$F$941,'COMPARAÇAO CENTROS DE CUSTO'!$B9,AUXILIAR!$O$6:$O$941,'COMPARAÇAO CENTROS DE CUSTO'!L$7,AUXILIAR!$I$6:$I$941,"DESPESAS")</f>
        <v>0</v>
      </c>
      <c r="M9" s="13">
        <f>SUMIFS(AUXILIAR!$G$6:$G$941,AUXILIAR!$F$6:$F$941,'COMPARAÇAO CENTROS DE CUSTO'!$B9,AUXILIAR!$O$6:$O$941,'COMPARAÇAO CENTROS DE CUSTO'!M$7,AUXILIAR!$I$6:$I$941,"RECEITAS")-SUMIFS(AUXILIAR!$G$6:$G$941,AUXILIAR!$F$6:$F$941,'COMPARAÇAO CENTROS DE CUSTO'!$B9,AUXILIAR!$O$6:$O$941,'COMPARAÇAO CENTROS DE CUSTO'!M$7,AUXILIAR!$I$6:$I$941,"DESPESAS")</f>
        <v>0</v>
      </c>
      <c r="N9" s="13">
        <f>SUMIFS(AUXILIAR!$G$6:$G$941,AUXILIAR!$F$6:$F$941,'COMPARAÇAO CENTROS DE CUSTO'!$B9,AUXILIAR!$O$6:$O$941,'COMPARAÇAO CENTROS DE CUSTO'!N$7,AUXILIAR!$I$6:$I$941,"RECEITAS")-SUMIFS(AUXILIAR!$G$6:$G$941,AUXILIAR!$F$6:$F$941,'COMPARAÇAO CENTROS DE CUSTO'!$B9,AUXILIAR!$O$6:$O$941,'COMPARAÇAO CENTROS DE CUSTO'!N$7,AUXILIAR!$I$6:$I$941,"DESPESAS")</f>
        <v>0</v>
      </c>
      <c r="O9" s="13">
        <f t="shared" ref="O9:O18" si="0">IF(SUM(C9:N9)=0,"",SUM(C9:N9))</f>
        <v>-1022</v>
      </c>
    </row>
    <row r="10" spans="1:16" ht="23.25" x14ac:dyDescent="0.25">
      <c r="B10" s="13" t="str">
        <f>'CENTRO DE CUSTO'!B10</f>
        <v>VILA DE VIANA</v>
      </c>
      <c r="C10" s="13">
        <f>SUMIFS(AUXILIAR!$G$6:$G$941,AUXILIAR!$F$6:$F$941,'COMPARAÇAO CENTROS DE CUSTO'!$B10,AUXILIAR!$O$6:$O$941,'COMPARAÇAO CENTROS DE CUSTO'!C$7,AUXILIAR!$I$6:$I$941,"RECEITAS")-SUMIFS(AUXILIAR!$G$6:$G$941,AUXILIAR!$F$6:$F$941,'COMPARAÇAO CENTROS DE CUSTO'!$B10,AUXILIAR!$O$6:$O$941,'COMPARAÇAO CENTROS DE CUSTO'!C$7,AUXILIAR!$I$6:$I$941,"DESPESAS")</f>
        <v>0</v>
      </c>
      <c r="D10" s="13">
        <f>SUMIFS(AUXILIAR!$G$6:$G$941,AUXILIAR!$F$6:$F$941,'COMPARAÇAO CENTROS DE CUSTO'!$B10,AUXILIAR!$O$6:$O$941,'COMPARAÇAO CENTROS DE CUSTO'!D$7,AUXILIAR!$I$6:$I$941,"RECEITAS")-SUMIFS(AUXILIAR!$G$6:$G$941,AUXILIAR!$F$6:$F$941,'COMPARAÇAO CENTROS DE CUSTO'!$B10,AUXILIAR!$O$6:$O$941,'COMPARAÇAO CENTROS DE CUSTO'!D$7,AUXILIAR!$I$6:$I$941,"DESPESAS")</f>
        <v>0</v>
      </c>
      <c r="E10" s="13">
        <f>SUMIFS(AUXILIAR!$G$6:$G$941,AUXILIAR!$F$6:$F$941,'COMPARAÇAO CENTROS DE CUSTO'!$B10,AUXILIAR!$O$6:$O$941,'COMPARAÇAO CENTROS DE CUSTO'!E$7,AUXILIAR!$I$6:$I$941,"RECEITAS")-SUMIFS(AUXILIAR!$G$6:$G$941,AUXILIAR!$F$6:$F$941,'COMPARAÇAO CENTROS DE CUSTO'!$B10,AUXILIAR!$O$6:$O$941,'COMPARAÇAO CENTROS DE CUSTO'!E$7,AUXILIAR!$I$6:$I$941,"DESPESAS")</f>
        <v>0</v>
      </c>
      <c r="F10" s="13">
        <f>SUMIFS(AUXILIAR!$G$6:$G$941,AUXILIAR!$F$6:$F$941,'COMPARAÇAO CENTROS DE CUSTO'!$B10,AUXILIAR!$O$6:$O$941,'COMPARAÇAO CENTROS DE CUSTO'!F$7,AUXILIAR!$I$6:$I$941,"RECEITAS")-SUMIFS(AUXILIAR!$G$6:$G$941,AUXILIAR!$F$6:$F$941,'COMPARAÇAO CENTROS DE CUSTO'!$B10,AUXILIAR!$O$6:$O$941,'COMPARAÇAO CENTROS DE CUSTO'!F$7,AUXILIAR!$I$6:$I$941,"DESPESAS")</f>
        <v>0</v>
      </c>
      <c r="G10" s="13">
        <f>SUMIFS(AUXILIAR!$G$6:$G$941,AUXILIAR!$F$6:$F$941,'COMPARAÇAO CENTROS DE CUSTO'!$B10,AUXILIAR!$O$6:$O$941,'COMPARAÇAO CENTROS DE CUSTO'!G$7,AUXILIAR!$I$6:$I$941,"RECEITAS")-SUMIFS(AUXILIAR!$G$6:$G$941,AUXILIAR!$F$6:$F$941,'COMPARAÇAO CENTROS DE CUSTO'!$B10,AUXILIAR!$O$6:$O$941,'COMPARAÇAO CENTROS DE CUSTO'!G$7,AUXILIAR!$I$6:$I$941,"DESPESAS")</f>
        <v>0</v>
      </c>
      <c r="H10" s="13">
        <f>SUMIFS(AUXILIAR!$G$6:$G$941,AUXILIAR!$F$6:$F$941,'COMPARAÇAO CENTROS DE CUSTO'!$B10,AUXILIAR!$O$6:$O$941,'COMPARAÇAO CENTROS DE CUSTO'!H$7,AUXILIAR!$I$6:$I$941,"RECEITAS")-SUMIFS(AUXILIAR!$G$6:$G$941,AUXILIAR!$F$6:$F$941,'COMPARAÇAO CENTROS DE CUSTO'!$B10,AUXILIAR!$O$6:$O$941,'COMPARAÇAO CENTROS DE CUSTO'!H$7,AUXILIAR!$I$6:$I$941,"DESPESAS")</f>
        <v>0</v>
      </c>
      <c r="I10" s="13">
        <f>SUMIFS(AUXILIAR!$G$6:$G$941,AUXILIAR!$F$6:$F$941,'COMPARAÇAO CENTROS DE CUSTO'!$B10,AUXILIAR!$O$6:$O$941,'COMPARAÇAO CENTROS DE CUSTO'!I$7,AUXILIAR!$I$6:$I$941,"RECEITAS")-SUMIFS(AUXILIAR!$G$6:$G$941,AUXILIAR!$F$6:$F$941,'COMPARAÇAO CENTROS DE CUSTO'!$B10,AUXILIAR!$O$6:$O$941,'COMPARAÇAO CENTROS DE CUSTO'!I$7,AUXILIAR!$I$6:$I$941,"DESPESAS")</f>
        <v>0</v>
      </c>
      <c r="J10" s="13">
        <f>SUMIFS(AUXILIAR!$G$6:$G$941,AUXILIAR!$F$6:$F$941,'COMPARAÇAO CENTROS DE CUSTO'!$B10,AUXILIAR!$O$6:$O$941,'COMPARAÇAO CENTROS DE CUSTO'!J$7,AUXILIAR!$I$6:$I$941,"RECEITAS")-SUMIFS(AUXILIAR!$G$6:$G$941,AUXILIAR!$F$6:$F$941,'COMPARAÇAO CENTROS DE CUSTO'!$B10,AUXILIAR!$O$6:$O$941,'COMPARAÇAO CENTROS DE CUSTO'!J$7,AUXILIAR!$I$6:$I$941,"DESPESAS")</f>
        <v>0</v>
      </c>
      <c r="K10" s="13">
        <f>SUMIFS(AUXILIAR!$G$6:$G$941,AUXILIAR!$F$6:$F$941,'COMPARAÇAO CENTROS DE CUSTO'!$B10,AUXILIAR!$O$6:$O$941,'COMPARAÇAO CENTROS DE CUSTO'!K$7,AUXILIAR!$I$6:$I$941,"RECEITAS")-SUMIFS(AUXILIAR!$G$6:$G$941,AUXILIAR!$F$6:$F$941,'COMPARAÇAO CENTROS DE CUSTO'!$B10,AUXILIAR!$O$6:$O$941,'COMPARAÇAO CENTROS DE CUSTO'!K$7,AUXILIAR!$I$6:$I$941,"DESPESAS")</f>
        <v>0</v>
      </c>
      <c r="L10" s="13">
        <f>SUMIFS(AUXILIAR!$G$6:$G$941,AUXILIAR!$F$6:$F$941,'COMPARAÇAO CENTROS DE CUSTO'!$B10,AUXILIAR!$O$6:$O$941,'COMPARAÇAO CENTROS DE CUSTO'!L$7,AUXILIAR!$I$6:$I$941,"RECEITAS")-SUMIFS(AUXILIAR!$G$6:$G$941,AUXILIAR!$F$6:$F$941,'COMPARAÇAO CENTROS DE CUSTO'!$B10,AUXILIAR!$O$6:$O$941,'COMPARAÇAO CENTROS DE CUSTO'!L$7,AUXILIAR!$I$6:$I$941,"DESPESAS")</f>
        <v>0</v>
      </c>
      <c r="M10" s="13">
        <f>SUMIFS(AUXILIAR!$G$6:$G$941,AUXILIAR!$F$6:$F$941,'COMPARAÇAO CENTROS DE CUSTO'!$B10,AUXILIAR!$O$6:$O$941,'COMPARAÇAO CENTROS DE CUSTO'!M$7,AUXILIAR!$I$6:$I$941,"RECEITAS")-SUMIFS(AUXILIAR!$G$6:$G$941,AUXILIAR!$F$6:$F$941,'COMPARAÇAO CENTROS DE CUSTO'!$B10,AUXILIAR!$O$6:$O$941,'COMPARAÇAO CENTROS DE CUSTO'!M$7,AUXILIAR!$I$6:$I$941,"DESPESAS")</f>
        <v>0</v>
      </c>
      <c r="N10" s="13">
        <f>SUMIFS(AUXILIAR!$G$6:$G$941,AUXILIAR!$F$6:$F$941,'COMPARAÇAO CENTROS DE CUSTO'!$B10,AUXILIAR!$O$6:$O$941,'COMPARAÇAO CENTROS DE CUSTO'!N$7,AUXILIAR!$I$6:$I$941,"RECEITAS")-SUMIFS(AUXILIAR!$G$6:$G$941,AUXILIAR!$F$6:$F$941,'COMPARAÇAO CENTROS DE CUSTO'!$B10,AUXILIAR!$O$6:$O$941,'COMPARAÇAO CENTROS DE CUSTO'!N$7,AUXILIAR!$I$6:$I$941,"DESPESAS")</f>
        <v>-9102</v>
      </c>
      <c r="O10" s="13">
        <f t="shared" si="0"/>
        <v>-9102</v>
      </c>
    </row>
    <row r="11" spans="1:16" ht="27.75" customHeight="1" x14ac:dyDescent="0.25">
      <c r="B11" s="13" t="str">
        <f>'CENTRO DE CUSTO'!B11</f>
        <v>BENFICA</v>
      </c>
      <c r="C11" s="13">
        <f>SUMIFS(AUXILIAR!$G$6:$G$941,AUXILIAR!$F$6:$F$941,'COMPARAÇAO CENTROS DE CUSTO'!$B11,AUXILIAR!$O$6:$O$941,'COMPARAÇAO CENTROS DE CUSTO'!C$7,AUXILIAR!$I$6:$I$941,"RECEITAS")-SUMIFS(AUXILIAR!$G$6:$G$941,AUXILIAR!$F$6:$F$941,'COMPARAÇAO CENTROS DE CUSTO'!$B11,AUXILIAR!$O$6:$O$941,'COMPARAÇAO CENTROS DE CUSTO'!C$7,AUXILIAR!$I$6:$I$941,"DESPESAS")</f>
        <v>74</v>
      </c>
      <c r="D11" s="13">
        <f>SUMIFS(AUXILIAR!$G$6:$G$941,AUXILIAR!$F$6:$F$941,'COMPARAÇAO CENTROS DE CUSTO'!$B11,AUXILIAR!$O$6:$O$941,'COMPARAÇAO CENTROS DE CUSTO'!D$7,AUXILIAR!$I$6:$I$941,"RECEITAS")-SUMIFS(AUXILIAR!$G$6:$G$941,AUXILIAR!$F$6:$F$941,'COMPARAÇAO CENTROS DE CUSTO'!$B11,AUXILIAR!$O$6:$O$941,'COMPARAÇAO CENTROS DE CUSTO'!D$7,AUXILIAR!$I$6:$I$941,"DESPESAS")</f>
        <v>-6</v>
      </c>
      <c r="E11" s="13">
        <f>SUMIFS(AUXILIAR!$G$6:$G$941,AUXILIAR!$F$6:$F$941,'COMPARAÇAO CENTROS DE CUSTO'!$B11,AUXILIAR!$O$6:$O$941,'COMPARAÇAO CENTROS DE CUSTO'!E$7,AUXILIAR!$I$6:$I$941,"RECEITAS")-SUMIFS(AUXILIAR!$G$6:$G$941,AUXILIAR!$F$6:$F$941,'COMPARAÇAO CENTROS DE CUSTO'!$B11,AUXILIAR!$O$6:$O$941,'COMPARAÇAO CENTROS DE CUSTO'!E$7,AUXILIAR!$I$6:$I$941,"DESPESAS")</f>
        <v>1</v>
      </c>
      <c r="F11" s="13">
        <f>SUMIFS(AUXILIAR!$G$6:$G$941,AUXILIAR!$F$6:$F$941,'COMPARAÇAO CENTROS DE CUSTO'!$B11,AUXILIAR!$O$6:$O$941,'COMPARAÇAO CENTROS DE CUSTO'!F$7,AUXILIAR!$I$6:$I$941,"RECEITAS")-SUMIFS(AUXILIAR!$G$6:$G$941,AUXILIAR!$F$6:$F$941,'COMPARAÇAO CENTROS DE CUSTO'!$B11,AUXILIAR!$O$6:$O$941,'COMPARAÇAO CENTROS DE CUSTO'!F$7,AUXILIAR!$I$6:$I$941,"DESPESAS")</f>
        <v>0</v>
      </c>
      <c r="G11" s="13">
        <f>SUMIFS(AUXILIAR!$G$6:$G$941,AUXILIAR!$F$6:$F$941,'COMPARAÇAO CENTROS DE CUSTO'!$B11,AUXILIAR!$O$6:$O$941,'COMPARAÇAO CENTROS DE CUSTO'!G$7,AUXILIAR!$I$6:$I$941,"RECEITAS")-SUMIFS(AUXILIAR!$G$6:$G$941,AUXILIAR!$F$6:$F$941,'COMPARAÇAO CENTROS DE CUSTO'!$B11,AUXILIAR!$O$6:$O$941,'COMPARAÇAO CENTROS DE CUSTO'!G$7,AUXILIAR!$I$6:$I$941,"DESPESAS")</f>
        <v>1111</v>
      </c>
      <c r="H11" s="13">
        <f>SUMIFS(AUXILIAR!$G$6:$G$941,AUXILIAR!$F$6:$F$941,'COMPARAÇAO CENTROS DE CUSTO'!$B11,AUXILIAR!$O$6:$O$941,'COMPARAÇAO CENTROS DE CUSTO'!H$7,AUXILIAR!$I$6:$I$941,"RECEITAS")-SUMIFS(AUXILIAR!$G$6:$G$941,AUXILIAR!$F$6:$F$941,'COMPARAÇAO CENTROS DE CUSTO'!$B11,AUXILIAR!$O$6:$O$941,'COMPARAÇAO CENTROS DE CUSTO'!H$7,AUXILIAR!$I$6:$I$941,"DESPESAS")</f>
        <v>0</v>
      </c>
      <c r="I11" s="13">
        <f>SUMIFS(AUXILIAR!$G$6:$G$941,AUXILIAR!$F$6:$F$941,'COMPARAÇAO CENTROS DE CUSTO'!$B11,AUXILIAR!$O$6:$O$941,'COMPARAÇAO CENTROS DE CUSTO'!I$7,AUXILIAR!$I$6:$I$941,"RECEITAS")-SUMIFS(AUXILIAR!$G$6:$G$941,AUXILIAR!$F$6:$F$941,'COMPARAÇAO CENTROS DE CUSTO'!$B11,AUXILIAR!$O$6:$O$941,'COMPARAÇAO CENTROS DE CUSTO'!I$7,AUXILIAR!$I$6:$I$941,"DESPESAS")</f>
        <v>-100</v>
      </c>
      <c r="J11" s="13">
        <f>SUMIFS(AUXILIAR!$G$6:$G$941,AUXILIAR!$F$6:$F$941,'COMPARAÇAO CENTROS DE CUSTO'!$B11,AUXILIAR!$O$6:$O$941,'COMPARAÇAO CENTROS DE CUSTO'!J$7,AUXILIAR!$I$6:$I$941,"RECEITAS")-SUMIFS(AUXILIAR!$G$6:$G$941,AUXILIAR!$F$6:$F$941,'COMPARAÇAO CENTROS DE CUSTO'!$B11,AUXILIAR!$O$6:$O$941,'COMPARAÇAO CENTROS DE CUSTO'!J$7,AUXILIAR!$I$6:$I$941,"DESPESAS")</f>
        <v>0</v>
      </c>
      <c r="K11" s="13">
        <f>SUMIFS(AUXILIAR!$G$6:$G$941,AUXILIAR!$F$6:$F$941,'COMPARAÇAO CENTROS DE CUSTO'!$B11,AUXILIAR!$O$6:$O$941,'COMPARAÇAO CENTROS DE CUSTO'!K$7,AUXILIAR!$I$6:$I$941,"RECEITAS")-SUMIFS(AUXILIAR!$G$6:$G$941,AUXILIAR!$F$6:$F$941,'COMPARAÇAO CENTROS DE CUSTO'!$B11,AUXILIAR!$O$6:$O$941,'COMPARAÇAO CENTROS DE CUSTO'!K$7,AUXILIAR!$I$6:$I$941,"DESPESAS")</f>
        <v>-6</v>
      </c>
      <c r="L11" s="13">
        <f>SUMIFS(AUXILIAR!$G$6:$G$941,AUXILIAR!$F$6:$F$941,'COMPARAÇAO CENTROS DE CUSTO'!$B11,AUXILIAR!$O$6:$O$941,'COMPARAÇAO CENTROS DE CUSTO'!L$7,AUXILIAR!$I$6:$I$941,"RECEITAS")-SUMIFS(AUXILIAR!$G$6:$G$941,AUXILIAR!$F$6:$F$941,'COMPARAÇAO CENTROS DE CUSTO'!$B11,AUXILIAR!$O$6:$O$941,'COMPARAÇAO CENTROS DE CUSTO'!L$7,AUXILIAR!$I$6:$I$941,"DESPESAS")</f>
        <v>-49.733333333333334</v>
      </c>
      <c r="M11" s="13">
        <f>SUMIFS(AUXILIAR!$G$6:$G$941,AUXILIAR!$F$6:$F$941,'COMPARAÇAO CENTROS DE CUSTO'!$B11,AUXILIAR!$O$6:$O$941,'COMPARAÇAO CENTROS DE CUSTO'!M$7,AUXILIAR!$I$6:$I$941,"RECEITAS")-SUMIFS(AUXILIAR!$G$6:$G$941,AUXILIAR!$F$6:$F$941,'COMPARAÇAO CENTROS DE CUSTO'!$B11,AUXILIAR!$O$6:$O$941,'COMPARAÇAO CENTROS DE CUSTO'!M$7,AUXILIAR!$I$6:$I$941,"DESPESAS")</f>
        <v>-12</v>
      </c>
      <c r="N11" s="13">
        <f>SUMIFS(AUXILIAR!$G$6:$G$941,AUXILIAR!$F$6:$F$941,'COMPARAÇAO CENTROS DE CUSTO'!$B11,AUXILIAR!$O$6:$O$941,'COMPARAÇAO CENTROS DE CUSTO'!N$7,AUXILIAR!$I$6:$I$941,"RECEITAS")-SUMIFS(AUXILIAR!$G$6:$G$941,AUXILIAR!$F$6:$F$941,'COMPARAÇAO CENTROS DE CUSTO'!$B11,AUXILIAR!$O$6:$O$941,'COMPARAÇAO CENTROS DE CUSTO'!N$7,AUXILIAR!$I$6:$I$941,"DESPESAS")</f>
        <v>-5</v>
      </c>
      <c r="O11" s="13">
        <f t="shared" si="0"/>
        <v>1007.2666666666667</v>
      </c>
    </row>
    <row r="12" spans="1:16" ht="23.25" x14ac:dyDescent="0.25">
      <c r="B12" s="13" t="str">
        <f>'CENTRO DE CUSTO'!B12</f>
        <v>CALEMBA 2</v>
      </c>
      <c r="C12" s="13">
        <f>SUMIFS(AUXILIAR!$G$6:$G$941,AUXILIAR!$F$6:$F$941,'COMPARAÇAO CENTROS DE CUSTO'!$B12,AUXILIAR!$O$6:$O$941,'COMPARAÇAO CENTROS DE CUSTO'!C$7,AUXILIAR!$I$6:$I$941,"RECEITAS")-SUMIFS(AUXILIAR!$G$6:$G$941,AUXILIAR!$F$6:$F$941,'COMPARAÇAO CENTROS DE CUSTO'!$B12,AUXILIAR!$O$6:$O$941,'COMPARAÇAO CENTROS DE CUSTO'!C$7,AUXILIAR!$I$6:$I$941,"DESPESAS")</f>
        <v>-3</v>
      </c>
      <c r="D12" s="13">
        <f>SUMIFS(AUXILIAR!$G$6:$G$941,AUXILIAR!$F$6:$F$941,'COMPARAÇAO CENTROS DE CUSTO'!$B12,AUXILIAR!$O$6:$O$941,'COMPARAÇAO CENTROS DE CUSTO'!D$7,AUXILIAR!$I$6:$I$941,"RECEITAS")-SUMIFS(AUXILIAR!$G$6:$G$941,AUXILIAR!$F$6:$F$941,'COMPARAÇAO CENTROS DE CUSTO'!$B12,AUXILIAR!$O$6:$O$941,'COMPARAÇAO CENTROS DE CUSTO'!D$7,AUXILIAR!$I$6:$I$941,"DESPESAS")</f>
        <v>-12</v>
      </c>
      <c r="E12" s="13">
        <f>SUMIFS(AUXILIAR!$G$6:$G$941,AUXILIAR!$F$6:$F$941,'COMPARAÇAO CENTROS DE CUSTO'!$B12,AUXILIAR!$O$6:$O$941,'COMPARAÇAO CENTROS DE CUSTO'!E$7,AUXILIAR!$I$6:$I$941,"RECEITAS")-SUMIFS(AUXILIAR!$G$6:$G$941,AUXILIAR!$F$6:$F$941,'COMPARAÇAO CENTROS DE CUSTO'!$B12,AUXILIAR!$O$6:$O$941,'COMPARAÇAO CENTROS DE CUSTO'!E$7,AUXILIAR!$I$6:$I$941,"DESPESAS")</f>
        <v>0</v>
      </c>
      <c r="F12" s="13">
        <f>SUMIFS(AUXILIAR!$G$6:$G$941,AUXILIAR!$F$6:$F$941,'COMPARAÇAO CENTROS DE CUSTO'!$B12,AUXILIAR!$O$6:$O$941,'COMPARAÇAO CENTROS DE CUSTO'!F$7,AUXILIAR!$I$6:$I$941,"RECEITAS")-SUMIFS(AUXILIAR!$G$6:$G$941,AUXILIAR!$F$6:$F$941,'COMPARAÇAO CENTROS DE CUSTO'!$B12,AUXILIAR!$O$6:$O$941,'COMPARAÇAO CENTROS DE CUSTO'!F$7,AUXILIAR!$I$6:$I$941,"DESPESAS")</f>
        <v>0</v>
      </c>
      <c r="G12" s="13">
        <f>SUMIFS(AUXILIAR!$G$6:$G$941,AUXILIAR!$F$6:$F$941,'COMPARAÇAO CENTROS DE CUSTO'!$B12,AUXILIAR!$O$6:$O$941,'COMPARAÇAO CENTROS DE CUSTO'!G$7,AUXILIAR!$I$6:$I$941,"RECEITAS")-SUMIFS(AUXILIAR!$G$6:$G$941,AUXILIAR!$F$6:$F$941,'COMPARAÇAO CENTROS DE CUSTO'!$B12,AUXILIAR!$O$6:$O$941,'COMPARAÇAO CENTROS DE CUSTO'!G$7,AUXILIAR!$I$6:$I$941,"DESPESAS")</f>
        <v>0</v>
      </c>
      <c r="H12" s="13">
        <f>SUMIFS(AUXILIAR!$G$6:$G$941,AUXILIAR!$F$6:$F$941,'COMPARAÇAO CENTROS DE CUSTO'!$B12,AUXILIAR!$O$6:$O$941,'COMPARAÇAO CENTROS DE CUSTO'!H$7,AUXILIAR!$I$6:$I$941,"RECEITAS")-SUMIFS(AUXILIAR!$G$6:$G$941,AUXILIAR!$F$6:$F$941,'COMPARAÇAO CENTROS DE CUSTO'!$B12,AUXILIAR!$O$6:$O$941,'COMPARAÇAO CENTROS DE CUSTO'!H$7,AUXILIAR!$I$6:$I$941,"DESPESAS")</f>
        <v>0</v>
      </c>
      <c r="I12" s="13">
        <f>SUMIFS(AUXILIAR!$G$6:$G$941,AUXILIAR!$F$6:$F$941,'COMPARAÇAO CENTROS DE CUSTO'!$B12,AUXILIAR!$O$6:$O$941,'COMPARAÇAO CENTROS DE CUSTO'!I$7,AUXILIAR!$I$6:$I$941,"RECEITAS")-SUMIFS(AUXILIAR!$G$6:$G$941,AUXILIAR!$F$6:$F$941,'COMPARAÇAO CENTROS DE CUSTO'!$B12,AUXILIAR!$O$6:$O$941,'COMPARAÇAO CENTROS DE CUSTO'!I$7,AUXILIAR!$I$6:$I$941,"DESPESAS")</f>
        <v>12</v>
      </c>
      <c r="J12" s="13">
        <f>SUMIFS(AUXILIAR!$G$6:$G$941,AUXILIAR!$F$6:$F$941,'COMPARAÇAO CENTROS DE CUSTO'!$B12,AUXILIAR!$O$6:$O$941,'COMPARAÇAO CENTROS DE CUSTO'!J$7,AUXILIAR!$I$6:$I$941,"RECEITAS")-SUMIFS(AUXILIAR!$G$6:$G$941,AUXILIAR!$F$6:$F$941,'COMPARAÇAO CENTROS DE CUSTO'!$B12,AUXILIAR!$O$6:$O$941,'COMPARAÇAO CENTROS DE CUSTO'!J$7,AUXILIAR!$I$6:$I$941,"DESPESAS")</f>
        <v>0</v>
      </c>
      <c r="K12" s="13">
        <f>SUMIFS(AUXILIAR!$G$6:$G$941,AUXILIAR!$F$6:$F$941,'COMPARAÇAO CENTROS DE CUSTO'!$B12,AUXILIAR!$O$6:$O$941,'COMPARAÇAO CENTROS DE CUSTO'!K$7,AUXILIAR!$I$6:$I$941,"RECEITAS")-SUMIFS(AUXILIAR!$G$6:$G$941,AUXILIAR!$F$6:$F$941,'COMPARAÇAO CENTROS DE CUSTO'!$B12,AUXILIAR!$O$6:$O$941,'COMPARAÇAO CENTROS DE CUSTO'!K$7,AUXILIAR!$I$6:$I$941,"DESPESAS")</f>
        <v>-12</v>
      </c>
      <c r="L12" s="13">
        <f>SUMIFS(AUXILIAR!$G$6:$G$941,AUXILIAR!$F$6:$F$941,'COMPARAÇAO CENTROS DE CUSTO'!$B12,AUXILIAR!$O$6:$O$941,'COMPARAÇAO CENTROS DE CUSTO'!L$7,AUXILIAR!$I$6:$I$941,"RECEITAS")-SUMIFS(AUXILIAR!$G$6:$G$941,AUXILIAR!$F$6:$F$941,'COMPARAÇAO CENTROS DE CUSTO'!$B12,AUXILIAR!$O$6:$O$941,'COMPARAÇAO CENTROS DE CUSTO'!L$7,AUXILIAR!$I$6:$I$941,"DESPESAS")</f>
        <v>-17.3333333333333</v>
      </c>
      <c r="M12" s="13">
        <f>SUMIFS(AUXILIAR!$G$6:$G$941,AUXILIAR!$F$6:$F$941,'COMPARAÇAO CENTROS DE CUSTO'!$B12,AUXILIAR!$O$6:$O$941,'COMPARAÇAO CENTROS DE CUSTO'!M$7,AUXILIAR!$I$6:$I$941,"RECEITAS")-SUMIFS(AUXILIAR!$G$6:$G$941,AUXILIAR!$F$6:$F$941,'COMPARAÇAO CENTROS DE CUSTO'!$B12,AUXILIAR!$O$6:$O$941,'COMPARAÇAO CENTROS DE CUSTO'!M$7,AUXILIAR!$I$6:$I$941,"DESPESAS")</f>
        <v>0</v>
      </c>
      <c r="N12" s="13">
        <f>SUMIFS(AUXILIAR!$G$6:$G$941,AUXILIAR!$F$6:$F$941,'COMPARAÇAO CENTROS DE CUSTO'!$B12,AUXILIAR!$O$6:$O$941,'COMPARAÇAO CENTROS DE CUSTO'!N$7,AUXILIAR!$I$6:$I$941,"RECEITAS")-SUMIFS(AUXILIAR!$G$6:$G$941,AUXILIAR!$F$6:$F$941,'COMPARAÇAO CENTROS DE CUSTO'!$B12,AUXILIAR!$O$6:$O$941,'COMPARAÇAO CENTROS DE CUSTO'!N$7,AUXILIAR!$I$6:$I$941,"DESPESAS")</f>
        <v>-11</v>
      </c>
      <c r="O12" s="13">
        <f t="shared" si="0"/>
        <v>-43.3333333333333</v>
      </c>
    </row>
    <row r="13" spans="1:16" ht="23.25" x14ac:dyDescent="0.25">
      <c r="B13" s="13" t="str">
        <f>'CENTRO DE CUSTO'!B13</f>
        <v>GOLF 2</v>
      </c>
      <c r="C13" s="13">
        <f>SUMIFS(AUXILIAR!$G$6:$G$941,AUXILIAR!$F$6:$F$941,'COMPARAÇAO CENTROS DE CUSTO'!$B13,AUXILIAR!$O$6:$O$941,'COMPARAÇAO CENTROS DE CUSTO'!C$7,AUXILIAR!$I$6:$I$941,"RECEITAS")-SUMIFS(AUXILIAR!$G$6:$G$941,AUXILIAR!$F$6:$F$941,'COMPARAÇAO CENTROS DE CUSTO'!$B13,AUXILIAR!$O$6:$O$941,'COMPARAÇAO CENTROS DE CUSTO'!C$7,AUXILIAR!$I$6:$I$941,"DESPESAS")</f>
        <v>0</v>
      </c>
      <c r="D13" s="13">
        <f>SUMIFS(AUXILIAR!$G$6:$G$941,AUXILIAR!$F$6:$F$941,'COMPARAÇAO CENTROS DE CUSTO'!$B13,AUXILIAR!$O$6:$O$941,'COMPARAÇAO CENTROS DE CUSTO'!D$7,AUXILIAR!$I$6:$I$941,"RECEITAS")-SUMIFS(AUXILIAR!$G$6:$G$941,AUXILIAR!$F$6:$F$941,'COMPARAÇAO CENTROS DE CUSTO'!$B13,AUXILIAR!$O$6:$O$941,'COMPARAÇAO CENTROS DE CUSTO'!D$7,AUXILIAR!$I$6:$I$941,"DESPESAS")</f>
        <v>0</v>
      </c>
      <c r="E13" s="13">
        <f>SUMIFS(AUXILIAR!$G$6:$G$941,AUXILIAR!$F$6:$F$941,'COMPARAÇAO CENTROS DE CUSTO'!$B13,AUXILIAR!$O$6:$O$941,'COMPARAÇAO CENTROS DE CUSTO'!E$7,AUXILIAR!$I$6:$I$941,"RECEITAS")-SUMIFS(AUXILIAR!$G$6:$G$941,AUXILIAR!$F$6:$F$941,'COMPARAÇAO CENTROS DE CUSTO'!$B13,AUXILIAR!$O$6:$O$941,'COMPARAÇAO CENTROS DE CUSTO'!E$7,AUXILIAR!$I$6:$I$941,"DESPESAS")</f>
        <v>0</v>
      </c>
      <c r="F13" s="13">
        <f>SUMIFS(AUXILIAR!$G$6:$G$941,AUXILIAR!$F$6:$F$941,'COMPARAÇAO CENTROS DE CUSTO'!$B13,AUXILIAR!$O$6:$O$941,'COMPARAÇAO CENTROS DE CUSTO'!F$7,AUXILIAR!$I$6:$I$941,"RECEITAS")-SUMIFS(AUXILIAR!$G$6:$G$941,AUXILIAR!$F$6:$F$941,'COMPARAÇAO CENTROS DE CUSTO'!$B13,AUXILIAR!$O$6:$O$941,'COMPARAÇAO CENTROS DE CUSTO'!F$7,AUXILIAR!$I$6:$I$941,"DESPESAS")</f>
        <v>0</v>
      </c>
      <c r="G13" s="13">
        <f>SUMIFS(AUXILIAR!$G$6:$G$941,AUXILIAR!$F$6:$F$941,'COMPARAÇAO CENTROS DE CUSTO'!$B13,AUXILIAR!$O$6:$O$941,'COMPARAÇAO CENTROS DE CUSTO'!G$7,AUXILIAR!$I$6:$I$941,"RECEITAS")-SUMIFS(AUXILIAR!$G$6:$G$941,AUXILIAR!$F$6:$F$941,'COMPARAÇAO CENTROS DE CUSTO'!$B13,AUXILIAR!$O$6:$O$941,'COMPARAÇAO CENTROS DE CUSTO'!G$7,AUXILIAR!$I$6:$I$941,"DESPESAS")</f>
        <v>0</v>
      </c>
      <c r="H13" s="13">
        <f>SUMIFS(AUXILIAR!$G$6:$G$941,AUXILIAR!$F$6:$F$941,'COMPARAÇAO CENTROS DE CUSTO'!$B13,AUXILIAR!$O$6:$O$941,'COMPARAÇAO CENTROS DE CUSTO'!H$7,AUXILIAR!$I$6:$I$941,"RECEITAS")-SUMIFS(AUXILIAR!$G$6:$G$941,AUXILIAR!$F$6:$F$941,'COMPARAÇAO CENTROS DE CUSTO'!$B13,AUXILIAR!$O$6:$O$941,'COMPARAÇAO CENTROS DE CUSTO'!H$7,AUXILIAR!$I$6:$I$941,"DESPESAS")</f>
        <v>0</v>
      </c>
      <c r="I13" s="13">
        <f>SUMIFS(AUXILIAR!$G$6:$G$941,AUXILIAR!$F$6:$F$941,'COMPARAÇAO CENTROS DE CUSTO'!$B13,AUXILIAR!$O$6:$O$941,'COMPARAÇAO CENTROS DE CUSTO'!I$7,AUXILIAR!$I$6:$I$941,"RECEITAS")-SUMIFS(AUXILIAR!$G$6:$G$941,AUXILIAR!$F$6:$F$941,'COMPARAÇAO CENTROS DE CUSTO'!$B13,AUXILIAR!$O$6:$O$941,'COMPARAÇAO CENTROS DE CUSTO'!I$7,AUXILIAR!$I$6:$I$941,"DESPESAS")</f>
        <v>0</v>
      </c>
      <c r="J13" s="13">
        <f>SUMIFS(AUXILIAR!$G$6:$G$941,AUXILIAR!$F$6:$F$941,'COMPARAÇAO CENTROS DE CUSTO'!$B13,AUXILIAR!$O$6:$O$941,'COMPARAÇAO CENTROS DE CUSTO'!J$7,AUXILIAR!$I$6:$I$941,"RECEITAS")-SUMIFS(AUXILIAR!$G$6:$G$941,AUXILIAR!$F$6:$F$941,'COMPARAÇAO CENTROS DE CUSTO'!$B13,AUXILIAR!$O$6:$O$941,'COMPARAÇAO CENTROS DE CUSTO'!J$7,AUXILIAR!$I$6:$I$941,"DESPESAS")</f>
        <v>0</v>
      </c>
      <c r="K13" s="13">
        <f>SUMIFS(AUXILIAR!$G$6:$G$941,AUXILIAR!$F$6:$F$941,'COMPARAÇAO CENTROS DE CUSTO'!$B13,AUXILIAR!$O$6:$O$941,'COMPARAÇAO CENTROS DE CUSTO'!K$7,AUXILIAR!$I$6:$I$941,"RECEITAS")-SUMIFS(AUXILIAR!$G$6:$G$941,AUXILIAR!$F$6:$F$941,'COMPARAÇAO CENTROS DE CUSTO'!$B13,AUXILIAR!$O$6:$O$941,'COMPARAÇAO CENTROS DE CUSTO'!K$7,AUXILIAR!$I$6:$I$941,"DESPESAS")</f>
        <v>0</v>
      </c>
      <c r="L13" s="13">
        <f>SUMIFS(AUXILIAR!$G$6:$G$941,AUXILIAR!$F$6:$F$941,'COMPARAÇAO CENTROS DE CUSTO'!$B13,AUXILIAR!$O$6:$O$941,'COMPARAÇAO CENTROS DE CUSTO'!L$7,AUXILIAR!$I$6:$I$941,"RECEITAS")-SUMIFS(AUXILIAR!$G$6:$G$941,AUXILIAR!$F$6:$F$941,'COMPARAÇAO CENTROS DE CUSTO'!$B13,AUXILIAR!$O$6:$O$941,'COMPARAÇAO CENTROS DE CUSTO'!L$7,AUXILIAR!$I$6:$I$941,"DESPESAS")</f>
        <v>0</v>
      </c>
      <c r="M13" s="13">
        <f>SUMIFS(AUXILIAR!$G$6:$G$941,AUXILIAR!$F$6:$F$941,'COMPARAÇAO CENTROS DE CUSTO'!$B13,AUXILIAR!$O$6:$O$941,'COMPARAÇAO CENTROS DE CUSTO'!M$7,AUXILIAR!$I$6:$I$941,"RECEITAS")-SUMIFS(AUXILIAR!$G$6:$G$941,AUXILIAR!$F$6:$F$941,'COMPARAÇAO CENTROS DE CUSTO'!$B13,AUXILIAR!$O$6:$O$941,'COMPARAÇAO CENTROS DE CUSTO'!M$7,AUXILIAR!$I$6:$I$941,"DESPESAS")</f>
        <v>0</v>
      </c>
      <c r="N13" s="13">
        <f>SUMIFS(AUXILIAR!$G$6:$G$941,AUXILIAR!$F$6:$F$941,'COMPARAÇAO CENTROS DE CUSTO'!$B13,AUXILIAR!$O$6:$O$941,'COMPARAÇAO CENTROS DE CUSTO'!N$7,AUXILIAR!$I$6:$I$941,"RECEITAS")-SUMIFS(AUXILIAR!$G$6:$G$941,AUXILIAR!$F$6:$F$941,'COMPARAÇAO CENTROS DE CUSTO'!$B13,AUXILIAR!$O$6:$O$941,'COMPARAÇAO CENTROS DE CUSTO'!N$7,AUXILIAR!$I$6:$I$941,"DESPESAS")</f>
        <v>-19</v>
      </c>
      <c r="O13" s="13">
        <f t="shared" si="0"/>
        <v>-19</v>
      </c>
    </row>
    <row r="14" spans="1:16" ht="30" customHeight="1" x14ac:dyDescent="0.25">
      <c r="B14" s="13" t="str">
        <f>'CENTRO DE CUSTO'!B14</f>
        <v>VILA ALICE</v>
      </c>
      <c r="C14" s="13">
        <f>SUMIFS(AUXILIAR!$G$6:$G$941,AUXILIAR!$F$6:$F$941,'COMPARAÇAO CENTROS DE CUSTO'!$B14,AUXILIAR!$O$6:$O$941,'COMPARAÇAO CENTROS DE CUSTO'!C$7,AUXILIAR!$I$6:$I$941,"RECEITAS")-SUMIFS(AUXILIAR!$G$6:$G$941,AUXILIAR!$F$6:$F$941,'COMPARAÇAO CENTROS DE CUSTO'!$B14,AUXILIAR!$O$6:$O$941,'COMPARAÇAO CENTROS DE CUSTO'!C$7,AUXILIAR!$I$6:$I$941,"DESPESAS")</f>
        <v>14</v>
      </c>
      <c r="D14" s="13">
        <f>SUMIFS(AUXILIAR!$G$6:$G$941,AUXILIAR!$F$6:$F$941,'COMPARAÇAO CENTROS DE CUSTO'!$B14,AUXILIAR!$O$6:$O$941,'COMPARAÇAO CENTROS DE CUSTO'!D$7,AUXILIAR!$I$6:$I$941,"RECEITAS")-SUMIFS(AUXILIAR!$G$6:$G$941,AUXILIAR!$F$6:$F$941,'COMPARAÇAO CENTROS DE CUSTO'!$B14,AUXILIAR!$O$6:$O$941,'COMPARAÇAO CENTROS DE CUSTO'!D$7,AUXILIAR!$I$6:$I$941,"DESPESAS")</f>
        <v>0</v>
      </c>
      <c r="E14" s="13">
        <f>SUMIFS(AUXILIAR!$G$6:$G$941,AUXILIAR!$F$6:$F$941,'COMPARAÇAO CENTROS DE CUSTO'!$B14,AUXILIAR!$O$6:$O$941,'COMPARAÇAO CENTROS DE CUSTO'!E$7,AUXILIAR!$I$6:$I$941,"RECEITAS")-SUMIFS(AUXILIAR!$G$6:$G$941,AUXILIAR!$F$6:$F$941,'COMPARAÇAO CENTROS DE CUSTO'!$B14,AUXILIAR!$O$6:$O$941,'COMPARAÇAO CENTROS DE CUSTO'!E$7,AUXILIAR!$I$6:$I$941,"DESPESAS")</f>
        <v>0</v>
      </c>
      <c r="F14" s="13">
        <f>SUMIFS(AUXILIAR!$G$6:$G$941,AUXILIAR!$F$6:$F$941,'COMPARAÇAO CENTROS DE CUSTO'!$B14,AUXILIAR!$O$6:$O$941,'COMPARAÇAO CENTROS DE CUSTO'!F$7,AUXILIAR!$I$6:$I$941,"RECEITAS")-SUMIFS(AUXILIAR!$G$6:$G$941,AUXILIAR!$F$6:$F$941,'COMPARAÇAO CENTROS DE CUSTO'!$B14,AUXILIAR!$O$6:$O$941,'COMPARAÇAO CENTROS DE CUSTO'!F$7,AUXILIAR!$I$6:$I$941,"DESPESAS")</f>
        <v>0</v>
      </c>
      <c r="G14" s="13">
        <f>SUMIFS(AUXILIAR!$G$6:$G$941,AUXILIAR!$F$6:$F$941,'COMPARAÇAO CENTROS DE CUSTO'!$B14,AUXILIAR!$O$6:$O$941,'COMPARAÇAO CENTROS DE CUSTO'!G$7,AUXILIAR!$I$6:$I$941,"RECEITAS")-SUMIFS(AUXILIAR!$G$6:$G$941,AUXILIAR!$F$6:$F$941,'COMPARAÇAO CENTROS DE CUSTO'!$B14,AUXILIAR!$O$6:$O$941,'COMPARAÇAO CENTROS DE CUSTO'!G$7,AUXILIAR!$I$6:$I$941,"DESPESAS")</f>
        <v>0</v>
      </c>
      <c r="H14" s="13">
        <f>SUMIFS(AUXILIAR!$G$6:$G$941,AUXILIAR!$F$6:$F$941,'COMPARAÇAO CENTROS DE CUSTO'!$B14,AUXILIAR!$O$6:$O$941,'COMPARAÇAO CENTROS DE CUSTO'!H$7,AUXILIAR!$I$6:$I$941,"RECEITAS")-SUMIFS(AUXILIAR!$G$6:$G$941,AUXILIAR!$F$6:$F$941,'COMPARAÇAO CENTROS DE CUSTO'!$B14,AUXILIAR!$O$6:$O$941,'COMPARAÇAO CENTROS DE CUSTO'!H$7,AUXILIAR!$I$6:$I$941,"DESPESAS")</f>
        <v>0</v>
      </c>
      <c r="I14" s="13">
        <f>SUMIFS(AUXILIAR!$G$6:$G$941,AUXILIAR!$F$6:$F$941,'COMPARAÇAO CENTROS DE CUSTO'!$B14,AUXILIAR!$O$6:$O$941,'COMPARAÇAO CENTROS DE CUSTO'!I$7,AUXILIAR!$I$6:$I$941,"RECEITAS")-SUMIFS(AUXILIAR!$G$6:$G$941,AUXILIAR!$F$6:$F$941,'COMPARAÇAO CENTROS DE CUSTO'!$B14,AUXILIAR!$O$6:$O$941,'COMPARAÇAO CENTROS DE CUSTO'!I$7,AUXILIAR!$I$6:$I$941,"DESPESAS")</f>
        <v>0</v>
      </c>
      <c r="J14" s="13">
        <f>SUMIFS(AUXILIAR!$G$6:$G$941,AUXILIAR!$F$6:$F$941,'COMPARAÇAO CENTROS DE CUSTO'!$B14,AUXILIAR!$O$6:$O$941,'COMPARAÇAO CENTROS DE CUSTO'!J$7,AUXILIAR!$I$6:$I$941,"RECEITAS")-SUMIFS(AUXILIAR!$G$6:$G$941,AUXILIAR!$F$6:$F$941,'COMPARAÇAO CENTROS DE CUSTO'!$B14,AUXILIAR!$O$6:$O$941,'COMPARAÇAO CENTROS DE CUSTO'!J$7,AUXILIAR!$I$6:$I$941,"DESPESAS")</f>
        <v>0</v>
      </c>
      <c r="K14" s="13">
        <f>SUMIFS(AUXILIAR!$G$6:$G$941,AUXILIAR!$F$6:$F$941,'COMPARAÇAO CENTROS DE CUSTO'!$B14,AUXILIAR!$O$6:$O$941,'COMPARAÇAO CENTROS DE CUSTO'!K$7,AUXILIAR!$I$6:$I$941,"RECEITAS")-SUMIFS(AUXILIAR!$G$6:$G$941,AUXILIAR!$F$6:$F$941,'COMPARAÇAO CENTROS DE CUSTO'!$B14,AUXILIAR!$O$6:$O$941,'COMPARAÇAO CENTROS DE CUSTO'!K$7,AUXILIAR!$I$6:$I$941,"DESPESAS")</f>
        <v>0</v>
      </c>
      <c r="L14" s="13">
        <f>SUMIFS(AUXILIAR!$G$6:$G$941,AUXILIAR!$F$6:$F$941,'COMPARAÇAO CENTROS DE CUSTO'!$B14,AUXILIAR!$O$6:$O$941,'COMPARAÇAO CENTROS DE CUSTO'!L$7,AUXILIAR!$I$6:$I$941,"RECEITAS")-SUMIFS(AUXILIAR!$G$6:$G$941,AUXILIAR!$F$6:$F$941,'COMPARAÇAO CENTROS DE CUSTO'!$B14,AUXILIAR!$O$6:$O$941,'COMPARAÇAO CENTROS DE CUSTO'!L$7,AUXILIAR!$I$6:$I$941,"DESPESAS")</f>
        <v>0</v>
      </c>
      <c r="M14" s="13">
        <f>SUMIFS(AUXILIAR!$G$6:$G$941,AUXILIAR!$F$6:$F$941,'COMPARAÇAO CENTROS DE CUSTO'!$B14,AUXILIAR!$O$6:$O$941,'COMPARAÇAO CENTROS DE CUSTO'!M$7,AUXILIAR!$I$6:$I$941,"RECEITAS")-SUMIFS(AUXILIAR!$G$6:$G$941,AUXILIAR!$F$6:$F$941,'COMPARAÇAO CENTROS DE CUSTO'!$B14,AUXILIAR!$O$6:$O$941,'COMPARAÇAO CENTROS DE CUSTO'!M$7,AUXILIAR!$I$6:$I$941,"DESPESAS")</f>
        <v>0</v>
      </c>
      <c r="N14" s="13">
        <f>SUMIFS(AUXILIAR!$G$6:$G$941,AUXILIAR!$F$6:$F$941,'COMPARAÇAO CENTROS DE CUSTO'!$B14,AUXILIAR!$O$6:$O$941,'COMPARAÇAO CENTROS DE CUSTO'!N$7,AUXILIAR!$I$6:$I$941,"RECEITAS")-SUMIFS(AUXILIAR!$G$6:$G$941,AUXILIAR!$F$6:$F$941,'COMPARAÇAO CENTROS DE CUSTO'!$B14,AUXILIAR!$O$6:$O$941,'COMPARAÇAO CENTROS DE CUSTO'!N$7,AUXILIAR!$I$6:$I$941,"DESPESAS")</f>
        <v>0</v>
      </c>
      <c r="O14" s="13">
        <f t="shared" si="0"/>
        <v>14</v>
      </c>
    </row>
    <row r="15" spans="1:16" ht="53.25" customHeight="1" x14ac:dyDescent="0.25">
      <c r="B15" s="13" t="str">
        <f>'CENTRO DE CUSTO'!B15</f>
        <v>CATETE</v>
      </c>
      <c r="C15" s="13">
        <f>SUMIFS(AUXILIAR!$G$6:$G$941,AUXILIAR!$F$6:$F$941,'COMPARAÇAO CENTROS DE CUSTO'!$B15,AUXILIAR!$O$6:$O$941,'COMPARAÇAO CENTROS DE CUSTO'!C$7,AUXILIAR!$I$6:$I$941,"RECEITAS")-SUMIFS(AUXILIAR!$G$6:$G$941,AUXILIAR!$F$6:$F$941,'COMPARAÇAO CENTROS DE CUSTO'!$B15,AUXILIAR!$O$6:$O$941,'COMPARAÇAO CENTROS DE CUSTO'!C$7,AUXILIAR!$I$6:$I$941,"DESPESAS")</f>
        <v>0</v>
      </c>
      <c r="D15" s="13">
        <f>SUMIFS(AUXILIAR!$G$6:$G$941,AUXILIAR!$F$6:$F$941,'COMPARAÇAO CENTROS DE CUSTO'!$B15,AUXILIAR!$O$6:$O$941,'COMPARAÇAO CENTROS DE CUSTO'!D$7,AUXILIAR!$I$6:$I$941,"RECEITAS")-SUMIFS(AUXILIAR!$G$6:$G$941,AUXILIAR!$F$6:$F$941,'COMPARAÇAO CENTROS DE CUSTO'!$B15,AUXILIAR!$O$6:$O$941,'COMPARAÇAO CENTROS DE CUSTO'!D$7,AUXILIAR!$I$6:$I$941,"DESPESAS")</f>
        <v>0</v>
      </c>
      <c r="E15" s="13">
        <f>SUMIFS(AUXILIAR!$G$6:$G$941,AUXILIAR!$F$6:$F$941,'COMPARAÇAO CENTROS DE CUSTO'!$B15,AUXILIAR!$O$6:$O$941,'COMPARAÇAO CENTROS DE CUSTO'!E$7,AUXILIAR!$I$6:$I$941,"RECEITAS")-SUMIFS(AUXILIAR!$G$6:$G$941,AUXILIAR!$F$6:$F$941,'COMPARAÇAO CENTROS DE CUSTO'!$B15,AUXILIAR!$O$6:$O$941,'COMPARAÇAO CENTROS DE CUSTO'!E$7,AUXILIAR!$I$6:$I$941,"DESPESAS")</f>
        <v>0</v>
      </c>
      <c r="F15" s="13">
        <f>SUMIFS(AUXILIAR!$G$6:$G$941,AUXILIAR!$F$6:$F$941,'COMPARAÇAO CENTROS DE CUSTO'!$B15,AUXILIAR!$O$6:$O$941,'COMPARAÇAO CENTROS DE CUSTO'!F$7,AUXILIAR!$I$6:$I$941,"RECEITAS")-SUMIFS(AUXILIAR!$G$6:$G$941,AUXILIAR!$F$6:$F$941,'COMPARAÇAO CENTROS DE CUSTO'!$B15,AUXILIAR!$O$6:$O$941,'COMPARAÇAO CENTROS DE CUSTO'!F$7,AUXILIAR!$I$6:$I$941,"DESPESAS")</f>
        <v>0</v>
      </c>
      <c r="G15" s="13">
        <f>SUMIFS(AUXILIAR!$G$6:$G$941,AUXILIAR!$F$6:$F$941,'COMPARAÇAO CENTROS DE CUSTO'!$B15,AUXILIAR!$O$6:$O$941,'COMPARAÇAO CENTROS DE CUSTO'!G$7,AUXILIAR!$I$6:$I$941,"RECEITAS")-SUMIFS(AUXILIAR!$G$6:$G$941,AUXILIAR!$F$6:$F$941,'COMPARAÇAO CENTROS DE CUSTO'!$B15,AUXILIAR!$O$6:$O$941,'COMPARAÇAO CENTROS DE CUSTO'!G$7,AUXILIAR!$I$6:$I$941,"DESPESAS")</f>
        <v>0</v>
      </c>
      <c r="H15" s="13">
        <f>SUMIFS(AUXILIAR!$G$6:$G$941,AUXILIAR!$F$6:$F$941,'COMPARAÇAO CENTROS DE CUSTO'!$B15,AUXILIAR!$O$6:$O$941,'COMPARAÇAO CENTROS DE CUSTO'!H$7,AUXILIAR!$I$6:$I$941,"RECEITAS")-SUMIFS(AUXILIAR!$G$6:$G$941,AUXILIAR!$F$6:$F$941,'COMPARAÇAO CENTROS DE CUSTO'!$B15,AUXILIAR!$O$6:$O$941,'COMPARAÇAO CENTROS DE CUSTO'!H$7,AUXILIAR!$I$6:$I$941,"DESPESAS")</f>
        <v>0</v>
      </c>
      <c r="I15" s="13">
        <f>SUMIFS(AUXILIAR!$G$6:$G$941,AUXILIAR!$F$6:$F$941,'COMPARAÇAO CENTROS DE CUSTO'!$B15,AUXILIAR!$O$6:$O$941,'COMPARAÇAO CENTROS DE CUSTO'!I$7,AUXILIAR!$I$6:$I$941,"RECEITAS")-SUMIFS(AUXILIAR!$G$6:$G$941,AUXILIAR!$F$6:$F$941,'COMPARAÇAO CENTROS DE CUSTO'!$B15,AUXILIAR!$O$6:$O$941,'COMPARAÇAO CENTROS DE CUSTO'!I$7,AUXILIAR!$I$6:$I$941,"DESPESAS")</f>
        <v>0</v>
      </c>
      <c r="J15" s="13">
        <f>SUMIFS(AUXILIAR!$G$6:$G$941,AUXILIAR!$F$6:$F$941,'COMPARAÇAO CENTROS DE CUSTO'!$B15,AUXILIAR!$O$6:$O$941,'COMPARAÇAO CENTROS DE CUSTO'!J$7,AUXILIAR!$I$6:$I$941,"RECEITAS")-SUMIFS(AUXILIAR!$G$6:$G$941,AUXILIAR!$F$6:$F$941,'COMPARAÇAO CENTROS DE CUSTO'!$B15,AUXILIAR!$O$6:$O$941,'COMPARAÇAO CENTROS DE CUSTO'!J$7,AUXILIAR!$I$6:$I$941,"DESPESAS")</f>
        <v>0</v>
      </c>
      <c r="K15" s="13">
        <f>SUMIFS(AUXILIAR!$G$6:$G$941,AUXILIAR!$F$6:$F$941,'COMPARAÇAO CENTROS DE CUSTO'!$B15,AUXILIAR!$O$6:$O$941,'COMPARAÇAO CENTROS DE CUSTO'!K$7,AUXILIAR!$I$6:$I$941,"RECEITAS")-SUMIFS(AUXILIAR!$G$6:$G$941,AUXILIAR!$F$6:$F$941,'COMPARAÇAO CENTROS DE CUSTO'!$B15,AUXILIAR!$O$6:$O$941,'COMPARAÇAO CENTROS DE CUSTO'!K$7,AUXILIAR!$I$6:$I$941,"DESPESAS")</f>
        <v>0</v>
      </c>
      <c r="L15" s="13">
        <f>SUMIFS(AUXILIAR!$G$6:$G$941,AUXILIAR!$F$6:$F$941,'COMPARAÇAO CENTROS DE CUSTO'!$B15,AUXILIAR!$O$6:$O$941,'COMPARAÇAO CENTROS DE CUSTO'!L$7,AUXILIAR!$I$6:$I$941,"RECEITAS")-SUMIFS(AUXILIAR!$G$6:$G$941,AUXILIAR!$F$6:$F$941,'COMPARAÇAO CENTROS DE CUSTO'!$B15,AUXILIAR!$O$6:$O$941,'COMPARAÇAO CENTROS DE CUSTO'!L$7,AUXILIAR!$I$6:$I$941,"DESPESAS")</f>
        <v>0</v>
      </c>
      <c r="M15" s="13">
        <f>SUMIFS(AUXILIAR!$G$6:$G$941,AUXILIAR!$F$6:$F$941,'COMPARAÇAO CENTROS DE CUSTO'!$B15,AUXILIAR!$O$6:$O$941,'COMPARAÇAO CENTROS DE CUSTO'!M$7,AUXILIAR!$I$6:$I$941,"RECEITAS")-SUMIFS(AUXILIAR!$G$6:$G$941,AUXILIAR!$F$6:$F$941,'COMPARAÇAO CENTROS DE CUSTO'!$B15,AUXILIAR!$O$6:$O$941,'COMPARAÇAO CENTROS DE CUSTO'!M$7,AUXILIAR!$I$6:$I$941,"DESPESAS")</f>
        <v>-13</v>
      </c>
      <c r="N15" s="13">
        <f>SUMIFS(AUXILIAR!$G$6:$G$941,AUXILIAR!$F$6:$F$941,'COMPARAÇAO CENTROS DE CUSTO'!$B15,AUXILIAR!$O$6:$O$941,'COMPARAÇAO CENTROS DE CUSTO'!N$7,AUXILIAR!$I$6:$I$941,"RECEITAS")-SUMIFS(AUXILIAR!$G$6:$G$941,AUXILIAR!$F$6:$F$941,'COMPARAÇAO CENTROS DE CUSTO'!$B15,AUXILIAR!$O$6:$O$941,'COMPARAÇAO CENTROS DE CUSTO'!N$7,AUXILIAR!$I$6:$I$941,"DESPESAS")</f>
        <v>0</v>
      </c>
      <c r="O15" s="13">
        <f t="shared" si="0"/>
        <v>-13</v>
      </c>
    </row>
    <row r="16" spans="1:16" ht="42" customHeight="1" x14ac:dyDescent="0.25">
      <c r="B16" s="13" t="str">
        <f>'CENTRO DE CUSTO'!B16</f>
        <v>ZANGO 8000</v>
      </c>
      <c r="C16" s="13">
        <f>SUMIFS(AUXILIAR!$G$6:$G$941,AUXILIAR!$F$6:$F$941,'COMPARAÇAO CENTROS DE CUSTO'!$B16,AUXILIAR!$O$6:$O$941,'COMPARAÇAO CENTROS DE CUSTO'!C$7,AUXILIAR!$I$6:$I$941,"RECEITAS")-SUMIFS(AUXILIAR!$G$6:$G$941,AUXILIAR!$F$6:$F$941,'COMPARAÇAO CENTROS DE CUSTO'!$B16,AUXILIAR!$O$6:$O$941,'COMPARAÇAO CENTROS DE CUSTO'!C$7,AUXILIAR!$I$6:$I$941,"DESPESAS")</f>
        <v>0</v>
      </c>
      <c r="D16" s="13">
        <f>SUMIFS(AUXILIAR!$G$6:$G$941,AUXILIAR!$F$6:$F$941,'COMPARAÇAO CENTROS DE CUSTO'!$B16,AUXILIAR!$O$6:$O$941,'COMPARAÇAO CENTROS DE CUSTO'!D$7,AUXILIAR!$I$6:$I$941,"RECEITAS")-SUMIFS(AUXILIAR!$G$6:$G$941,AUXILIAR!$F$6:$F$941,'COMPARAÇAO CENTROS DE CUSTO'!$B16,AUXILIAR!$O$6:$O$941,'COMPARAÇAO CENTROS DE CUSTO'!D$7,AUXILIAR!$I$6:$I$941,"DESPESAS")</f>
        <v>0</v>
      </c>
      <c r="E16" s="13">
        <f>SUMIFS(AUXILIAR!$G$6:$G$941,AUXILIAR!$F$6:$F$941,'COMPARAÇAO CENTROS DE CUSTO'!$B16,AUXILIAR!$O$6:$O$941,'COMPARAÇAO CENTROS DE CUSTO'!E$7,AUXILIAR!$I$6:$I$941,"RECEITAS")-SUMIFS(AUXILIAR!$G$6:$G$941,AUXILIAR!$F$6:$F$941,'COMPARAÇAO CENTROS DE CUSTO'!$B16,AUXILIAR!$O$6:$O$941,'COMPARAÇAO CENTROS DE CUSTO'!E$7,AUXILIAR!$I$6:$I$941,"DESPESAS")</f>
        <v>0</v>
      </c>
      <c r="F16" s="13">
        <f>SUMIFS(AUXILIAR!$G$6:$G$941,AUXILIAR!$F$6:$F$941,'COMPARAÇAO CENTROS DE CUSTO'!$B16,AUXILIAR!$O$6:$O$941,'COMPARAÇAO CENTROS DE CUSTO'!F$7,AUXILIAR!$I$6:$I$941,"RECEITAS")-SUMIFS(AUXILIAR!$G$6:$G$941,AUXILIAR!$F$6:$F$941,'COMPARAÇAO CENTROS DE CUSTO'!$B16,AUXILIAR!$O$6:$O$941,'COMPARAÇAO CENTROS DE CUSTO'!F$7,AUXILIAR!$I$6:$I$941,"DESPESAS")</f>
        <v>0</v>
      </c>
      <c r="G16" s="13">
        <f>SUMIFS(AUXILIAR!$G$6:$G$941,AUXILIAR!$F$6:$F$941,'COMPARAÇAO CENTROS DE CUSTO'!$B16,AUXILIAR!$O$6:$O$941,'COMPARAÇAO CENTROS DE CUSTO'!G$7,AUXILIAR!$I$6:$I$941,"RECEITAS")-SUMIFS(AUXILIAR!$G$6:$G$941,AUXILIAR!$F$6:$F$941,'COMPARAÇAO CENTROS DE CUSTO'!$B16,AUXILIAR!$O$6:$O$941,'COMPARAÇAO CENTROS DE CUSTO'!G$7,AUXILIAR!$I$6:$I$941,"DESPESAS")</f>
        <v>0</v>
      </c>
      <c r="H16" s="13">
        <f>SUMIFS(AUXILIAR!$G$6:$G$941,AUXILIAR!$F$6:$F$941,'COMPARAÇAO CENTROS DE CUSTO'!$B16,AUXILIAR!$O$6:$O$941,'COMPARAÇAO CENTROS DE CUSTO'!H$7,AUXILIAR!$I$6:$I$941,"RECEITAS")-SUMIFS(AUXILIAR!$G$6:$G$941,AUXILIAR!$F$6:$F$941,'COMPARAÇAO CENTROS DE CUSTO'!$B16,AUXILIAR!$O$6:$O$941,'COMPARAÇAO CENTROS DE CUSTO'!H$7,AUXILIAR!$I$6:$I$941,"DESPESAS")</f>
        <v>0</v>
      </c>
      <c r="I16" s="13">
        <f>SUMIFS(AUXILIAR!$G$6:$G$941,AUXILIAR!$F$6:$F$941,'COMPARAÇAO CENTROS DE CUSTO'!$B16,AUXILIAR!$O$6:$O$941,'COMPARAÇAO CENTROS DE CUSTO'!I$7,AUXILIAR!$I$6:$I$941,"RECEITAS")-SUMIFS(AUXILIAR!$G$6:$G$941,AUXILIAR!$F$6:$F$941,'COMPARAÇAO CENTROS DE CUSTO'!$B16,AUXILIAR!$O$6:$O$941,'COMPARAÇAO CENTROS DE CUSTO'!I$7,AUXILIAR!$I$6:$I$941,"DESPESAS")</f>
        <v>0</v>
      </c>
      <c r="J16" s="13">
        <f>SUMIFS(AUXILIAR!$G$6:$G$941,AUXILIAR!$F$6:$F$941,'COMPARAÇAO CENTROS DE CUSTO'!$B16,AUXILIAR!$O$6:$O$941,'COMPARAÇAO CENTROS DE CUSTO'!J$7,AUXILIAR!$I$6:$I$941,"RECEITAS")-SUMIFS(AUXILIAR!$G$6:$G$941,AUXILIAR!$F$6:$F$941,'COMPARAÇAO CENTROS DE CUSTO'!$B16,AUXILIAR!$O$6:$O$941,'COMPARAÇAO CENTROS DE CUSTO'!J$7,AUXILIAR!$I$6:$I$941,"DESPESAS")</f>
        <v>0</v>
      </c>
      <c r="K16" s="13">
        <f>SUMIFS(AUXILIAR!$G$6:$G$941,AUXILIAR!$F$6:$F$941,'COMPARAÇAO CENTROS DE CUSTO'!$B16,AUXILIAR!$O$6:$O$941,'COMPARAÇAO CENTROS DE CUSTO'!K$7,AUXILIAR!$I$6:$I$941,"RECEITAS")-SUMIFS(AUXILIAR!$G$6:$G$941,AUXILIAR!$F$6:$F$941,'COMPARAÇAO CENTROS DE CUSTO'!$B16,AUXILIAR!$O$6:$O$941,'COMPARAÇAO CENTROS DE CUSTO'!K$7,AUXILIAR!$I$6:$I$941,"DESPESAS")</f>
        <v>0</v>
      </c>
      <c r="L16" s="13">
        <f>SUMIFS(AUXILIAR!$G$6:$G$941,AUXILIAR!$F$6:$F$941,'COMPARAÇAO CENTROS DE CUSTO'!$B16,AUXILIAR!$O$6:$O$941,'COMPARAÇAO CENTROS DE CUSTO'!L$7,AUXILIAR!$I$6:$I$941,"RECEITAS")-SUMIFS(AUXILIAR!$G$6:$G$941,AUXILIAR!$F$6:$F$941,'COMPARAÇAO CENTROS DE CUSTO'!$B16,AUXILIAR!$O$6:$O$941,'COMPARAÇAO CENTROS DE CUSTO'!L$7,AUXILIAR!$I$6:$I$941,"DESPESAS")</f>
        <v>0</v>
      </c>
      <c r="M16" s="13">
        <f>SUMIFS(AUXILIAR!$G$6:$G$941,AUXILIAR!$F$6:$F$941,'COMPARAÇAO CENTROS DE CUSTO'!$B16,AUXILIAR!$O$6:$O$941,'COMPARAÇAO CENTROS DE CUSTO'!M$7,AUXILIAR!$I$6:$I$941,"RECEITAS")-SUMIFS(AUXILIAR!$G$6:$G$941,AUXILIAR!$F$6:$F$941,'COMPARAÇAO CENTROS DE CUSTO'!$B16,AUXILIAR!$O$6:$O$941,'COMPARAÇAO CENTROS DE CUSTO'!M$7,AUXILIAR!$I$6:$I$941,"DESPESAS")</f>
        <v>0</v>
      </c>
      <c r="N16" s="13">
        <f>SUMIFS(AUXILIAR!$G$6:$G$941,AUXILIAR!$F$6:$F$941,'COMPARAÇAO CENTROS DE CUSTO'!$B16,AUXILIAR!$O$6:$O$941,'COMPARAÇAO CENTROS DE CUSTO'!N$7,AUXILIAR!$I$6:$I$941,"RECEITAS")-SUMIFS(AUXILIAR!$G$6:$G$941,AUXILIAR!$F$6:$F$941,'COMPARAÇAO CENTROS DE CUSTO'!$B16,AUXILIAR!$O$6:$O$941,'COMPARAÇAO CENTROS DE CUSTO'!N$7,AUXILIAR!$I$6:$I$941,"DESPESAS")</f>
        <v>0</v>
      </c>
      <c r="O16" s="13" t="str">
        <f t="shared" si="0"/>
        <v/>
      </c>
    </row>
    <row r="17" spans="2:15" ht="30" customHeight="1" x14ac:dyDescent="0.25">
      <c r="B17" s="13" t="str">
        <f>'CENTRO DE CUSTO'!B17</f>
        <v>ESTALAGEM</v>
      </c>
      <c r="C17" s="13">
        <f>SUMIFS(AUXILIAR!$G$6:$G$941,AUXILIAR!$F$6:$F$941,'COMPARAÇAO CENTROS DE CUSTO'!$B17,AUXILIAR!$O$6:$O$941,'COMPARAÇAO CENTROS DE CUSTO'!C$7,AUXILIAR!$I$6:$I$941,"RECEITAS")-SUMIFS(AUXILIAR!$G$6:$G$941,AUXILIAR!$F$6:$F$941,'COMPARAÇAO CENTROS DE CUSTO'!$B17,AUXILIAR!$O$6:$O$941,'COMPARAÇAO CENTROS DE CUSTO'!C$7,AUXILIAR!$I$6:$I$941,"DESPESAS")</f>
        <v>0</v>
      </c>
      <c r="D17" s="13">
        <f>SUMIFS(AUXILIAR!$G$6:$G$941,AUXILIAR!$F$6:$F$941,'COMPARAÇAO CENTROS DE CUSTO'!$B17,AUXILIAR!$O$6:$O$941,'COMPARAÇAO CENTROS DE CUSTO'!D$7,AUXILIAR!$I$6:$I$941,"RECEITAS")-SUMIFS(AUXILIAR!$G$6:$G$941,AUXILIAR!$F$6:$F$941,'COMPARAÇAO CENTROS DE CUSTO'!$B17,AUXILIAR!$O$6:$O$941,'COMPARAÇAO CENTROS DE CUSTO'!D$7,AUXILIAR!$I$6:$I$941,"DESPESAS")</f>
        <v>0</v>
      </c>
      <c r="E17" s="13">
        <f>SUMIFS(AUXILIAR!$G$6:$G$941,AUXILIAR!$F$6:$F$941,'COMPARAÇAO CENTROS DE CUSTO'!$B17,AUXILIAR!$O$6:$O$941,'COMPARAÇAO CENTROS DE CUSTO'!E$7,AUXILIAR!$I$6:$I$941,"RECEITAS")-SUMIFS(AUXILIAR!$G$6:$G$941,AUXILIAR!$F$6:$F$941,'COMPARAÇAO CENTROS DE CUSTO'!$B17,AUXILIAR!$O$6:$O$941,'COMPARAÇAO CENTROS DE CUSTO'!E$7,AUXILIAR!$I$6:$I$941,"DESPESAS")</f>
        <v>0</v>
      </c>
      <c r="F17" s="13">
        <f>SUMIFS(AUXILIAR!$G$6:$G$941,AUXILIAR!$F$6:$F$941,'COMPARAÇAO CENTROS DE CUSTO'!$B17,AUXILIAR!$O$6:$O$941,'COMPARAÇAO CENTROS DE CUSTO'!F$7,AUXILIAR!$I$6:$I$941,"RECEITAS")-SUMIFS(AUXILIAR!$G$6:$G$941,AUXILIAR!$F$6:$F$941,'COMPARAÇAO CENTROS DE CUSTO'!$B17,AUXILIAR!$O$6:$O$941,'COMPARAÇAO CENTROS DE CUSTO'!F$7,AUXILIAR!$I$6:$I$941,"DESPESAS")</f>
        <v>0</v>
      </c>
      <c r="G17" s="13">
        <f>SUMIFS(AUXILIAR!$G$6:$G$941,AUXILIAR!$F$6:$F$941,'COMPARAÇAO CENTROS DE CUSTO'!$B17,AUXILIAR!$O$6:$O$941,'COMPARAÇAO CENTROS DE CUSTO'!G$7,AUXILIAR!$I$6:$I$941,"RECEITAS")-SUMIFS(AUXILIAR!$G$6:$G$941,AUXILIAR!$F$6:$F$941,'COMPARAÇAO CENTROS DE CUSTO'!$B17,AUXILIAR!$O$6:$O$941,'COMPARAÇAO CENTROS DE CUSTO'!G$7,AUXILIAR!$I$6:$I$941,"DESPESAS")</f>
        <v>0</v>
      </c>
      <c r="H17" s="13">
        <f>SUMIFS(AUXILIAR!$G$6:$G$941,AUXILIAR!$F$6:$F$941,'COMPARAÇAO CENTROS DE CUSTO'!$B17,AUXILIAR!$O$6:$O$941,'COMPARAÇAO CENTROS DE CUSTO'!H$7,AUXILIAR!$I$6:$I$941,"RECEITAS")-SUMIFS(AUXILIAR!$G$6:$G$941,AUXILIAR!$F$6:$F$941,'COMPARAÇAO CENTROS DE CUSTO'!$B17,AUXILIAR!$O$6:$O$941,'COMPARAÇAO CENTROS DE CUSTO'!H$7,AUXILIAR!$I$6:$I$941,"DESPESAS")</f>
        <v>0</v>
      </c>
      <c r="I17" s="13">
        <f>SUMIFS(AUXILIAR!$G$6:$G$941,AUXILIAR!$F$6:$F$941,'COMPARAÇAO CENTROS DE CUSTO'!$B17,AUXILIAR!$O$6:$O$941,'COMPARAÇAO CENTROS DE CUSTO'!I$7,AUXILIAR!$I$6:$I$941,"RECEITAS")-SUMIFS(AUXILIAR!$G$6:$G$941,AUXILIAR!$F$6:$F$941,'COMPARAÇAO CENTROS DE CUSTO'!$B17,AUXILIAR!$O$6:$O$941,'COMPARAÇAO CENTROS DE CUSTO'!I$7,AUXILIAR!$I$6:$I$941,"DESPESAS")</f>
        <v>0</v>
      </c>
      <c r="J17" s="13">
        <f>SUMIFS(AUXILIAR!$G$6:$G$941,AUXILIAR!$F$6:$F$941,'COMPARAÇAO CENTROS DE CUSTO'!$B17,AUXILIAR!$O$6:$O$941,'COMPARAÇAO CENTROS DE CUSTO'!J$7,AUXILIAR!$I$6:$I$941,"RECEITAS")-SUMIFS(AUXILIAR!$G$6:$G$941,AUXILIAR!$F$6:$F$941,'COMPARAÇAO CENTROS DE CUSTO'!$B17,AUXILIAR!$O$6:$O$941,'COMPARAÇAO CENTROS DE CUSTO'!J$7,AUXILIAR!$I$6:$I$941,"DESPESAS")</f>
        <v>0</v>
      </c>
      <c r="K17" s="13">
        <f>SUMIFS(AUXILIAR!$G$6:$G$941,AUXILIAR!$F$6:$F$941,'COMPARAÇAO CENTROS DE CUSTO'!$B17,AUXILIAR!$O$6:$O$941,'COMPARAÇAO CENTROS DE CUSTO'!K$7,AUXILIAR!$I$6:$I$941,"RECEITAS")-SUMIFS(AUXILIAR!$G$6:$G$941,AUXILIAR!$F$6:$F$941,'COMPARAÇAO CENTROS DE CUSTO'!$B17,AUXILIAR!$O$6:$O$941,'COMPARAÇAO CENTROS DE CUSTO'!K$7,AUXILIAR!$I$6:$I$941,"DESPESAS")</f>
        <v>0</v>
      </c>
      <c r="L17" s="13">
        <f>SUMIFS(AUXILIAR!$G$6:$G$941,AUXILIAR!$F$6:$F$941,'COMPARAÇAO CENTROS DE CUSTO'!$B17,AUXILIAR!$O$6:$O$941,'COMPARAÇAO CENTROS DE CUSTO'!L$7,AUXILIAR!$I$6:$I$941,"RECEITAS")-SUMIFS(AUXILIAR!$G$6:$G$941,AUXILIAR!$F$6:$F$941,'COMPARAÇAO CENTROS DE CUSTO'!$B17,AUXILIAR!$O$6:$O$941,'COMPARAÇAO CENTROS DE CUSTO'!L$7,AUXILIAR!$I$6:$I$941,"DESPESAS")</f>
        <v>0</v>
      </c>
      <c r="M17" s="13">
        <f>SUMIFS(AUXILIAR!$G$6:$G$941,AUXILIAR!$F$6:$F$941,'COMPARAÇAO CENTROS DE CUSTO'!$B17,AUXILIAR!$O$6:$O$941,'COMPARAÇAO CENTROS DE CUSTO'!M$7,AUXILIAR!$I$6:$I$941,"RECEITAS")-SUMIFS(AUXILIAR!$G$6:$G$941,AUXILIAR!$F$6:$F$941,'COMPARAÇAO CENTROS DE CUSTO'!$B17,AUXILIAR!$O$6:$O$941,'COMPARAÇAO CENTROS DE CUSTO'!M$7,AUXILIAR!$I$6:$I$941,"DESPESAS")</f>
        <v>-5</v>
      </c>
      <c r="N17" s="13">
        <f>SUMIFS(AUXILIAR!$G$6:$G$941,AUXILIAR!$F$6:$F$941,'COMPARAÇAO CENTROS DE CUSTO'!$B17,AUXILIAR!$O$6:$O$941,'COMPARAÇAO CENTROS DE CUSTO'!N$7,AUXILIAR!$I$6:$I$941,"RECEITAS")-SUMIFS(AUXILIAR!$G$6:$G$941,AUXILIAR!$F$6:$F$941,'COMPARAÇAO CENTROS DE CUSTO'!$B17,AUXILIAR!$O$6:$O$941,'COMPARAÇAO CENTROS DE CUSTO'!N$7,AUXILIAR!$I$6:$I$941,"DESPESAS")</f>
        <v>0</v>
      </c>
      <c r="O17" s="13">
        <f t="shared" si="0"/>
        <v>-5</v>
      </c>
    </row>
    <row r="18" spans="2:15" ht="29.25" customHeight="1" x14ac:dyDescent="0.25">
      <c r="B18" s="13" t="str">
        <f>'CENTRO DE CUSTO'!B18</f>
        <v>MUTAMBA</v>
      </c>
      <c r="C18" s="13">
        <f>SUMIFS(AUXILIAR!$G$6:$G$941,AUXILIAR!$F$6:$F$941,'COMPARAÇAO CENTROS DE CUSTO'!$B18,AUXILIAR!$O$6:$O$941,'COMPARAÇAO CENTROS DE CUSTO'!C$7,AUXILIAR!$I$6:$I$941,"RECEITAS")-SUMIFS(AUXILIAR!$G$6:$G$941,AUXILIAR!$F$6:$F$941,'COMPARAÇAO CENTROS DE CUSTO'!$B18,AUXILIAR!$O$6:$O$941,'COMPARAÇAO CENTROS DE CUSTO'!C$7,AUXILIAR!$I$6:$I$941,"DESPESAS")</f>
        <v>0</v>
      </c>
      <c r="D18" s="13">
        <f>SUMIFS(AUXILIAR!$G$6:$G$941,AUXILIAR!$F$6:$F$941,'COMPARAÇAO CENTROS DE CUSTO'!$B18,AUXILIAR!$O$6:$O$941,'COMPARAÇAO CENTROS DE CUSTO'!D$7,AUXILIAR!$I$6:$I$941,"RECEITAS")-SUMIFS(AUXILIAR!$G$6:$G$941,AUXILIAR!$F$6:$F$941,'COMPARAÇAO CENTROS DE CUSTO'!$B18,AUXILIAR!$O$6:$O$941,'COMPARAÇAO CENTROS DE CUSTO'!D$7,AUXILIAR!$I$6:$I$941,"DESPESAS")</f>
        <v>0</v>
      </c>
      <c r="E18" s="13">
        <f>SUMIFS(AUXILIAR!$G$6:$G$941,AUXILIAR!$F$6:$F$941,'COMPARAÇAO CENTROS DE CUSTO'!$B18,AUXILIAR!$O$6:$O$941,'COMPARAÇAO CENTROS DE CUSTO'!E$7,AUXILIAR!$I$6:$I$941,"RECEITAS")-SUMIFS(AUXILIAR!$G$6:$G$941,AUXILIAR!$F$6:$F$941,'COMPARAÇAO CENTROS DE CUSTO'!$B18,AUXILIAR!$O$6:$O$941,'COMPARAÇAO CENTROS DE CUSTO'!E$7,AUXILIAR!$I$6:$I$941,"DESPESAS")</f>
        <v>0</v>
      </c>
      <c r="F18" s="13">
        <f>SUMIFS(AUXILIAR!$G$6:$G$941,AUXILIAR!$F$6:$F$941,'COMPARAÇAO CENTROS DE CUSTO'!$B18,AUXILIAR!$O$6:$O$941,'COMPARAÇAO CENTROS DE CUSTO'!F$7,AUXILIAR!$I$6:$I$941,"RECEITAS")-SUMIFS(AUXILIAR!$G$6:$G$941,AUXILIAR!$F$6:$F$941,'COMPARAÇAO CENTROS DE CUSTO'!$B18,AUXILIAR!$O$6:$O$941,'COMPARAÇAO CENTROS DE CUSTO'!F$7,AUXILIAR!$I$6:$I$941,"DESPESAS")</f>
        <v>0</v>
      </c>
      <c r="G18" s="13">
        <f>SUMIFS(AUXILIAR!$G$6:$G$941,AUXILIAR!$F$6:$F$941,'COMPARAÇAO CENTROS DE CUSTO'!$B18,AUXILIAR!$O$6:$O$941,'COMPARAÇAO CENTROS DE CUSTO'!G$7,AUXILIAR!$I$6:$I$941,"RECEITAS")-SUMIFS(AUXILIAR!$G$6:$G$941,AUXILIAR!$F$6:$F$941,'COMPARAÇAO CENTROS DE CUSTO'!$B18,AUXILIAR!$O$6:$O$941,'COMPARAÇAO CENTROS DE CUSTO'!G$7,AUXILIAR!$I$6:$I$941,"DESPESAS")</f>
        <v>0</v>
      </c>
      <c r="H18" s="13">
        <f>SUMIFS(AUXILIAR!$G$6:$G$941,AUXILIAR!$F$6:$F$941,'COMPARAÇAO CENTROS DE CUSTO'!$B18,AUXILIAR!$O$6:$O$941,'COMPARAÇAO CENTROS DE CUSTO'!H$7,AUXILIAR!$I$6:$I$941,"RECEITAS")-SUMIFS(AUXILIAR!$G$6:$G$941,AUXILIAR!$F$6:$F$941,'COMPARAÇAO CENTROS DE CUSTO'!$B18,AUXILIAR!$O$6:$O$941,'COMPARAÇAO CENTROS DE CUSTO'!H$7,AUXILIAR!$I$6:$I$941,"DESPESAS")</f>
        <v>0</v>
      </c>
      <c r="I18" s="13">
        <f>SUMIFS(AUXILIAR!$G$6:$G$941,AUXILIAR!$F$6:$F$941,'COMPARAÇAO CENTROS DE CUSTO'!$B18,AUXILIAR!$O$6:$O$941,'COMPARAÇAO CENTROS DE CUSTO'!I$7,AUXILIAR!$I$6:$I$941,"RECEITAS")-SUMIFS(AUXILIAR!$G$6:$G$941,AUXILIAR!$F$6:$F$941,'COMPARAÇAO CENTROS DE CUSTO'!$B18,AUXILIAR!$O$6:$O$941,'COMPARAÇAO CENTROS DE CUSTO'!I$7,AUXILIAR!$I$6:$I$941,"DESPESAS")</f>
        <v>0</v>
      </c>
      <c r="J18" s="13">
        <f>SUMIFS(AUXILIAR!$G$6:$G$941,AUXILIAR!$F$6:$F$941,'COMPARAÇAO CENTROS DE CUSTO'!$B18,AUXILIAR!$O$6:$O$941,'COMPARAÇAO CENTROS DE CUSTO'!J$7,AUXILIAR!$I$6:$I$941,"RECEITAS")-SUMIFS(AUXILIAR!$G$6:$G$941,AUXILIAR!$F$6:$F$941,'COMPARAÇAO CENTROS DE CUSTO'!$B18,AUXILIAR!$O$6:$O$941,'COMPARAÇAO CENTROS DE CUSTO'!J$7,AUXILIAR!$I$6:$I$941,"DESPESAS")</f>
        <v>0</v>
      </c>
      <c r="K18" s="13">
        <f>SUMIFS(AUXILIAR!$G$6:$G$941,AUXILIAR!$F$6:$F$941,'COMPARAÇAO CENTROS DE CUSTO'!$B18,AUXILIAR!$O$6:$O$941,'COMPARAÇAO CENTROS DE CUSTO'!K$7,AUXILIAR!$I$6:$I$941,"RECEITAS")-SUMIFS(AUXILIAR!$G$6:$G$941,AUXILIAR!$F$6:$F$941,'COMPARAÇAO CENTROS DE CUSTO'!$B18,AUXILIAR!$O$6:$O$941,'COMPARAÇAO CENTROS DE CUSTO'!K$7,AUXILIAR!$I$6:$I$941,"DESPESAS")</f>
        <v>0</v>
      </c>
      <c r="L18" s="13">
        <f>SUMIFS(AUXILIAR!$G$6:$G$941,AUXILIAR!$F$6:$F$941,'COMPARAÇAO CENTROS DE CUSTO'!$B18,AUXILIAR!$O$6:$O$941,'COMPARAÇAO CENTROS DE CUSTO'!L$7,AUXILIAR!$I$6:$I$941,"RECEITAS")-SUMIFS(AUXILIAR!$G$6:$G$941,AUXILIAR!$F$6:$F$941,'COMPARAÇAO CENTROS DE CUSTO'!$B18,AUXILIAR!$O$6:$O$941,'COMPARAÇAO CENTROS DE CUSTO'!L$7,AUXILIAR!$I$6:$I$941,"DESPESAS")</f>
        <v>0</v>
      </c>
      <c r="M18" s="13">
        <f>SUMIFS(AUXILIAR!$G$6:$G$941,AUXILIAR!$F$6:$F$941,'COMPARAÇAO CENTROS DE CUSTO'!$B18,AUXILIAR!$O$6:$O$941,'COMPARAÇAO CENTROS DE CUSTO'!M$7,AUXILIAR!$I$6:$I$941,"RECEITAS")-SUMIFS(AUXILIAR!$G$6:$G$941,AUXILIAR!$F$6:$F$941,'COMPARAÇAO CENTROS DE CUSTO'!$B18,AUXILIAR!$O$6:$O$941,'COMPARAÇAO CENTROS DE CUSTO'!M$7,AUXILIAR!$I$6:$I$941,"DESPESAS")</f>
        <v>0</v>
      </c>
      <c r="N18" s="13">
        <f>SUMIFS(AUXILIAR!$G$6:$G$941,AUXILIAR!$F$6:$F$941,'COMPARAÇAO CENTROS DE CUSTO'!$B18,AUXILIAR!$O$6:$O$941,'COMPARAÇAO CENTROS DE CUSTO'!N$7,AUXILIAR!$I$6:$I$941,"RECEITAS")-SUMIFS(AUXILIAR!$G$6:$G$941,AUXILIAR!$F$6:$F$941,'COMPARAÇAO CENTROS DE CUSTO'!$B18,AUXILIAR!$O$6:$O$941,'COMPARAÇAO CENTROS DE CUSTO'!N$7,AUXILIAR!$I$6:$I$941,"DESPESAS")</f>
        <v>0</v>
      </c>
      <c r="O18" s="13" t="str">
        <f t="shared" si="0"/>
        <v/>
      </c>
    </row>
    <row r="19" spans="2:15" ht="30" customHeight="1" x14ac:dyDescent="0.25"/>
    <row r="20" spans="2:15" ht="30" customHeight="1" x14ac:dyDescent="0.25"/>
    <row r="21" spans="2:15" ht="30" customHeight="1" x14ac:dyDescent="0.25">
      <c r="G21" t="s">
        <v>79</v>
      </c>
    </row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>
      <c r="L28" t="s">
        <v>107</v>
      </c>
    </row>
    <row r="29" spans="2:15" ht="30" customHeight="1" x14ac:dyDescent="0.25"/>
    <row r="30" spans="2:15" ht="30" customHeight="1" x14ac:dyDescent="0.25"/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B7:O18 P7">
    <cfRule type="cellIs" dxfId="130" priority="13" operator="equal">
      <formula>"RECEITA"</formula>
    </cfRule>
    <cfRule type="cellIs" dxfId="129" priority="14" operator="equal">
      <formula>"DESPESA"</formula>
    </cfRule>
    <cfRule type="cellIs" dxfId="128" priority="15" operator="equal">
      <formula>"RECEITA"</formula>
    </cfRule>
    <cfRule type="cellIs" dxfId="127" priority="16" operator="equal">
      <formula>"DESPESA"</formula>
    </cfRule>
    <cfRule type="cellIs" dxfId="126" priority="17" operator="equal">
      <formula>"RECEITA"</formula>
    </cfRule>
    <cfRule type="cellIs" dxfId="125" priority="18" operator="equal">
      <formula>"DESPESA"</formula>
    </cfRule>
  </conditionalFormatting>
  <conditionalFormatting sqref="C11:O11 O18">
    <cfRule type="cellIs" dxfId="124" priority="5" operator="lessThan">
      <formula>0</formula>
    </cfRule>
    <cfRule type="cellIs" dxfId="123" priority="6" operator="greaterThan">
      <formula>0</formula>
    </cfRule>
  </conditionalFormatting>
  <conditionalFormatting sqref="C12:O12">
    <cfRule type="cellIs" dxfId="122" priority="3" operator="lessThan">
      <formula>0</formula>
    </cfRule>
    <cfRule type="cellIs" dxfId="121" priority="4" operator="greaterThan">
      <formula>0</formula>
    </cfRule>
  </conditionalFormatting>
  <conditionalFormatting sqref="O8:O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first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'COMPARAÇAO CENTROS DE CUSTO'!C8:N8</xm:f>
              <xm:sqref>P8</xm:sqref>
            </x14:sparkline>
            <x14:sparkline>
              <xm:f>'COMPARAÇAO CENTROS DE CUSTO'!C9:N9</xm:f>
              <xm:sqref>P9</xm:sqref>
            </x14:sparkline>
            <x14:sparkline>
              <xm:f>'COMPARAÇAO CENTROS DE CUSTO'!C10:N10</xm:f>
              <xm:sqref>P10</xm:sqref>
            </x14:sparkline>
            <x14:sparkline>
              <xm:f>'COMPARAÇAO CENTROS DE CUSTO'!C11:N11</xm:f>
              <xm:sqref>P11</xm:sqref>
            </x14:sparkline>
            <x14:sparkline>
              <xm:f>'COMPARAÇAO CENTROS DE CUSTO'!C12:N12</xm:f>
              <xm:sqref>P12</xm:sqref>
            </x14:sparkline>
            <x14:sparkline>
              <xm:f>'COMPARAÇAO CENTROS DE CUSTO'!C13:N13</xm:f>
              <xm:sqref>P13</xm:sqref>
            </x14:sparkline>
            <x14:sparkline>
              <xm:f>'COMPARAÇAO CENTROS DE CUSTO'!C14:N14</xm:f>
              <xm:sqref>P14</xm:sqref>
            </x14:sparkline>
            <x14:sparkline>
              <xm:f>'COMPARAÇAO CENTROS DE CUSTO'!C15:N15</xm:f>
              <xm:sqref>P15</xm:sqref>
            </x14:sparkline>
            <x14:sparkline>
              <xm:f>'COMPARAÇAO CENTROS DE CUSTO'!C16:N16</xm:f>
              <xm:sqref>P16</xm:sqref>
            </x14:sparkline>
            <x14:sparkline>
              <xm:f>'COMPARAÇAO CENTROS DE CUSTO'!C17:N17</xm:f>
              <xm:sqref>P17</xm:sqref>
            </x14:sparkline>
            <x14:sparkline>
              <xm:f>'COMPARAÇAO CENTROS DE CUSTO'!C18:N18</xm:f>
              <xm:sqref>P18</xm:sqref>
            </x14:sparkline>
          </x14:sparklines>
        </x14:sparklineGroup>
      </x14:sparklineGroup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4"/>
  <dimension ref="B1:P39"/>
  <sheetViews>
    <sheetView showGridLines="0" topLeftCell="A4" zoomScale="70" zoomScaleNormal="70" workbookViewId="0">
      <selection activeCell="C7" sqref="C7"/>
    </sheetView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2:16" s="60" customFormat="1" ht="31.5" customHeight="1" x14ac:dyDescent="0.25"/>
    <row r="2" spans="2:16" s="60" customFormat="1" ht="36" customHeight="1" x14ac:dyDescent="0.25"/>
    <row r="7" spans="2:16" ht="45.75" customHeight="1" x14ac:dyDescent="0.25">
      <c r="B7" s="69" t="s">
        <v>123</v>
      </c>
      <c r="C7" t="s">
        <v>116</v>
      </c>
    </row>
    <row r="8" spans="2:16" ht="30" customHeight="1" x14ac:dyDescent="0.25"/>
    <row r="9" spans="2:16" ht="23.25" x14ac:dyDescent="0.25">
      <c r="B9" s="13" t="s">
        <v>102</v>
      </c>
      <c r="C9" s="14" t="s">
        <v>20</v>
      </c>
      <c r="D9" s="14" t="s">
        <v>21</v>
      </c>
      <c r="E9" s="14" t="s">
        <v>22</v>
      </c>
      <c r="F9" s="14" t="s">
        <v>23</v>
      </c>
      <c r="G9" s="14" t="s">
        <v>24</v>
      </c>
      <c r="H9" s="14" t="s">
        <v>25</v>
      </c>
      <c r="I9" s="14" t="s">
        <v>26</v>
      </c>
      <c r="J9" s="14" t="s">
        <v>27</v>
      </c>
      <c r="K9" s="14" t="s">
        <v>28</v>
      </c>
      <c r="L9" s="14" t="s">
        <v>29</v>
      </c>
      <c r="M9" s="14" t="s">
        <v>30</v>
      </c>
      <c r="N9" s="14" t="s">
        <v>31</v>
      </c>
      <c r="O9" s="14" t="s">
        <v>37</v>
      </c>
      <c r="P9" s="14" t="s">
        <v>32</v>
      </c>
    </row>
    <row r="10" spans="2:16" ht="23.25" x14ac:dyDescent="0.25">
      <c r="B10" s="13" t="s">
        <v>33</v>
      </c>
      <c r="C10" s="47">
        <v>111</v>
      </c>
      <c r="D10" s="47">
        <f>C14</f>
        <v>125</v>
      </c>
      <c r="E10" s="47">
        <f t="shared" ref="E10:N10" si="0">D14</f>
        <v>125</v>
      </c>
      <c r="F10" s="47">
        <f t="shared" si="0"/>
        <v>125</v>
      </c>
      <c r="G10" s="47">
        <f t="shared" si="0"/>
        <v>125</v>
      </c>
      <c r="H10" s="47">
        <f t="shared" si="0"/>
        <v>125</v>
      </c>
      <c r="I10" s="47">
        <f t="shared" si="0"/>
        <v>125</v>
      </c>
      <c r="J10" s="47">
        <f t="shared" si="0"/>
        <v>125</v>
      </c>
      <c r="K10" s="47">
        <f t="shared" si="0"/>
        <v>125</v>
      </c>
      <c r="L10" s="47">
        <f t="shared" si="0"/>
        <v>125</v>
      </c>
      <c r="M10" s="47">
        <f t="shared" si="0"/>
        <v>125</v>
      </c>
      <c r="N10" s="47">
        <f t="shared" si="0"/>
        <v>125</v>
      </c>
      <c r="O10" s="47">
        <f>SUM(C10:N10)</f>
        <v>1486</v>
      </c>
      <c r="P10" s="47">
        <f>C10</f>
        <v>111</v>
      </c>
    </row>
    <row r="11" spans="2:16" ht="23.25" x14ac:dyDescent="0.25">
      <c r="B11" s="13" t="s">
        <v>34</v>
      </c>
      <c r="C11" s="47">
        <f>SUMIFS(AUXILIAR!$G$6:$G$941,AUXILIAR!$O$6:$O$941,'FLUXO DE CAIXA CENTROS'!C$9,AUXILIAR!$I$6:$I$941,'FLUXO DE CAIXA CENTROS'!$B11,AUXILIAR!$F$6:$F$941,'FLUXO DE CAIXA CENTROS'!$C$7)</f>
        <v>14</v>
      </c>
      <c r="D11" s="47">
        <f>SUMIFS(AUXILIAR!$G$6:$G$941,AUXILIAR!$O$6:$O$941,'FLUXO DE CAIXA CENTROS'!D$9,AUXILIAR!$I$6:$I$941,'FLUXO DE CAIXA CENTROS'!$B11,AUXILIAR!$F$6:$F$941,'FLUXO DE CAIXA CENTROS'!$C$7)</f>
        <v>0</v>
      </c>
      <c r="E11" s="47">
        <f>SUMIFS(AUXILIAR!$G$6:$G$941,AUXILIAR!$O$6:$O$941,'FLUXO DE CAIXA CENTROS'!E$9,AUXILIAR!$I$6:$I$941,'FLUXO DE CAIXA CENTROS'!$B11,AUXILIAR!$F$6:$F$941,'FLUXO DE CAIXA CENTROS'!$C$7)</f>
        <v>0</v>
      </c>
      <c r="F11" s="47">
        <f>SUMIFS(AUXILIAR!$G$6:$G$941,AUXILIAR!$O$6:$O$941,'FLUXO DE CAIXA CENTROS'!F$9,AUXILIAR!$I$6:$I$941,'FLUXO DE CAIXA CENTROS'!$B11,AUXILIAR!$F$6:$F$941,'FLUXO DE CAIXA CENTROS'!$C$7)</f>
        <v>0</v>
      </c>
      <c r="G11" s="47">
        <f>SUMIFS(AUXILIAR!$G$6:$G$941,AUXILIAR!$O$6:$O$941,'FLUXO DE CAIXA CENTROS'!G$9,AUXILIAR!$I$6:$I$941,'FLUXO DE CAIXA CENTROS'!$B11,AUXILIAR!$F$6:$F$941,'FLUXO DE CAIXA CENTROS'!$C$7)</f>
        <v>0</v>
      </c>
      <c r="H11" s="47">
        <f>SUMIFS(AUXILIAR!$G$6:$G$941,AUXILIAR!$O$6:$O$941,'FLUXO DE CAIXA CENTROS'!H$9,AUXILIAR!$I$6:$I$941,'FLUXO DE CAIXA CENTROS'!$B11,AUXILIAR!$F$6:$F$941,'FLUXO DE CAIXA CENTROS'!$C$7)</f>
        <v>0</v>
      </c>
      <c r="I11" s="47">
        <f>SUMIFS(AUXILIAR!$G$6:$G$941,AUXILIAR!$O$6:$O$941,'FLUXO DE CAIXA CENTROS'!I$9,AUXILIAR!$I$6:$I$941,'FLUXO DE CAIXA CENTROS'!$B11,AUXILIAR!$F$6:$F$941,'FLUXO DE CAIXA CENTROS'!$C$7)</f>
        <v>0</v>
      </c>
      <c r="J11" s="47">
        <f>SUMIFS(AUXILIAR!$G$6:$G$941,AUXILIAR!$O$6:$O$941,'FLUXO DE CAIXA CENTROS'!J$9,AUXILIAR!$I$6:$I$941,'FLUXO DE CAIXA CENTROS'!$B11,AUXILIAR!$F$6:$F$941,'FLUXO DE CAIXA CENTROS'!$C$7)</f>
        <v>0</v>
      </c>
      <c r="K11" s="47">
        <f>SUMIFS(AUXILIAR!$G$6:$G$941,AUXILIAR!$O$6:$O$941,'FLUXO DE CAIXA CENTROS'!K$9,AUXILIAR!$I$6:$I$941,'FLUXO DE CAIXA CENTROS'!$B11,AUXILIAR!$F$6:$F$941,'FLUXO DE CAIXA CENTROS'!$C$7)</f>
        <v>0</v>
      </c>
      <c r="L11" s="47">
        <f>SUMIFS(AUXILIAR!$G$6:$G$941,AUXILIAR!$O$6:$O$941,'FLUXO DE CAIXA CENTROS'!L$9,AUXILIAR!$I$6:$I$941,'FLUXO DE CAIXA CENTROS'!$B11,AUXILIAR!$F$6:$F$941,'FLUXO DE CAIXA CENTROS'!$C$7)</f>
        <v>0</v>
      </c>
      <c r="M11" s="47">
        <f>SUMIFS(AUXILIAR!$G$6:$G$941,AUXILIAR!$O$6:$O$941,'FLUXO DE CAIXA CENTROS'!M$9,AUXILIAR!$I$6:$I$941,'FLUXO DE CAIXA CENTROS'!$B11,AUXILIAR!$F$6:$F$941,'FLUXO DE CAIXA CENTROS'!$C$7)</f>
        <v>0</v>
      </c>
      <c r="N11" s="47">
        <f>SUMIFS(AUXILIAR!$G$6:$G$941,AUXILIAR!$O$6:$O$941,'FLUXO DE CAIXA CENTROS'!N$9,AUXILIAR!$I$6:$I$941,'FLUXO DE CAIXA CENTROS'!$B11,AUXILIAR!$F$6:$F$941,'FLUXO DE CAIXA CENTROS'!$C$7)</f>
        <v>0</v>
      </c>
      <c r="O11" s="47">
        <f>SUM(C11:N11)</f>
        <v>14</v>
      </c>
      <c r="P11" s="47">
        <f>SUM(C11:N11)</f>
        <v>14</v>
      </c>
    </row>
    <row r="12" spans="2:16" ht="23.25" x14ac:dyDescent="0.25">
      <c r="B12" s="13" t="s">
        <v>35</v>
      </c>
      <c r="C12" s="47">
        <f>SUMIFS(AUXILIAR!$G$6:$G$941,AUXILIAR!$O$6:$O$941,'FLUXO DE CAIXA CENTROS'!C$9,AUXILIAR!$I$6:$I$941,'FLUXO DE CAIXA CENTROS'!$B12,AUXILIAR!$F$6:$F$941,'FLUXO DE CAIXA CENTROS'!$C$7)</f>
        <v>0</v>
      </c>
      <c r="D12" s="47">
        <f>SUMIFS(AUXILIAR!$G$6:$G$941,AUXILIAR!$O$6:$O$941,'FLUXO DE CAIXA CENTROS'!D$9,AUXILIAR!$I$6:$I$941,'FLUXO DE CAIXA CENTROS'!$B12,AUXILIAR!$F$6:$F$941,'FLUXO DE CAIXA CENTROS'!$C$7)</f>
        <v>0</v>
      </c>
      <c r="E12" s="47">
        <f>SUMIFS(AUXILIAR!$G$6:$G$941,AUXILIAR!$O$6:$O$941,'FLUXO DE CAIXA CENTROS'!E$9,AUXILIAR!$I$6:$I$941,'FLUXO DE CAIXA CENTROS'!$B12,AUXILIAR!$F$6:$F$941,'FLUXO DE CAIXA CENTROS'!$C$7)</f>
        <v>0</v>
      </c>
      <c r="F12" s="47">
        <f>SUMIFS(AUXILIAR!$G$6:$G$941,AUXILIAR!$O$6:$O$941,'FLUXO DE CAIXA CENTROS'!F$9,AUXILIAR!$I$6:$I$941,'FLUXO DE CAIXA CENTROS'!$B12,AUXILIAR!$F$6:$F$941,'FLUXO DE CAIXA CENTROS'!$C$7)</f>
        <v>0</v>
      </c>
      <c r="G12" s="47">
        <f>SUMIFS(AUXILIAR!$G$6:$G$941,AUXILIAR!$O$6:$O$941,'FLUXO DE CAIXA CENTROS'!G$9,AUXILIAR!$I$6:$I$941,'FLUXO DE CAIXA CENTROS'!$B12,AUXILIAR!$F$6:$F$941,'FLUXO DE CAIXA CENTROS'!$C$7)</f>
        <v>0</v>
      </c>
      <c r="H12" s="47">
        <f>SUMIFS(AUXILIAR!$G$6:$G$941,AUXILIAR!$O$6:$O$941,'FLUXO DE CAIXA CENTROS'!H$9,AUXILIAR!$I$6:$I$941,'FLUXO DE CAIXA CENTROS'!$B12,AUXILIAR!$F$6:$F$941,'FLUXO DE CAIXA CENTROS'!$C$7)</f>
        <v>0</v>
      </c>
      <c r="I12" s="47">
        <f>SUMIFS(AUXILIAR!$G$6:$G$941,AUXILIAR!$O$6:$O$941,'FLUXO DE CAIXA CENTROS'!I$9,AUXILIAR!$I$6:$I$941,'FLUXO DE CAIXA CENTROS'!$B12,AUXILIAR!$F$6:$F$941,'FLUXO DE CAIXA CENTROS'!$C$7)</f>
        <v>0</v>
      </c>
      <c r="J12" s="47">
        <f>SUMIFS(AUXILIAR!$G$6:$G$941,AUXILIAR!$O$6:$O$941,'FLUXO DE CAIXA CENTROS'!J$9,AUXILIAR!$I$6:$I$941,'FLUXO DE CAIXA CENTROS'!$B12,AUXILIAR!$F$6:$F$941,'FLUXO DE CAIXA CENTROS'!$C$7)</f>
        <v>0</v>
      </c>
      <c r="K12" s="47">
        <f>SUMIFS(AUXILIAR!$G$6:$G$941,AUXILIAR!$O$6:$O$941,'FLUXO DE CAIXA CENTROS'!K$9,AUXILIAR!$I$6:$I$941,'FLUXO DE CAIXA CENTROS'!$B12,AUXILIAR!$F$6:$F$941,'FLUXO DE CAIXA CENTROS'!$C$7)</f>
        <v>0</v>
      </c>
      <c r="L12" s="47">
        <f>SUMIFS(AUXILIAR!$G$6:$G$941,AUXILIAR!$O$6:$O$941,'FLUXO DE CAIXA CENTROS'!L$9,AUXILIAR!$I$6:$I$941,'FLUXO DE CAIXA CENTROS'!$B12,AUXILIAR!$F$6:$F$941,'FLUXO DE CAIXA CENTROS'!$C$7)</f>
        <v>0</v>
      </c>
      <c r="M12" s="47">
        <f>SUMIFS(AUXILIAR!$G$6:$G$941,AUXILIAR!$O$6:$O$941,'FLUXO DE CAIXA CENTROS'!M$9,AUXILIAR!$I$6:$I$941,'FLUXO DE CAIXA CENTROS'!$B12,AUXILIAR!$F$6:$F$941,'FLUXO DE CAIXA CENTROS'!$C$7)</f>
        <v>0</v>
      </c>
      <c r="N12" s="47">
        <f>SUMIFS(AUXILIAR!$G$6:$G$941,AUXILIAR!$O$6:$O$941,'FLUXO DE CAIXA CENTROS'!N$9,AUXILIAR!$I$6:$I$941,'FLUXO DE CAIXA CENTROS'!$B12,AUXILIAR!$F$6:$F$941,'FLUXO DE CAIXA CENTROS'!$C$7)</f>
        <v>0</v>
      </c>
      <c r="O12" s="47">
        <f>SUM(C12:N12)</f>
        <v>0</v>
      </c>
      <c r="P12" s="47">
        <f>SUM(C12:N12)</f>
        <v>0</v>
      </c>
    </row>
    <row r="13" spans="2:16" ht="23.25" x14ac:dyDescent="0.25">
      <c r="B13" s="13" t="s">
        <v>15</v>
      </c>
      <c r="C13" s="47">
        <f>C11-C12</f>
        <v>14</v>
      </c>
      <c r="D13" s="47">
        <f t="shared" ref="D13:N13" si="1">D11-D12</f>
        <v>0</v>
      </c>
      <c r="E13" s="47">
        <f t="shared" si="1"/>
        <v>0</v>
      </c>
      <c r="F13" s="47">
        <f t="shared" si="1"/>
        <v>0</v>
      </c>
      <c r="G13" s="47">
        <f t="shared" si="1"/>
        <v>0</v>
      </c>
      <c r="H13" s="47">
        <f t="shared" si="1"/>
        <v>0</v>
      </c>
      <c r="I13" s="47">
        <f t="shared" si="1"/>
        <v>0</v>
      </c>
      <c r="J13" s="47">
        <f t="shared" si="1"/>
        <v>0</v>
      </c>
      <c r="K13" s="47">
        <f t="shared" si="1"/>
        <v>0</v>
      </c>
      <c r="L13" s="47">
        <f t="shared" si="1"/>
        <v>0</v>
      </c>
      <c r="M13" s="47">
        <f t="shared" si="1"/>
        <v>0</v>
      </c>
      <c r="N13" s="47">
        <f t="shared" si="1"/>
        <v>0</v>
      </c>
      <c r="O13" s="47">
        <f>SUM(C13:N13)</f>
        <v>14</v>
      </c>
      <c r="P13" s="47">
        <f>P11-P12</f>
        <v>14</v>
      </c>
    </row>
    <row r="14" spans="2:16" ht="23.25" x14ac:dyDescent="0.25">
      <c r="B14" s="13" t="s">
        <v>36</v>
      </c>
      <c r="C14" s="47">
        <f>C10+C13</f>
        <v>125</v>
      </c>
      <c r="D14" s="47">
        <f t="shared" ref="D14:N14" si="2">D10+D13</f>
        <v>125</v>
      </c>
      <c r="E14" s="47">
        <f t="shared" si="2"/>
        <v>125</v>
      </c>
      <c r="F14" s="47">
        <f t="shared" si="2"/>
        <v>125</v>
      </c>
      <c r="G14" s="47">
        <f t="shared" si="2"/>
        <v>125</v>
      </c>
      <c r="H14" s="47">
        <f t="shared" si="2"/>
        <v>125</v>
      </c>
      <c r="I14" s="47">
        <f t="shared" si="2"/>
        <v>125</v>
      </c>
      <c r="J14" s="47">
        <f t="shared" si="2"/>
        <v>125</v>
      </c>
      <c r="K14" s="47">
        <f t="shared" si="2"/>
        <v>125</v>
      </c>
      <c r="L14" s="47">
        <f t="shared" si="2"/>
        <v>125</v>
      </c>
      <c r="M14" s="47">
        <f t="shared" si="2"/>
        <v>125</v>
      </c>
      <c r="N14" s="47">
        <f t="shared" si="2"/>
        <v>125</v>
      </c>
      <c r="O14" s="47">
        <f>SUM(C14:N14)</f>
        <v>1500</v>
      </c>
      <c r="P14" s="47">
        <f>N14</f>
        <v>125</v>
      </c>
    </row>
    <row r="15" spans="2:16" ht="23.25" x14ac:dyDescent="0.35">
      <c r="E15" s="11"/>
    </row>
    <row r="16" spans="2:16" ht="30" customHeight="1" x14ac:dyDescent="0.25"/>
    <row r="17" spans="2:15" ht="53.25" customHeight="1" x14ac:dyDescent="0.25">
      <c r="B17" s="57" t="s">
        <v>104</v>
      </c>
      <c r="C17" s="59" t="s">
        <v>20</v>
      </c>
      <c r="D17" s="59" t="s">
        <v>21</v>
      </c>
      <c r="E17" s="59" t="s">
        <v>22</v>
      </c>
      <c r="F17" s="59" t="s">
        <v>23</v>
      </c>
      <c r="G17" s="59" t="s">
        <v>24</v>
      </c>
      <c r="H17" s="59" t="s">
        <v>25</v>
      </c>
      <c r="I17" s="59" t="s">
        <v>26</v>
      </c>
      <c r="J17" s="59" t="s">
        <v>27</v>
      </c>
      <c r="K17" s="59" t="s">
        <v>28</v>
      </c>
      <c r="L17" s="59" t="s">
        <v>29</v>
      </c>
      <c r="M17" s="59" t="s">
        <v>30</v>
      </c>
      <c r="N17" s="59" t="s">
        <v>31</v>
      </c>
      <c r="O17" s="59" t="s">
        <v>32</v>
      </c>
    </row>
    <row r="18" spans="2:15" ht="30" customHeight="1" x14ac:dyDescent="0.25">
      <c r="B18" s="57" t="s">
        <v>105</v>
      </c>
      <c r="C18" s="58">
        <f>SUMIFS(AUXILIAR!$G$6:$G$941,AUXILIAR!$I$6:$I$941,"RECEITAS",AUXILIAR!$P$6:$P$941,"NAO PAGO",AUXILIAR!$L$6:$L$941,'FLUXO DE CAIXA CENTROS'!C$17,AUXILIAR!$F$6:$F$941,'FLUXO DE CAIXA CENTROS'!$C$7)</f>
        <v>0</v>
      </c>
      <c r="D18" s="58">
        <f>SUMIFS(AUXILIAR!$G$6:$G$941,AUXILIAR!$I$6:$I$941,"RECEITAS",AUXILIAR!$P$6:$P$941,"NAO PAGO",AUXILIAR!$L$6:$L$941,'FLUXO DE CAIXA CENTROS'!D$17,AUXILIAR!$F$6:$F$941,'FLUXO DE CAIXA CENTROS'!$C$7)</f>
        <v>0</v>
      </c>
      <c r="E18" s="58">
        <f>SUMIFS(AUXILIAR!$G$6:$G$941,AUXILIAR!$I$6:$I$941,"RECEITAS",AUXILIAR!$P$6:$P$941,"NAO PAGO",AUXILIAR!$L$6:$L$941,'FLUXO DE CAIXA CENTROS'!E$17,AUXILIAR!$F$6:$F$941,'FLUXO DE CAIXA CENTROS'!$C$7)</f>
        <v>0</v>
      </c>
      <c r="F18" s="58">
        <f>SUMIFS(AUXILIAR!$G$6:$G$941,AUXILIAR!$I$6:$I$941,"RECEITAS",AUXILIAR!$P$6:$P$941,"NAO PAGO",AUXILIAR!$L$6:$L$941,'FLUXO DE CAIXA CENTROS'!F$17,AUXILIAR!$F$6:$F$941,'FLUXO DE CAIXA CENTROS'!$C$7)</f>
        <v>0</v>
      </c>
      <c r="G18" s="58">
        <f>SUMIFS(AUXILIAR!$G$6:$G$941,AUXILIAR!$I$6:$I$941,"RECEITAS",AUXILIAR!$P$6:$P$941,"NAO PAGO",AUXILIAR!$L$6:$L$941,'FLUXO DE CAIXA CENTROS'!G$17,AUXILIAR!$F$6:$F$941,'FLUXO DE CAIXA CENTROS'!$C$7)</f>
        <v>0</v>
      </c>
      <c r="H18" s="58">
        <f>SUMIFS(AUXILIAR!$G$6:$G$941,AUXILIAR!$I$6:$I$941,"RECEITAS",AUXILIAR!$P$6:$P$941,"NAO PAGO",AUXILIAR!$L$6:$L$941,'FLUXO DE CAIXA CENTROS'!H$17,AUXILIAR!$F$6:$F$941,'FLUXO DE CAIXA CENTROS'!$C$7)</f>
        <v>0</v>
      </c>
      <c r="I18" s="58">
        <f>SUMIFS(AUXILIAR!$G$6:$G$941,AUXILIAR!$I$6:$I$941,"RECEITAS",AUXILIAR!$P$6:$P$941,"NAO PAGO",AUXILIAR!$L$6:$L$941,'FLUXO DE CAIXA CENTROS'!I$17,AUXILIAR!$F$6:$F$941,'FLUXO DE CAIXA CENTROS'!$C$7)</f>
        <v>0</v>
      </c>
      <c r="J18" s="58">
        <f>SUMIFS(AUXILIAR!$G$6:$G$941,AUXILIAR!$I$6:$I$941,"RECEITAS",AUXILIAR!$P$6:$P$941,"NAO PAGO",AUXILIAR!$L$6:$L$941,'FLUXO DE CAIXA CENTROS'!J$17,AUXILIAR!$F$6:$F$941,'FLUXO DE CAIXA CENTROS'!$C$7)</f>
        <v>0</v>
      </c>
      <c r="K18" s="58">
        <f>SUMIFS(AUXILIAR!$G$6:$G$941,AUXILIAR!$I$6:$I$941,"RECEITAS",AUXILIAR!$P$6:$P$941,"NAO PAGO",AUXILIAR!$L$6:$L$941,'FLUXO DE CAIXA CENTROS'!K$17,AUXILIAR!$F$6:$F$941,'FLUXO DE CAIXA CENTROS'!$C$7)</f>
        <v>0</v>
      </c>
      <c r="L18" s="58">
        <f>SUMIFS(AUXILIAR!$G$6:$G$941,AUXILIAR!$I$6:$I$941,"RECEITAS",AUXILIAR!$P$6:$P$941,"NAO PAGO",AUXILIAR!$L$6:$L$941,'FLUXO DE CAIXA CENTROS'!L$17,AUXILIAR!$F$6:$F$941,'FLUXO DE CAIXA CENTROS'!$C$7)</f>
        <v>0</v>
      </c>
      <c r="M18" s="58">
        <f>SUMIFS(AUXILIAR!$G$6:$G$941,AUXILIAR!$I$6:$I$941,"RECEITAS",AUXILIAR!$P$6:$P$941,"NAO PAGO",AUXILIAR!$L$6:$L$941,'FLUXO DE CAIXA CENTROS'!M$17,AUXILIAR!$F$6:$F$941,'FLUXO DE CAIXA CENTROS'!$C$7)</f>
        <v>0</v>
      </c>
      <c r="N18" s="58">
        <f>SUMIFS(AUXILIAR!$G$6:$G$941,AUXILIAR!$I$6:$I$941,"RECEITAS",AUXILIAR!$P$6:$P$941,"NAO PAGO",AUXILIAR!$L$6:$L$941,'FLUXO DE CAIXA CENTROS'!N$17,AUXILIAR!$F$6:$F$941,'FLUXO DE CAIXA CENTROS'!$C$7)</f>
        <v>0</v>
      </c>
      <c r="O18" s="50">
        <f>SUM(C18:N18)</f>
        <v>0</v>
      </c>
    </row>
    <row r="19" spans="2:15" ht="30" customHeight="1" x14ac:dyDescent="0.25">
      <c r="B19" s="57" t="s">
        <v>56</v>
      </c>
      <c r="C19" s="58">
        <f>SUMIFS(AUXILIAR!$G$6:$G$941,AUXILIAR!$I$6:$I$941,"DESPESAS",AUXILIAR!$P$6:$P$941,"NAO PAGO",AUXILIAR!$L$6:$L$941,'FLUXO DE CAIXA CENTROS'!C$17,AUXILIAR!$F$6:$F$941,'FLUXO DE CAIXA CENTROS'!$C$7)</f>
        <v>0</v>
      </c>
      <c r="D19" s="58">
        <f>SUMIFS(AUXILIAR!$G$6:$G$941,AUXILIAR!$I$6:$I$941,"DESPESAS",AUXILIAR!$P$6:$P$941,"NAO PAGO",AUXILIAR!$L$6:$L$941,'FLUXO DE CAIXA CENTROS'!D$17,AUXILIAR!$F$6:$F$941,'FLUXO DE CAIXA CENTROS'!$C$7)</f>
        <v>0</v>
      </c>
      <c r="E19" s="58">
        <f>SUMIFS(AUXILIAR!$G$6:$G$941,AUXILIAR!$I$6:$I$941,"DESPESAS",AUXILIAR!$P$6:$P$941,"NAO PAGO",AUXILIAR!$L$6:$L$941,'FLUXO DE CAIXA CENTROS'!E$17,AUXILIAR!$F$6:$F$941,'FLUXO DE CAIXA CENTROS'!$C$7)</f>
        <v>0</v>
      </c>
      <c r="F19" s="58">
        <f>SUMIFS(AUXILIAR!$G$6:$G$941,AUXILIAR!$I$6:$I$941,"DESPESAS",AUXILIAR!$P$6:$P$941,"NAO PAGO",AUXILIAR!$L$6:$L$941,'FLUXO DE CAIXA CENTROS'!F$17,AUXILIAR!$F$6:$F$941,'FLUXO DE CAIXA CENTROS'!$C$7)</f>
        <v>0</v>
      </c>
      <c r="G19" s="58">
        <f>SUMIFS(AUXILIAR!$G$6:$G$941,AUXILIAR!$I$6:$I$941,"DESPESAS",AUXILIAR!$P$6:$P$941,"NAO PAGO",AUXILIAR!$L$6:$L$941,'FLUXO DE CAIXA CENTROS'!G$17,AUXILIAR!$F$6:$F$941,'FLUXO DE CAIXA CENTROS'!$C$7)</f>
        <v>0</v>
      </c>
      <c r="H19" s="58">
        <f>SUMIFS(AUXILIAR!$G$6:$G$941,AUXILIAR!$I$6:$I$941,"DESPESAS",AUXILIAR!$P$6:$P$941,"NAO PAGO",AUXILIAR!$L$6:$L$941,'FLUXO DE CAIXA CENTROS'!H$17,AUXILIAR!$F$6:$F$941,'FLUXO DE CAIXA CENTROS'!$C$7)</f>
        <v>0</v>
      </c>
      <c r="I19" s="58">
        <f>SUMIFS(AUXILIAR!$G$6:$G$941,AUXILIAR!$I$6:$I$941,"DESPESAS",AUXILIAR!$P$6:$P$941,"NAO PAGO",AUXILIAR!$L$6:$L$941,'FLUXO DE CAIXA CENTROS'!I$17,AUXILIAR!$F$6:$F$941,'FLUXO DE CAIXA CENTROS'!$C$7)</f>
        <v>0</v>
      </c>
      <c r="J19" s="58">
        <f>SUMIFS(AUXILIAR!$G$6:$G$941,AUXILIAR!$I$6:$I$941,"DESPESAS",AUXILIAR!$P$6:$P$941,"NAO PAGO",AUXILIAR!$L$6:$L$941,'FLUXO DE CAIXA CENTROS'!J$17,AUXILIAR!$F$6:$F$941,'FLUXO DE CAIXA CENTROS'!$C$7)</f>
        <v>0</v>
      </c>
      <c r="K19" s="58">
        <f>SUMIFS(AUXILIAR!$G$6:$G$941,AUXILIAR!$I$6:$I$941,"DESPESAS",AUXILIAR!$P$6:$P$941,"NAO PAGO",AUXILIAR!$L$6:$L$941,'FLUXO DE CAIXA CENTROS'!K$17,AUXILIAR!$F$6:$F$941,'FLUXO DE CAIXA CENTROS'!$C$7)</f>
        <v>0</v>
      </c>
      <c r="L19" s="58">
        <f>SUMIFS(AUXILIAR!$G$6:$G$941,AUXILIAR!$I$6:$I$941,"DESPESAS",AUXILIAR!$P$6:$P$941,"NAO PAGO",AUXILIAR!$L$6:$L$941,'FLUXO DE CAIXA CENTROS'!L$17,AUXILIAR!$F$6:$F$941,'FLUXO DE CAIXA CENTROS'!$C$7)</f>
        <v>0</v>
      </c>
      <c r="M19" s="58">
        <f>SUMIFS(AUXILIAR!$G$6:$G$941,AUXILIAR!$I$6:$I$941,"DESPESAS",AUXILIAR!$P$6:$P$941,"NAO PAGO",AUXILIAR!$L$6:$L$941,'FLUXO DE CAIXA CENTROS'!M$17,AUXILIAR!$F$6:$F$941,'FLUXO DE CAIXA CENTROS'!$C$7)</f>
        <v>0</v>
      </c>
      <c r="N19" s="58">
        <f>SUMIFS(AUXILIAR!$G$6:$G$941,AUXILIAR!$I$6:$I$941,"DESPESAS",AUXILIAR!$P$6:$P$941,"NAO PAGO",AUXILIAR!$L$6:$L$941,'FLUXO DE CAIXA CENTROS'!N$17,AUXILIAR!$F$6:$F$941,'FLUXO DE CAIXA CENTROS'!$C$7)</f>
        <v>0</v>
      </c>
      <c r="O19" s="50">
        <f>SUM(C19:N19)</f>
        <v>0</v>
      </c>
    </row>
    <row r="20" spans="2:15" ht="46.5" x14ac:dyDescent="0.25">
      <c r="B20" s="57" t="s">
        <v>106</v>
      </c>
      <c r="C20" s="58">
        <f>C18-C19</f>
        <v>0</v>
      </c>
      <c r="D20" s="58">
        <f t="shared" ref="D20:O20" si="3">D18-D19</f>
        <v>0</v>
      </c>
      <c r="E20" s="58">
        <f t="shared" si="3"/>
        <v>0</v>
      </c>
      <c r="F20" s="58">
        <f t="shared" si="3"/>
        <v>0</v>
      </c>
      <c r="G20" s="58">
        <f t="shared" si="3"/>
        <v>0</v>
      </c>
      <c r="H20" s="58">
        <f t="shared" si="3"/>
        <v>0</v>
      </c>
      <c r="I20" s="58">
        <f t="shared" si="3"/>
        <v>0</v>
      </c>
      <c r="J20" s="58">
        <f t="shared" si="3"/>
        <v>0</v>
      </c>
      <c r="K20" s="58">
        <f t="shared" si="3"/>
        <v>0</v>
      </c>
      <c r="L20" s="58">
        <f t="shared" si="3"/>
        <v>0</v>
      </c>
      <c r="M20" s="58">
        <f t="shared" si="3"/>
        <v>0</v>
      </c>
      <c r="N20" s="58">
        <f t="shared" si="3"/>
        <v>0</v>
      </c>
      <c r="O20" s="58">
        <f t="shared" si="3"/>
        <v>0</v>
      </c>
    </row>
    <row r="21" spans="2:15" ht="30" customHeight="1" x14ac:dyDescent="0.25"/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/>
    <row r="29" spans="2:15" ht="30" customHeight="1" x14ac:dyDescent="0.25"/>
    <row r="30" spans="2:15" ht="30" customHeight="1" x14ac:dyDescent="0.25">
      <c r="L30" t="s">
        <v>107</v>
      </c>
    </row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</sheetData>
  <conditionalFormatting sqref="B10">
    <cfRule type="cellIs" dxfId="120" priority="11" operator="equal">
      <formula>"RECEITA"</formula>
    </cfRule>
    <cfRule type="cellIs" dxfId="119" priority="12" operator="equal">
      <formula>"DESPESA"</formula>
    </cfRule>
    <cfRule type="cellIs" dxfId="118" priority="13" operator="equal">
      <formula>"RECEITA"</formula>
    </cfRule>
    <cfRule type="cellIs" dxfId="117" priority="14" operator="equal">
      <formula>"DESPESA"</formula>
    </cfRule>
    <cfRule type="cellIs" dxfId="116" priority="15" operator="equal">
      <formula>"RECEITA"</formula>
    </cfRule>
    <cfRule type="cellIs" dxfId="115" priority="16" operator="equal">
      <formula>"DESPESA"</formula>
    </cfRule>
  </conditionalFormatting>
  <conditionalFormatting sqref="B11">
    <cfRule type="cellIs" dxfId="114" priority="5" operator="equal">
      <formula>"RECEITA"</formula>
    </cfRule>
    <cfRule type="cellIs" dxfId="113" priority="6" operator="equal">
      <formula>"DESPESA"</formula>
    </cfRule>
    <cfRule type="cellIs" dxfId="112" priority="7" operator="equal">
      <formula>"RECEITA"</formula>
    </cfRule>
    <cfRule type="cellIs" dxfId="111" priority="8" operator="equal">
      <formula>"DESPESA"</formula>
    </cfRule>
    <cfRule type="cellIs" dxfId="110" priority="9" operator="equal">
      <formula>"RECEITA"</formula>
    </cfRule>
    <cfRule type="cellIs" dxfId="109" priority="10" operator="equal">
      <formula>"DESPESA"</formula>
    </cfRule>
  </conditionalFormatting>
  <conditionalFormatting sqref="C13:O13">
    <cfRule type="cellIs" dxfId="108" priority="3" operator="lessThan">
      <formula>0</formula>
    </cfRule>
    <cfRule type="cellIs" dxfId="107" priority="4" operator="greaterThan">
      <formula>0</formula>
    </cfRule>
  </conditionalFormatting>
  <conditionalFormatting sqref="C14:P14">
    <cfRule type="cellIs" dxfId="106" priority="1" operator="lessThan">
      <formula>0</formula>
    </cfRule>
    <cfRule type="cellIs" dxfId="105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'CENTRO DE CUSTO'!$B$8:$B$18</xm:f>
          </x14:formula1>
          <xm:sqref>C7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B1:P37"/>
  <sheetViews>
    <sheetView showGridLines="0" zoomScale="60" zoomScaleNormal="60" workbookViewId="0"/>
  </sheetViews>
  <sheetFormatPr defaultRowHeight="15" x14ac:dyDescent="0.25"/>
  <cols>
    <col min="2" max="2" width="31.7109375" bestFit="1" customWidth="1"/>
    <col min="3" max="3" width="3.7109375" customWidth="1"/>
    <col min="4" max="4" width="30.7109375" customWidth="1"/>
    <col min="5" max="5" width="3.7109375" customWidth="1"/>
    <col min="6" max="6" width="30.7109375" customWidth="1"/>
    <col min="7" max="7" width="3.7109375" customWidth="1"/>
    <col min="8" max="8" width="30.7109375" customWidth="1"/>
    <col min="9" max="9" width="3.7109375" customWidth="1"/>
    <col min="10" max="10" width="30.7109375" customWidth="1"/>
    <col min="11" max="11" width="3.7109375" customWidth="1"/>
    <col min="12" max="12" width="30.7109375" customWidth="1"/>
    <col min="13" max="13" width="9.28515625" customWidth="1"/>
    <col min="14" max="14" width="11.42578125" bestFit="1" customWidth="1"/>
    <col min="15" max="15" width="25.85546875" bestFit="1" customWidth="1"/>
    <col min="16" max="16" width="11.42578125" bestFit="1" customWidth="1"/>
  </cols>
  <sheetData>
    <row r="1" spans="2:16" s="60" customFormat="1" ht="31.5" customHeight="1" x14ac:dyDescent="0.25"/>
    <row r="2" spans="2:16" s="60" customFormat="1" ht="36" customHeight="1" x14ac:dyDescent="0.25"/>
    <row r="5" spans="2:16" ht="31.5" customHeight="1" x14ac:dyDescent="0.25"/>
    <row r="6" spans="2:16" ht="30" customHeight="1" x14ac:dyDescent="0.25"/>
    <row r="7" spans="2:16" ht="30" customHeight="1" x14ac:dyDescent="0.25">
      <c r="B7" s="12" t="s">
        <v>39</v>
      </c>
      <c r="D7" s="12" t="s">
        <v>40</v>
      </c>
      <c r="F7" s="12" t="s">
        <v>41</v>
      </c>
      <c r="H7" s="12" t="s">
        <v>76</v>
      </c>
      <c r="J7" s="12" t="s">
        <v>42</v>
      </c>
      <c r="L7" s="12" t="s">
        <v>43</v>
      </c>
      <c r="O7" s="89" t="s">
        <v>60</v>
      </c>
      <c r="P7" s="89"/>
    </row>
    <row r="8" spans="2:16" ht="30" customHeight="1" x14ac:dyDescent="0.25">
      <c r="B8" s="5" t="s">
        <v>45</v>
      </c>
      <c r="D8" s="5" t="s">
        <v>48</v>
      </c>
      <c r="F8" s="5" t="s">
        <v>50</v>
      </c>
      <c r="H8" s="5" t="s">
        <v>52</v>
      </c>
      <c r="J8" s="5" t="s">
        <v>57</v>
      </c>
      <c r="L8" s="5" t="s">
        <v>54</v>
      </c>
      <c r="O8" s="16" t="str">
        <f>B7</f>
        <v>RECEITAS COM PRODUTOS</v>
      </c>
      <c r="P8" s="16" t="s">
        <v>62</v>
      </c>
    </row>
    <row r="9" spans="2:16" ht="30" customHeight="1" x14ac:dyDescent="0.25">
      <c r="B9" s="5" t="s">
        <v>46</v>
      </c>
      <c r="D9" s="5" t="s">
        <v>49</v>
      </c>
      <c r="F9" s="5" t="s">
        <v>51</v>
      </c>
      <c r="H9" s="5" t="s">
        <v>53</v>
      </c>
      <c r="J9" s="5" t="s">
        <v>58</v>
      </c>
      <c r="L9" s="5" t="s">
        <v>55</v>
      </c>
      <c r="O9" s="5" t="str">
        <f>D7</f>
        <v>RECEITAS COM SERVIÇOS</v>
      </c>
      <c r="P9" s="5" t="s">
        <v>65</v>
      </c>
    </row>
    <row r="10" spans="2:16" ht="30" customHeight="1" x14ac:dyDescent="0.25">
      <c r="B10" s="5" t="s">
        <v>47</v>
      </c>
      <c r="D10" s="5" t="s">
        <v>44</v>
      </c>
      <c r="F10" s="5" t="s">
        <v>44</v>
      </c>
      <c r="H10" s="5" t="s">
        <v>44</v>
      </c>
      <c r="J10" s="5" t="s">
        <v>59</v>
      </c>
      <c r="L10" s="5" t="s">
        <v>56</v>
      </c>
      <c r="O10" s="5" t="str">
        <f>F7</f>
        <v>DESPESAS COM PRODUTOS</v>
      </c>
      <c r="P10" s="5" t="s">
        <v>67</v>
      </c>
    </row>
    <row r="11" spans="2:16" ht="30" customHeight="1" x14ac:dyDescent="0.25">
      <c r="B11" s="5" t="s">
        <v>44</v>
      </c>
      <c r="D11" s="5" t="s">
        <v>44</v>
      </c>
      <c r="F11" s="5" t="s">
        <v>44</v>
      </c>
      <c r="H11" s="5" t="s">
        <v>44</v>
      </c>
      <c r="J11" s="5" t="s">
        <v>44</v>
      </c>
      <c r="L11" s="5" t="s">
        <v>44</v>
      </c>
      <c r="O11" s="5" t="str">
        <f>H7</f>
        <v>DESPESAS COM MARKETING</v>
      </c>
      <c r="P11" s="5" t="s">
        <v>63</v>
      </c>
    </row>
    <row r="12" spans="2:16" ht="30" customHeight="1" x14ac:dyDescent="0.25">
      <c r="B12" s="5" t="s">
        <v>44</v>
      </c>
      <c r="D12" s="5" t="s">
        <v>44</v>
      </c>
      <c r="F12" s="5" t="s">
        <v>44</v>
      </c>
      <c r="H12" s="5" t="s">
        <v>44</v>
      </c>
      <c r="J12" s="5" t="s">
        <v>44</v>
      </c>
      <c r="L12" s="5" t="s">
        <v>44</v>
      </c>
      <c r="O12" s="5" t="str">
        <f>J7</f>
        <v>DESPESAS COM RH</v>
      </c>
      <c r="P12" s="5" t="s">
        <v>66</v>
      </c>
    </row>
    <row r="13" spans="2:16" ht="30" customHeight="1" x14ac:dyDescent="0.25">
      <c r="B13" s="5" t="s">
        <v>44</v>
      </c>
      <c r="D13" s="5" t="s">
        <v>44</v>
      </c>
      <c r="F13" s="5" t="s">
        <v>44</v>
      </c>
      <c r="H13" s="5" t="s">
        <v>44</v>
      </c>
      <c r="J13" s="5" t="s">
        <v>44</v>
      </c>
      <c r="L13" s="5" t="s">
        <v>44</v>
      </c>
      <c r="O13" s="5" t="str">
        <f>L7</f>
        <v>DESPESAS OPERACIONAIS</v>
      </c>
      <c r="P13" s="5" t="s">
        <v>64</v>
      </c>
    </row>
    <row r="14" spans="2:16" ht="30" customHeight="1" x14ac:dyDescent="0.25">
      <c r="B14" s="5" t="s">
        <v>44</v>
      </c>
      <c r="D14" s="5" t="s">
        <v>44</v>
      </c>
      <c r="F14" s="5" t="s">
        <v>44</v>
      </c>
      <c r="H14" s="5" t="s">
        <v>44</v>
      </c>
      <c r="J14" s="5" t="s">
        <v>44</v>
      </c>
      <c r="L14" s="5" t="s">
        <v>44</v>
      </c>
      <c r="N14" s="15"/>
    </row>
    <row r="15" spans="2:16" ht="30" customHeight="1" x14ac:dyDescent="0.25">
      <c r="B15" s="5" t="s">
        <v>44</v>
      </c>
      <c r="D15" s="5" t="s">
        <v>44</v>
      </c>
      <c r="F15" s="5" t="s">
        <v>44</v>
      </c>
      <c r="H15" s="5" t="s">
        <v>44</v>
      </c>
      <c r="J15" s="5" t="s">
        <v>44</v>
      </c>
      <c r="L15" s="5" t="s">
        <v>44</v>
      </c>
    </row>
    <row r="16" spans="2:16" ht="30" customHeight="1" x14ac:dyDescent="0.25">
      <c r="B16" s="5" t="s">
        <v>44</v>
      </c>
      <c r="D16" s="5" t="s">
        <v>44</v>
      </c>
      <c r="F16" s="5" t="s">
        <v>44</v>
      </c>
      <c r="H16" s="5" t="s">
        <v>44</v>
      </c>
      <c r="J16" s="5" t="s">
        <v>44</v>
      </c>
      <c r="L16" s="5" t="s">
        <v>44</v>
      </c>
    </row>
    <row r="17" spans="2:12" ht="30" customHeight="1" x14ac:dyDescent="0.25">
      <c r="B17" s="5" t="s">
        <v>44</v>
      </c>
      <c r="D17" s="5" t="s">
        <v>44</v>
      </c>
      <c r="F17" s="5" t="s">
        <v>44</v>
      </c>
      <c r="H17" s="5" t="s">
        <v>44</v>
      </c>
      <c r="J17" s="5" t="s">
        <v>44</v>
      </c>
      <c r="L17" s="5" t="s">
        <v>44</v>
      </c>
    </row>
    <row r="18" spans="2:12" ht="30" customHeight="1" x14ac:dyDescent="0.25">
      <c r="B18" s="5" t="s">
        <v>74</v>
      </c>
      <c r="D18" s="5" t="s">
        <v>61</v>
      </c>
      <c r="F18" s="5" t="s">
        <v>73</v>
      </c>
      <c r="H18" s="5" t="s">
        <v>72</v>
      </c>
      <c r="J18" s="5" t="s">
        <v>71</v>
      </c>
      <c r="L18" s="5" t="s">
        <v>70</v>
      </c>
    </row>
    <row r="19" spans="2:12" ht="30" customHeight="1" x14ac:dyDescent="0.25"/>
    <row r="20" spans="2:12" ht="30" customHeight="1" x14ac:dyDescent="0.25"/>
    <row r="21" spans="2:12" ht="30" customHeight="1" x14ac:dyDescent="0.25"/>
    <row r="22" spans="2:12" ht="30" customHeight="1" x14ac:dyDescent="0.25"/>
    <row r="23" spans="2:12" ht="30" customHeight="1" x14ac:dyDescent="0.25"/>
    <row r="24" spans="2:12" ht="30" customHeight="1" x14ac:dyDescent="0.25"/>
    <row r="25" spans="2:12" ht="30" customHeight="1" x14ac:dyDescent="0.25"/>
    <row r="26" spans="2:12" ht="30" customHeight="1" x14ac:dyDescent="0.25"/>
    <row r="27" spans="2:12" ht="30" customHeight="1" x14ac:dyDescent="0.25"/>
    <row r="28" spans="2:12" ht="30" customHeight="1" x14ac:dyDescent="0.25"/>
    <row r="29" spans="2:12" ht="30" customHeight="1" x14ac:dyDescent="0.25"/>
    <row r="30" spans="2:12" ht="30" customHeight="1" x14ac:dyDescent="0.25"/>
    <row r="31" spans="2:12" ht="30" customHeight="1" x14ac:dyDescent="0.25"/>
    <row r="32" spans="2:1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mergeCells count="1">
    <mergeCell ref="O7:P7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1:B37"/>
  <sheetViews>
    <sheetView showGridLines="0" zoomScale="70" zoomScaleNormal="70" workbookViewId="0"/>
  </sheetViews>
  <sheetFormatPr defaultRowHeight="15" x14ac:dyDescent="0.25"/>
  <cols>
    <col min="2" max="2" width="39.5703125" bestFit="1" customWidth="1"/>
    <col min="3" max="3" width="3.7109375" customWidth="1"/>
    <col min="4" max="4" width="30.7109375" customWidth="1"/>
    <col min="5" max="5" width="3.7109375" customWidth="1"/>
    <col min="6" max="6" width="30.7109375" customWidth="1"/>
    <col min="7" max="7" width="3.7109375" customWidth="1"/>
    <col min="8" max="8" width="30.7109375" customWidth="1"/>
    <col min="9" max="9" width="3.7109375" customWidth="1"/>
    <col min="10" max="10" width="30.7109375" customWidth="1"/>
    <col min="11" max="11" width="3.7109375" customWidth="1"/>
    <col min="12" max="12" width="30.7109375" customWidth="1"/>
    <col min="13" max="13" width="9.28515625" customWidth="1"/>
    <col min="14" max="14" width="11.42578125" bestFit="1" customWidth="1"/>
    <col min="15" max="15" width="25.85546875" bestFit="1" customWidth="1"/>
    <col min="16" max="16" width="11.42578125" bestFit="1" customWidth="1"/>
  </cols>
  <sheetData>
    <row r="1" spans="2:2" s="60" customFormat="1" ht="31.5" customHeight="1" x14ac:dyDescent="0.25"/>
    <row r="2" spans="2:2" s="60" customFormat="1" ht="36" customHeight="1" x14ac:dyDescent="0.25"/>
    <row r="5" spans="2:2" ht="31.5" customHeight="1" x14ac:dyDescent="0.25"/>
    <row r="6" spans="2:2" ht="30" customHeight="1" x14ac:dyDescent="0.25"/>
    <row r="7" spans="2:2" ht="30" customHeight="1" x14ac:dyDescent="0.25">
      <c r="B7" s="12" t="s">
        <v>109</v>
      </c>
    </row>
    <row r="8" spans="2:2" ht="30" customHeight="1" x14ac:dyDescent="0.25">
      <c r="B8" s="65" t="s">
        <v>110</v>
      </c>
    </row>
    <row r="9" spans="2:2" ht="30" customHeight="1" x14ac:dyDescent="0.25">
      <c r="B9" s="65" t="s">
        <v>111</v>
      </c>
    </row>
    <row r="10" spans="2:2" ht="30" customHeight="1" x14ac:dyDescent="0.25">
      <c r="B10" s="65" t="s">
        <v>112</v>
      </c>
    </row>
    <row r="11" spans="2:2" ht="30" customHeight="1" x14ac:dyDescent="0.25">
      <c r="B11" s="65" t="s">
        <v>113</v>
      </c>
    </row>
    <row r="12" spans="2:2" ht="30" customHeight="1" x14ac:dyDescent="0.25">
      <c r="B12" s="65" t="s">
        <v>114</v>
      </c>
    </row>
    <row r="13" spans="2:2" ht="30" customHeight="1" x14ac:dyDescent="0.25">
      <c r="B13" s="65" t="s">
        <v>115</v>
      </c>
    </row>
    <row r="14" spans="2:2" ht="30" customHeight="1" x14ac:dyDescent="0.25">
      <c r="B14" s="65" t="s">
        <v>116</v>
      </c>
    </row>
    <row r="15" spans="2:2" ht="30" customHeight="1" x14ac:dyDescent="0.25">
      <c r="B15" s="65" t="s">
        <v>117</v>
      </c>
    </row>
    <row r="16" spans="2:2" ht="30" customHeight="1" x14ac:dyDescent="0.25">
      <c r="B16" s="65" t="s">
        <v>118</v>
      </c>
    </row>
    <row r="17" spans="2:2" ht="30" customHeight="1" x14ac:dyDescent="0.25">
      <c r="B17" s="65" t="s">
        <v>119</v>
      </c>
    </row>
    <row r="18" spans="2:2" ht="30" customHeight="1" x14ac:dyDescent="0.25">
      <c r="B18" s="65" t="s">
        <v>120</v>
      </c>
    </row>
    <row r="19" spans="2:2" ht="30" customHeight="1" x14ac:dyDescent="0.25"/>
    <row r="20" spans="2:2" ht="30" customHeight="1" x14ac:dyDescent="0.25"/>
    <row r="21" spans="2:2" ht="30" customHeight="1" x14ac:dyDescent="0.25"/>
    <row r="22" spans="2:2" ht="30" customHeight="1" x14ac:dyDescent="0.25"/>
    <row r="23" spans="2:2" ht="30" customHeight="1" x14ac:dyDescent="0.25"/>
    <row r="24" spans="2:2" ht="30" customHeight="1" x14ac:dyDescent="0.25"/>
    <row r="25" spans="2:2" ht="30" customHeight="1" x14ac:dyDescent="0.25"/>
    <row r="26" spans="2:2" ht="30" customHeight="1" x14ac:dyDescent="0.25"/>
    <row r="27" spans="2:2" ht="30" customHeight="1" x14ac:dyDescent="0.25"/>
    <row r="28" spans="2:2" ht="30" customHeight="1" x14ac:dyDescent="0.25"/>
    <row r="29" spans="2:2" ht="30" customHeight="1" x14ac:dyDescent="0.25"/>
    <row r="30" spans="2:2" ht="30" customHeight="1" x14ac:dyDescent="0.25"/>
    <row r="31" spans="2:2" ht="30" customHeight="1" x14ac:dyDescent="0.25"/>
    <row r="32" spans="2: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8"/>
  <dimension ref="B1:P42"/>
  <sheetViews>
    <sheetView showGridLines="0" zoomScale="80" zoomScaleNormal="80" workbookViewId="0">
      <selection activeCell="H2" sqref="H2"/>
    </sheetView>
  </sheetViews>
  <sheetFormatPr defaultColWidth="40.7109375" defaultRowHeight="15" x14ac:dyDescent="0.25"/>
  <cols>
    <col min="1" max="1" width="8.5703125" customWidth="1"/>
    <col min="2" max="2" width="32.140625" customWidth="1"/>
    <col min="3" max="3" width="29.7109375" customWidth="1"/>
    <col min="4" max="4" width="30.5703125" customWidth="1"/>
    <col min="5" max="5" width="29.7109375" customWidth="1"/>
    <col min="6" max="6" width="39.5703125" customWidth="1"/>
    <col min="7" max="7" width="29.7109375" customWidth="1"/>
    <col min="8" max="8" width="30.140625" customWidth="1"/>
    <col min="9" max="10" width="30.5703125" customWidth="1"/>
    <col min="11" max="11" width="30.140625" customWidth="1"/>
    <col min="12" max="12" width="29.7109375" customWidth="1"/>
    <col min="13" max="13" width="30.5703125" customWidth="1"/>
    <col min="14" max="14" width="31" customWidth="1"/>
    <col min="15" max="15" width="31.7109375" customWidth="1"/>
    <col min="16" max="16" width="31" customWidth="1"/>
  </cols>
  <sheetData>
    <row r="1" spans="2:16" s="60" customFormat="1" ht="31.5" customHeight="1" x14ac:dyDescent="0.25"/>
    <row r="2" spans="2:16" s="60" customFormat="1" ht="36" customHeight="1" x14ac:dyDescent="0.25"/>
    <row r="5" spans="2:16" ht="30" customHeight="1" x14ac:dyDescent="0.25">
      <c r="B5" s="17"/>
      <c r="C5" s="17"/>
      <c r="D5" s="17"/>
      <c r="E5" s="17"/>
      <c r="F5" s="18" t="s">
        <v>38</v>
      </c>
      <c r="G5" s="17"/>
      <c r="H5" s="17"/>
      <c r="I5" s="17"/>
      <c r="J5" s="17"/>
      <c r="K5" s="17"/>
      <c r="L5" s="17"/>
      <c r="M5" s="17"/>
      <c r="N5" s="17"/>
      <c r="O5" s="17"/>
      <c r="P5" s="17"/>
    </row>
    <row r="6" spans="2:16" ht="30" customHeight="1" x14ac:dyDescent="0.25">
      <c r="B6" s="13" t="s">
        <v>77</v>
      </c>
      <c r="C6" s="19" t="s">
        <v>20</v>
      </c>
      <c r="D6" s="19" t="s">
        <v>21</v>
      </c>
      <c r="E6" s="19" t="s">
        <v>22</v>
      </c>
      <c r="F6" s="19" t="s">
        <v>23</v>
      </c>
      <c r="G6" s="19" t="s">
        <v>24</v>
      </c>
      <c r="H6" s="19" t="s">
        <v>25</v>
      </c>
      <c r="I6" s="19" t="s">
        <v>26</v>
      </c>
      <c r="J6" s="19" t="s">
        <v>27</v>
      </c>
      <c r="K6" s="19" t="s">
        <v>28</v>
      </c>
      <c r="L6" s="19" t="s">
        <v>29</v>
      </c>
      <c r="M6" s="19" t="s">
        <v>30</v>
      </c>
      <c r="N6" s="19" t="s">
        <v>31</v>
      </c>
      <c r="O6" s="19" t="s">
        <v>37</v>
      </c>
      <c r="P6" s="19" t="s">
        <v>32</v>
      </c>
    </row>
    <row r="7" spans="2:16" ht="30" customHeight="1" x14ac:dyDescent="0.25">
      <c r="B7" s="13" t="s">
        <v>33</v>
      </c>
      <c r="C7" s="20">
        <v>0</v>
      </c>
      <c r="D7" s="20">
        <f>C17</f>
        <v>0</v>
      </c>
      <c r="E7" s="20">
        <f t="shared" ref="E7:N7" si="0">D17</f>
        <v>0</v>
      </c>
      <c r="F7" s="20">
        <f t="shared" si="0"/>
        <v>0</v>
      </c>
      <c r="G7" s="20">
        <f t="shared" si="0"/>
        <v>0</v>
      </c>
      <c r="H7" s="20">
        <f t="shared" si="0"/>
        <v>0</v>
      </c>
      <c r="I7" s="20">
        <f t="shared" si="0"/>
        <v>0</v>
      </c>
      <c r="J7" s="20">
        <f t="shared" si="0"/>
        <v>0</v>
      </c>
      <c r="K7" s="20">
        <f t="shared" si="0"/>
        <v>0</v>
      </c>
      <c r="L7" s="20">
        <f t="shared" si="0"/>
        <v>0</v>
      </c>
      <c r="M7" s="20">
        <f t="shared" si="0"/>
        <v>0</v>
      </c>
      <c r="N7" s="20">
        <f t="shared" si="0"/>
        <v>0</v>
      </c>
      <c r="O7" s="20">
        <f>SUM(C7:N7)</f>
        <v>0</v>
      </c>
      <c r="P7" s="20">
        <f>C7</f>
        <v>0</v>
      </c>
    </row>
    <row r="8" spans="2:16" ht="30" customHeight="1" x14ac:dyDescent="0.25">
      <c r="B8" s="13" t="s">
        <v>34</v>
      </c>
      <c r="C8" s="21">
        <f>SUM(C9:C10)</f>
        <v>0</v>
      </c>
      <c r="D8" s="21">
        <f t="shared" ref="D8:N8" si="1">SUM(D9:D10)</f>
        <v>0</v>
      </c>
      <c r="E8" s="21">
        <f t="shared" si="1"/>
        <v>0</v>
      </c>
      <c r="F8" s="21">
        <f t="shared" si="1"/>
        <v>0</v>
      </c>
      <c r="G8" s="21">
        <f t="shared" si="1"/>
        <v>0</v>
      </c>
      <c r="H8" s="21">
        <f t="shared" si="1"/>
        <v>0</v>
      </c>
      <c r="I8" s="21">
        <f t="shared" si="1"/>
        <v>0</v>
      </c>
      <c r="J8" s="21">
        <f t="shared" si="1"/>
        <v>0</v>
      </c>
      <c r="K8" s="21">
        <f t="shared" si="1"/>
        <v>0</v>
      </c>
      <c r="L8" s="21">
        <f t="shared" si="1"/>
        <v>0</v>
      </c>
      <c r="M8" s="21">
        <f t="shared" si="1"/>
        <v>0</v>
      </c>
      <c r="N8" s="21">
        <f t="shared" si="1"/>
        <v>0</v>
      </c>
      <c r="O8" s="20">
        <f>SUM(C8:N8)</f>
        <v>0</v>
      </c>
      <c r="P8" s="20">
        <f>SUM(C8:N8)</f>
        <v>0</v>
      </c>
    </row>
    <row r="9" spans="2:16" ht="30" customHeight="1" x14ac:dyDescent="0.25">
      <c r="B9" s="13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2:16" ht="30" customHeight="1" x14ac:dyDescent="0.25">
      <c r="B10" s="13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</row>
    <row r="11" spans="2:16" ht="30" customHeight="1" x14ac:dyDescent="0.25">
      <c r="B11" s="13" t="s">
        <v>35</v>
      </c>
      <c r="C11" s="21">
        <f>SUM(C12:C15)</f>
        <v>0</v>
      </c>
      <c r="D11" s="21">
        <f t="shared" ref="D11:N11" si="2">SUM(D12:D15)</f>
        <v>0</v>
      </c>
      <c r="E11" s="21">
        <f t="shared" si="2"/>
        <v>0</v>
      </c>
      <c r="F11" s="21">
        <f t="shared" si="2"/>
        <v>0</v>
      </c>
      <c r="G11" s="21">
        <f t="shared" si="2"/>
        <v>0</v>
      </c>
      <c r="H11" s="21">
        <f t="shared" si="2"/>
        <v>0</v>
      </c>
      <c r="I11" s="21">
        <f t="shared" si="2"/>
        <v>0</v>
      </c>
      <c r="J11" s="21">
        <f t="shared" si="2"/>
        <v>0</v>
      </c>
      <c r="K11" s="21">
        <f t="shared" si="2"/>
        <v>0</v>
      </c>
      <c r="L11" s="21">
        <f t="shared" si="2"/>
        <v>0</v>
      </c>
      <c r="M11" s="21">
        <f t="shared" si="2"/>
        <v>0</v>
      </c>
      <c r="N11" s="21">
        <f t="shared" si="2"/>
        <v>0</v>
      </c>
      <c r="O11" s="20">
        <f>SUM(C11:N11)</f>
        <v>0</v>
      </c>
      <c r="P11" s="20">
        <f>SUM(C11:N11)</f>
        <v>0</v>
      </c>
    </row>
    <row r="12" spans="2:16" ht="30" customHeight="1" x14ac:dyDescent="0.25">
      <c r="B12" s="13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</row>
    <row r="13" spans="2:16" ht="30" customHeight="1" x14ac:dyDescent="0.25">
      <c r="B13" s="13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2:16" ht="30" customHeight="1" x14ac:dyDescent="0.25">
      <c r="B14" s="13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2:16" ht="30" customHeight="1" x14ac:dyDescent="0.25">
      <c r="B15" s="13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2:16" ht="30" customHeight="1" x14ac:dyDescent="0.25">
      <c r="B16" s="13" t="s">
        <v>15</v>
      </c>
      <c r="C16" s="20">
        <f t="shared" ref="C16:N16" si="3">C8-C11</f>
        <v>0</v>
      </c>
      <c r="D16" s="20">
        <f t="shared" si="3"/>
        <v>0</v>
      </c>
      <c r="E16" s="20">
        <f t="shared" si="3"/>
        <v>0</v>
      </c>
      <c r="F16" s="20">
        <f t="shared" si="3"/>
        <v>0</v>
      </c>
      <c r="G16" s="20">
        <f t="shared" si="3"/>
        <v>0</v>
      </c>
      <c r="H16" s="20">
        <f t="shared" si="3"/>
        <v>0</v>
      </c>
      <c r="I16" s="20">
        <f t="shared" si="3"/>
        <v>0</v>
      </c>
      <c r="J16" s="20">
        <f t="shared" si="3"/>
        <v>0</v>
      </c>
      <c r="K16" s="20">
        <f t="shared" si="3"/>
        <v>0</v>
      </c>
      <c r="L16" s="20">
        <f t="shared" si="3"/>
        <v>0</v>
      </c>
      <c r="M16" s="20">
        <f t="shared" si="3"/>
        <v>0</v>
      </c>
      <c r="N16" s="20">
        <f t="shared" si="3"/>
        <v>0</v>
      </c>
      <c r="O16" s="20">
        <f>SUM(C16:N16)</f>
        <v>0</v>
      </c>
      <c r="P16" s="20">
        <f>P8-P11</f>
        <v>0</v>
      </c>
    </row>
    <row r="17" spans="2:16" ht="30" customHeight="1" x14ac:dyDescent="0.25">
      <c r="B17" s="13" t="s">
        <v>36</v>
      </c>
      <c r="C17" s="20">
        <f t="shared" ref="C17:N17" si="4">C7+C16</f>
        <v>0</v>
      </c>
      <c r="D17" s="20">
        <f t="shared" si="4"/>
        <v>0</v>
      </c>
      <c r="E17" s="20">
        <f t="shared" si="4"/>
        <v>0</v>
      </c>
      <c r="F17" s="20">
        <f t="shared" si="4"/>
        <v>0</v>
      </c>
      <c r="G17" s="20">
        <f t="shared" si="4"/>
        <v>0</v>
      </c>
      <c r="H17" s="20">
        <f t="shared" si="4"/>
        <v>0</v>
      </c>
      <c r="I17" s="20">
        <f t="shared" si="4"/>
        <v>0</v>
      </c>
      <c r="J17" s="20">
        <f t="shared" si="4"/>
        <v>0</v>
      </c>
      <c r="K17" s="20">
        <f t="shared" si="4"/>
        <v>0</v>
      </c>
      <c r="L17" s="20">
        <f t="shared" si="4"/>
        <v>0</v>
      </c>
      <c r="M17" s="20">
        <f t="shared" si="4"/>
        <v>0</v>
      </c>
      <c r="N17" s="20">
        <f t="shared" si="4"/>
        <v>0</v>
      </c>
      <c r="O17" s="20">
        <f>SUM(C17:N17)</f>
        <v>0</v>
      </c>
      <c r="P17" s="20">
        <f>N17</f>
        <v>0</v>
      </c>
    </row>
    <row r="18" spans="2:16" ht="30" customHeight="1" x14ac:dyDescent="0.25"/>
    <row r="19" spans="2:16" ht="30" customHeight="1" x14ac:dyDescent="0.25"/>
    <row r="20" spans="2:16" ht="30" customHeight="1" x14ac:dyDescent="0.25"/>
    <row r="21" spans="2:16" ht="30" customHeight="1" x14ac:dyDescent="0.25"/>
    <row r="22" spans="2:16" ht="30" customHeight="1" x14ac:dyDescent="0.25"/>
    <row r="23" spans="2:16" ht="30" customHeight="1" x14ac:dyDescent="0.25"/>
    <row r="24" spans="2:16" ht="30" customHeight="1" x14ac:dyDescent="0.25"/>
    <row r="25" spans="2:16" ht="30" customHeight="1" x14ac:dyDescent="0.25"/>
    <row r="26" spans="2:16" ht="30" customHeight="1" x14ac:dyDescent="0.25"/>
    <row r="27" spans="2:16" ht="30" customHeight="1" x14ac:dyDescent="0.25"/>
    <row r="28" spans="2:16" ht="30" customHeight="1" x14ac:dyDescent="0.25"/>
    <row r="29" spans="2:16" ht="30" customHeight="1" x14ac:dyDescent="0.25"/>
    <row r="30" spans="2:16" ht="30" customHeight="1" x14ac:dyDescent="0.25"/>
    <row r="31" spans="2:16" ht="30" customHeight="1" x14ac:dyDescent="0.25"/>
    <row r="32" spans="2:16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</sheetData>
  <conditionalFormatting sqref="B7">
    <cfRule type="cellIs" dxfId="104" priority="11" operator="equal">
      <formula>"RECEITA"</formula>
    </cfRule>
    <cfRule type="cellIs" dxfId="103" priority="12" operator="equal">
      <formula>"DESPESA"</formula>
    </cfRule>
    <cfRule type="cellIs" dxfId="102" priority="13" operator="equal">
      <formula>"RECEITA"</formula>
    </cfRule>
    <cfRule type="cellIs" dxfId="101" priority="14" operator="equal">
      <formula>"DESPESA"</formula>
    </cfRule>
    <cfRule type="cellIs" dxfId="100" priority="15" operator="equal">
      <formula>"RECEITA"</formula>
    </cfRule>
    <cfRule type="cellIs" dxfId="99" priority="16" operator="equal">
      <formula>"DESPESA"</formula>
    </cfRule>
  </conditionalFormatting>
  <conditionalFormatting sqref="B8:B10">
    <cfRule type="cellIs" dxfId="98" priority="5" operator="equal">
      <formula>"RECEITA"</formula>
    </cfRule>
    <cfRule type="cellIs" dxfId="97" priority="6" operator="equal">
      <formula>"DESPESA"</formula>
    </cfRule>
    <cfRule type="cellIs" dxfId="96" priority="7" operator="equal">
      <formula>"RECEITA"</formula>
    </cfRule>
    <cfRule type="cellIs" dxfId="95" priority="8" operator="equal">
      <formula>"DESPESA"</formula>
    </cfRule>
    <cfRule type="cellIs" dxfId="94" priority="9" operator="equal">
      <formula>"RECEITA"</formula>
    </cfRule>
    <cfRule type="cellIs" dxfId="93" priority="10" operator="equal">
      <formula>"DESPESA"</formula>
    </cfRule>
  </conditionalFormatting>
  <conditionalFormatting sqref="C16:O16">
    <cfRule type="cellIs" dxfId="92" priority="3" operator="lessThan">
      <formula>0</formula>
    </cfRule>
    <cfRule type="cellIs" dxfId="91" priority="4" operator="greaterThan">
      <formula>0</formula>
    </cfRule>
  </conditionalFormatting>
  <conditionalFormatting sqref="C17:P17">
    <cfRule type="cellIs" dxfId="90" priority="1" operator="lessThan">
      <formula>0</formula>
    </cfRule>
    <cfRule type="cellIs" dxfId="89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:A2"/>
  <sheetViews>
    <sheetView showGridLines="0" showRowColHeaders="0" workbookViewId="0"/>
  </sheetViews>
  <sheetFormatPr defaultRowHeight="15" x14ac:dyDescent="0.25"/>
  <sheetData>
    <row r="1" s="60" customFormat="1" ht="31.5" customHeight="1" x14ac:dyDescent="0.25"/>
    <row r="2" s="60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2"/>
  <dimension ref="B1:O37"/>
  <sheetViews>
    <sheetView showGridLines="0" zoomScale="60" zoomScaleNormal="60" workbookViewId="0">
      <selection activeCell="F5" sqref="F5"/>
    </sheetView>
  </sheetViews>
  <sheetFormatPr defaultRowHeight="15" x14ac:dyDescent="0.25"/>
  <cols>
    <col min="2" max="2" width="6.7109375" bestFit="1" customWidth="1"/>
    <col min="3" max="3" width="14.85546875" bestFit="1" customWidth="1"/>
    <col min="4" max="4" width="15.85546875" bestFit="1" customWidth="1"/>
    <col min="5" max="5" width="24" bestFit="1" customWidth="1"/>
    <col min="6" max="6" width="19.5703125" customWidth="1"/>
    <col min="7" max="7" width="6.7109375" bestFit="1" customWidth="1"/>
    <col min="8" max="8" width="20.28515625" customWidth="1"/>
    <col min="9" max="9" width="15.85546875" bestFit="1" customWidth="1"/>
    <col min="10" max="10" width="18.7109375" bestFit="1" customWidth="1"/>
    <col min="11" max="11" width="20" customWidth="1"/>
    <col min="12" max="12" width="10.7109375" bestFit="1" customWidth="1"/>
    <col min="13" max="13" width="20.5703125" bestFit="1" customWidth="1"/>
    <col min="14" max="14" width="25.28515625" bestFit="1" customWidth="1"/>
    <col min="15" max="15" width="25.42578125" bestFit="1" customWidth="1"/>
    <col min="16" max="16" width="20.28515625" customWidth="1"/>
  </cols>
  <sheetData>
    <row r="1" spans="2:15" s="60" customFormat="1" ht="31.5" customHeight="1" x14ac:dyDescent="0.25"/>
    <row r="2" spans="2:15" s="60" customFormat="1" ht="36" customHeight="1" x14ac:dyDescent="0.25"/>
    <row r="5" spans="2:15" ht="31.5" customHeight="1" x14ac:dyDescent="0.45">
      <c r="D5" s="92"/>
      <c r="E5" s="92"/>
      <c r="F5" s="56" t="s">
        <v>29</v>
      </c>
    </row>
    <row r="6" spans="2:15" ht="30" customHeight="1" x14ac:dyDescent="0.25"/>
    <row r="7" spans="2:15" ht="23.25" x14ac:dyDescent="0.25">
      <c r="B7" s="49" t="s">
        <v>82</v>
      </c>
      <c r="C7" s="51" t="s">
        <v>34</v>
      </c>
      <c r="D7" s="51" t="s">
        <v>35</v>
      </c>
      <c r="E7" s="51" t="s">
        <v>103</v>
      </c>
      <c r="F7" s="46"/>
      <c r="G7" s="49" t="s">
        <v>82</v>
      </c>
      <c r="H7" s="51" t="s">
        <v>34</v>
      </c>
      <c r="I7" s="51" t="s">
        <v>35</v>
      </c>
      <c r="J7" s="51" t="s">
        <v>103</v>
      </c>
      <c r="K7" s="46"/>
      <c r="L7" s="49" t="s">
        <v>82</v>
      </c>
      <c r="M7" s="51" t="s">
        <v>34</v>
      </c>
      <c r="N7" s="51" t="s">
        <v>35</v>
      </c>
      <c r="O7" s="51" t="s">
        <v>103</v>
      </c>
    </row>
    <row r="8" spans="2:15" ht="23.25" x14ac:dyDescent="0.25">
      <c r="B8" s="52">
        <v>1</v>
      </c>
      <c r="C8" s="53">
        <f>SUMIFS(AUXILIAR!$G$6:$G$941,AUXILIAR!$M$6:$M$941,'FC-DIARIO'!$B8,AUXILIAR!$I$6:$I$941,'FC-DIARIO'!C$7,AUXILIAR!$O$6:$O$941,'FC-DIARIO'!$F$5)</f>
        <v>0</v>
      </c>
      <c r="D8" s="53">
        <f>SUMIFS(AUXILIAR!$G$6:$G$941,AUXILIAR!$M$6:$M$941,'FC-DIARIO'!$B8,AUXILIAR!$I$6:$I$941,'FC-DIARIO'!D$7,AUXILIAR!$O$6:$O$941,'FC-DIARIO'!$F$5)</f>
        <v>34</v>
      </c>
      <c r="E8" s="54">
        <f>C8-D8</f>
        <v>-34</v>
      </c>
      <c r="F8" s="53"/>
      <c r="G8" s="52">
        <v>12</v>
      </c>
      <c r="H8" s="53">
        <f>SUMIFS(AUXILIAR!$G$6:$G$941,AUXILIAR!$M$6:$M$941,'FC-DIARIO'!$G8,AUXILIAR!$I$6:$I$941,'FC-DIARIO'!H$7,AUXILIAR!$O$6:$O$941,'FC-DIARIO'!$F$5)</f>
        <v>15</v>
      </c>
      <c r="I8" s="53">
        <f>SUMIFS(AUXILIAR!$G$6:$G$941,AUXILIAR!$M$6:$M$941,'FC-DIARIO'!$G8,AUXILIAR!$I$6:$I$941,'FC-DIARIO'!I$7,AUXILIAR!$O$6:$O$941,'FC-DIARIO'!$F$5)</f>
        <v>56</v>
      </c>
      <c r="J8" s="54">
        <f>H8-I8</f>
        <v>-41</v>
      </c>
      <c r="K8" s="53"/>
      <c r="L8" s="52">
        <v>23</v>
      </c>
      <c r="M8" s="53">
        <f>SUMIFS(AUXILIAR!$G$6:$G$941,AUXILIAR!$M$6:$M$941,'FC-DIARIO'!$L8,AUXILIAR!$I$6:$I$941,'FC-DIARIO'!M$7,AUXILIAR!$O$6:$O$941,'FC-DIARIO'!$F$5)</f>
        <v>1</v>
      </c>
      <c r="N8" s="53">
        <f>SUMIFS(AUXILIAR!$G$6:$G$941,AUXILIAR!$M$6:$M$941,'FC-DIARIO'!$L8,AUXILIAR!$I$6:$I$941,'FC-DIARIO'!N$7,AUXILIAR!$O$6:$O$941,'FC-DIARIO'!$F$5)</f>
        <v>42.3333333333333</v>
      </c>
      <c r="O8" s="54">
        <f>M8-N8</f>
        <v>-41.3333333333333</v>
      </c>
    </row>
    <row r="9" spans="2:15" ht="23.25" x14ac:dyDescent="0.25">
      <c r="B9" s="52">
        <v>2</v>
      </c>
      <c r="C9" s="53">
        <f>SUMIFS(AUXILIAR!$G$6:$G$941,AUXILIAR!$M$6:$M$941,'FC-DIARIO'!$B9,AUXILIAR!$I$6:$I$941,'FC-DIARIO'!C$7,AUXILIAR!$O$6:$O$941,'FC-DIARIO'!$F$5)</f>
        <v>0</v>
      </c>
      <c r="D9" s="53">
        <f>SUMIFS(AUXILIAR!$G$6:$G$941,AUXILIAR!$M$6:$M$941,'FC-DIARIO'!$B9,AUXILIAR!$I$6:$I$941,'FC-DIARIO'!D$7,AUXILIAR!$O$6:$O$941,'FC-DIARIO'!$F$5)</f>
        <v>36</v>
      </c>
      <c r="E9" s="54">
        <f t="shared" ref="E9:E18" si="0">C9-D9</f>
        <v>-36</v>
      </c>
      <c r="F9" s="53"/>
      <c r="G9" s="52">
        <v>13</v>
      </c>
      <c r="H9" s="53">
        <f>SUMIFS(AUXILIAR!$G$6:$G$941,AUXILIAR!$M$6:$M$941,'FC-DIARIO'!$G9,AUXILIAR!$I$6:$I$941,'FC-DIARIO'!H$7,AUXILIAR!$O$6:$O$941,'FC-DIARIO'!$F$5)</f>
        <v>0</v>
      </c>
      <c r="I9" s="53">
        <f>SUMIFS(AUXILIAR!$G$6:$G$941,AUXILIAR!$M$6:$M$941,'FC-DIARIO'!$G9,AUXILIAR!$I$6:$I$941,'FC-DIARIO'!I$7,AUXILIAR!$O$6:$O$941,'FC-DIARIO'!$F$5)</f>
        <v>62</v>
      </c>
      <c r="J9" s="54">
        <f t="shared" ref="J9:J18" si="1">H9-I9</f>
        <v>-62</v>
      </c>
      <c r="K9" s="53"/>
      <c r="L9" s="52">
        <v>24</v>
      </c>
      <c r="M9" s="53">
        <f>SUMIFS(AUXILIAR!$G$6:$G$941,AUXILIAR!$M$6:$M$941,'FC-DIARIO'!$L9,AUXILIAR!$I$6:$I$941,'FC-DIARIO'!M$7,AUXILIAR!$O$6:$O$941,'FC-DIARIO'!$F$5)</f>
        <v>1</v>
      </c>
      <c r="N9" s="53">
        <f>SUMIFS(AUXILIAR!$G$6:$G$941,AUXILIAR!$M$6:$M$941,'FC-DIARIO'!$L9,AUXILIAR!$I$6:$I$941,'FC-DIARIO'!N$7,AUXILIAR!$O$6:$O$941,'FC-DIARIO'!$F$5)</f>
        <v>19.8333333333333</v>
      </c>
      <c r="O9" s="54">
        <f t="shared" ref="O9:O16" si="2">M9-N9</f>
        <v>-18.8333333333333</v>
      </c>
    </row>
    <row r="10" spans="2:15" ht="23.25" x14ac:dyDescent="0.25">
      <c r="B10" s="52">
        <v>3</v>
      </c>
      <c r="C10" s="53">
        <f>SUMIFS(AUXILIAR!$G$6:$G$941,AUXILIAR!$M$6:$M$941,'FC-DIARIO'!$B10,AUXILIAR!$I$6:$I$941,'FC-DIARIO'!C$7,AUXILIAR!$O$6:$O$941,'FC-DIARIO'!$F$5)</f>
        <v>0</v>
      </c>
      <c r="D10" s="53">
        <f>SUMIFS(AUXILIAR!$G$6:$G$941,AUXILIAR!$M$6:$M$941,'FC-DIARIO'!$B10,AUXILIAR!$I$6:$I$941,'FC-DIARIO'!D$7,AUXILIAR!$O$6:$O$941,'FC-DIARIO'!$F$5)</f>
        <v>38</v>
      </c>
      <c r="E10" s="54">
        <f t="shared" si="0"/>
        <v>-38</v>
      </c>
      <c r="F10" s="53"/>
      <c r="G10" s="52">
        <v>14</v>
      </c>
      <c r="H10" s="53">
        <f>SUMIFS(AUXILIAR!$G$6:$G$941,AUXILIAR!$M$6:$M$941,'FC-DIARIO'!$G10,AUXILIAR!$I$6:$I$941,'FC-DIARIO'!H$7,AUXILIAR!$O$6:$O$941,'FC-DIARIO'!$F$5)</f>
        <v>0</v>
      </c>
      <c r="I10" s="53">
        <f>SUMIFS(AUXILIAR!$G$6:$G$941,AUXILIAR!$M$6:$M$941,'FC-DIARIO'!$G10,AUXILIAR!$I$6:$I$941,'FC-DIARIO'!I$7,AUXILIAR!$O$6:$O$941,'FC-DIARIO'!$F$5)</f>
        <v>67</v>
      </c>
      <c r="J10" s="54">
        <f t="shared" si="1"/>
        <v>-67</v>
      </c>
      <c r="K10" s="53"/>
      <c r="L10" s="52">
        <v>25</v>
      </c>
      <c r="M10" s="53">
        <f>SUMIFS(AUXILIAR!$G$6:$G$941,AUXILIAR!$M$6:$M$941,'FC-DIARIO'!$L10,AUXILIAR!$I$6:$I$941,'FC-DIARIO'!M$7,AUXILIAR!$O$6:$O$941,'FC-DIARIO'!$F$5)</f>
        <v>1</v>
      </c>
      <c r="N10" s="53">
        <f>SUMIFS(AUXILIAR!$G$6:$G$941,AUXILIAR!$M$6:$M$941,'FC-DIARIO'!$L10,AUXILIAR!$I$6:$I$941,'FC-DIARIO'!N$7,AUXILIAR!$O$6:$O$941,'FC-DIARIO'!$F$5)</f>
        <v>21.3333333333333</v>
      </c>
      <c r="O10" s="54">
        <f t="shared" si="2"/>
        <v>-20.3333333333333</v>
      </c>
    </row>
    <row r="11" spans="2:15" ht="23.25" x14ac:dyDescent="0.25">
      <c r="B11" s="52">
        <v>4</v>
      </c>
      <c r="C11" s="53">
        <f>SUMIFS(AUXILIAR!$G$6:$G$941,AUXILIAR!$M$6:$M$941,'FC-DIARIO'!$B11,AUXILIAR!$I$6:$I$941,'FC-DIARIO'!C$7,AUXILIAR!$O$6:$O$941,'FC-DIARIO'!$F$5)</f>
        <v>0</v>
      </c>
      <c r="D11" s="53">
        <f>SUMIFS(AUXILIAR!$G$6:$G$941,AUXILIAR!$M$6:$M$941,'FC-DIARIO'!$B11,AUXILIAR!$I$6:$I$941,'FC-DIARIO'!D$7,AUXILIAR!$O$6:$O$941,'FC-DIARIO'!$F$5)</f>
        <v>40</v>
      </c>
      <c r="E11" s="54">
        <f t="shared" si="0"/>
        <v>-40</v>
      </c>
      <c r="F11" s="53"/>
      <c r="G11" s="52">
        <v>15</v>
      </c>
      <c r="H11" s="53">
        <f>SUMIFS(AUXILIAR!$G$6:$G$941,AUXILIAR!$M$6:$M$941,'FC-DIARIO'!$G11,AUXILIAR!$I$6:$I$941,'FC-DIARIO'!H$7,AUXILIAR!$O$6:$O$941,'FC-DIARIO'!$F$5)</f>
        <v>0</v>
      </c>
      <c r="I11" s="53">
        <f>SUMIFS(AUXILIAR!$G$6:$G$941,AUXILIAR!$M$6:$M$941,'FC-DIARIO'!$G11,AUXILIAR!$I$6:$I$941,'FC-DIARIO'!I$7,AUXILIAR!$O$6:$O$941,'FC-DIARIO'!$F$5)</f>
        <v>71.333333333333329</v>
      </c>
      <c r="J11" s="54">
        <f t="shared" si="1"/>
        <v>-71.333333333333329</v>
      </c>
      <c r="K11" s="53"/>
      <c r="L11" s="52">
        <v>26</v>
      </c>
      <c r="M11" s="53">
        <f>SUMIFS(AUXILIAR!$G$6:$G$941,AUXILIAR!$M$6:$M$941,'FC-DIARIO'!$L11,AUXILIAR!$I$6:$I$941,'FC-DIARIO'!M$7,AUXILIAR!$O$6:$O$941,'FC-DIARIO'!$F$5)</f>
        <v>1</v>
      </c>
      <c r="N11" s="53">
        <f>SUMIFS(AUXILIAR!$G$6:$G$941,AUXILIAR!$M$6:$M$941,'FC-DIARIO'!$L11,AUXILIAR!$I$6:$I$941,'FC-DIARIO'!N$7,AUXILIAR!$O$6:$O$941,'FC-DIARIO'!$F$5)</f>
        <v>48.8333333333333</v>
      </c>
      <c r="O11" s="54">
        <f t="shared" si="2"/>
        <v>-47.8333333333333</v>
      </c>
    </row>
    <row r="12" spans="2:15" ht="23.25" x14ac:dyDescent="0.25">
      <c r="B12" s="52">
        <v>5</v>
      </c>
      <c r="C12" s="53">
        <f>SUMIFS(AUXILIAR!$G$6:$G$941,AUXILIAR!$M$6:$M$941,'FC-DIARIO'!$B12,AUXILIAR!$I$6:$I$941,'FC-DIARIO'!C$7,AUXILIAR!$O$6:$O$941,'FC-DIARIO'!$F$5)</f>
        <v>0</v>
      </c>
      <c r="D12" s="53">
        <f>SUMIFS(AUXILIAR!$G$6:$G$941,AUXILIAR!$M$6:$M$941,'FC-DIARIO'!$B12,AUXILIAR!$I$6:$I$941,'FC-DIARIO'!D$7,AUXILIAR!$O$6:$O$941,'FC-DIARIO'!$F$5)</f>
        <v>42</v>
      </c>
      <c r="E12" s="54">
        <f t="shared" si="0"/>
        <v>-42</v>
      </c>
      <c r="F12" s="53"/>
      <c r="G12" s="52">
        <v>16</v>
      </c>
      <c r="H12" s="53">
        <f>SUMIFS(AUXILIAR!$G$6:$G$941,AUXILIAR!$M$6:$M$941,'FC-DIARIO'!$G12,AUXILIAR!$I$6:$I$941,'FC-DIARIO'!H$7,AUXILIAR!$O$6:$O$941,'FC-DIARIO'!$F$5)</f>
        <v>0</v>
      </c>
      <c r="I12" s="53">
        <f>SUMIFS(AUXILIAR!$G$6:$G$941,AUXILIAR!$M$6:$M$941,'FC-DIARIO'!$G12,AUXILIAR!$I$6:$I$941,'FC-DIARIO'!I$7,AUXILIAR!$O$6:$O$941,'FC-DIARIO'!$F$5)</f>
        <v>69.833333333333329</v>
      </c>
      <c r="J12" s="54">
        <f t="shared" si="1"/>
        <v>-69.833333333333329</v>
      </c>
      <c r="K12" s="53"/>
      <c r="L12" s="52">
        <v>27</v>
      </c>
      <c r="M12" s="53">
        <f>SUMIFS(AUXILIAR!$G$6:$G$941,AUXILIAR!$M$6:$M$941,'FC-DIARIO'!$L12,AUXILIAR!$I$6:$I$941,'FC-DIARIO'!M$7,AUXILIAR!$O$6:$O$941,'FC-DIARIO'!$F$5)</f>
        <v>1</v>
      </c>
      <c r="N12" s="53">
        <f>SUMIFS(AUXILIAR!$G$6:$G$941,AUXILIAR!$M$6:$M$941,'FC-DIARIO'!$L12,AUXILIAR!$I$6:$I$941,'FC-DIARIO'!N$7,AUXILIAR!$O$6:$O$941,'FC-DIARIO'!$F$5)</f>
        <v>51.3333333333333</v>
      </c>
      <c r="O12" s="54">
        <f t="shared" si="2"/>
        <v>-50.3333333333333</v>
      </c>
    </row>
    <row r="13" spans="2:15" ht="23.25" x14ac:dyDescent="0.25">
      <c r="B13" s="52">
        <v>6</v>
      </c>
      <c r="C13" s="53">
        <f>SUMIFS(AUXILIAR!$G$6:$G$941,AUXILIAR!$M$6:$M$941,'FC-DIARIO'!$B13,AUXILIAR!$I$6:$I$941,'FC-DIARIO'!C$7,AUXILIAR!$O$6:$O$941,'FC-DIARIO'!$F$5)</f>
        <v>0</v>
      </c>
      <c r="D13" s="53">
        <f>SUMIFS(AUXILIAR!$G$6:$G$941,AUXILIAR!$M$6:$M$941,'FC-DIARIO'!$B13,AUXILIAR!$I$6:$I$941,'FC-DIARIO'!D$7,AUXILIAR!$O$6:$O$941,'FC-DIARIO'!$F$5)</f>
        <v>44</v>
      </c>
      <c r="E13" s="54">
        <f t="shared" si="0"/>
        <v>-44</v>
      </c>
      <c r="F13" s="55"/>
      <c r="G13" s="52">
        <v>17</v>
      </c>
      <c r="H13" s="53">
        <f>SUMIFS(AUXILIAR!$G$6:$G$941,AUXILIAR!$M$6:$M$941,'FC-DIARIO'!$G13,AUXILIAR!$I$6:$I$941,'FC-DIARIO'!H$7,AUXILIAR!$O$6:$O$941,'FC-DIARIO'!$F$5)</f>
        <v>0</v>
      </c>
      <c r="I13" s="53">
        <f>SUMIFS(AUXILIAR!$G$6:$G$941,AUXILIAR!$M$6:$M$941,'FC-DIARIO'!$G13,AUXILIAR!$I$6:$I$941,'FC-DIARIO'!I$7,AUXILIAR!$O$6:$O$941,'FC-DIARIO'!$F$5)</f>
        <v>70.733333333333334</v>
      </c>
      <c r="J13" s="54">
        <f t="shared" si="1"/>
        <v>-70.733333333333334</v>
      </c>
      <c r="K13" s="55"/>
      <c r="L13" s="52">
        <v>28</v>
      </c>
      <c r="M13" s="53">
        <f>SUMIFS(AUXILIAR!$G$6:$G$941,AUXILIAR!$M$6:$M$941,'FC-DIARIO'!$L13,AUXILIAR!$I$6:$I$941,'FC-DIARIO'!M$7,AUXILIAR!$O$6:$O$941,'FC-DIARIO'!$F$5)</f>
        <v>1</v>
      </c>
      <c r="N13" s="53">
        <f>SUMIFS(AUXILIAR!$G$6:$G$941,AUXILIAR!$M$6:$M$941,'FC-DIARIO'!$L13,AUXILIAR!$I$6:$I$941,'FC-DIARIO'!N$7,AUXILIAR!$O$6:$O$941,'FC-DIARIO'!$F$5)</f>
        <v>53.8333333333333</v>
      </c>
      <c r="O13" s="54">
        <f t="shared" si="2"/>
        <v>-52.8333333333333</v>
      </c>
    </row>
    <row r="14" spans="2:15" ht="30" customHeight="1" x14ac:dyDescent="0.25">
      <c r="B14" s="52">
        <v>7</v>
      </c>
      <c r="C14" s="53">
        <f>SUMIFS(AUXILIAR!$G$6:$G$941,AUXILIAR!$M$6:$M$941,'FC-DIARIO'!$B14,AUXILIAR!$I$6:$I$941,'FC-DIARIO'!C$7,AUXILIAR!$O$6:$O$941,'FC-DIARIO'!$F$5)</f>
        <v>0</v>
      </c>
      <c r="D14" s="53">
        <f>SUMIFS(AUXILIAR!$G$6:$G$941,AUXILIAR!$M$6:$M$941,'FC-DIARIO'!$B14,AUXILIAR!$I$6:$I$941,'FC-DIARIO'!D$7,AUXILIAR!$O$6:$O$941,'FC-DIARIO'!$F$5)</f>
        <v>46</v>
      </c>
      <c r="E14" s="54">
        <f t="shared" si="0"/>
        <v>-46</v>
      </c>
      <c r="F14" s="55"/>
      <c r="G14" s="52">
        <v>18</v>
      </c>
      <c r="H14" s="53">
        <f>SUMIFS(AUXILIAR!$G$6:$G$941,AUXILIAR!$M$6:$M$941,'FC-DIARIO'!$G14,AUXILIAR!$I$6:$I$941,'FC-DIARIO'!H$7,AUXILIAR!$O$6:$O$941,'FC-DIARIO'!$F$5)</f>
        <v>0</v>
      </c>
      <c r="I14" s="53">
        <f>SUMIFS(AUXILIAR!$G$6:$G$941,AUXILIAR!$M$6:$M$941,'FC-DIARIO'!$G14,AUXILIAR!$I$6:$I$941,'FC-DIARIO'!I$7,AUXILIAR!$O$6:$O$941,'FC-DIARIO'!$F$5)</f>
        <v>71.633333333333297</v>
      </c>
      <c r="J14" s="54">
        <f t="shared" si="1"/>
        <v>-71.633333333333297</v>
      </c>
      <c r="K14" s="55"/>
      <c r="L14" s="52">
        <v>29</v>
      </c>
      <c r="M14" s="53">
        <f>SUMIFS(AUXILIAR!$G$6:$G$941,AUXILIAR!$M$6:$M$941,'FC-DIARIO'!$L14,AUXILIAR!$I$6:$I$941,'FC-DIARIO'!M$7,AUXILIAR!$O$6:$O$941,'FC-DIARIO'!$F$5)</f>
        <v>1</v>
      </c>
      <c r="N14" s="53">
        <f>SUMIFS(AUXILIAR!$G$6:$G$941,AUXILIAR!$M$6:$M$941,'FC-DIARIO'!$L14,AUXILIAR!$I$6:$I$941,'FC-DIARIO'!N$7,AUXILIAR!$O$6:$O$941,'FC-DIARIO'!$F$5)</f>
        <v>56.3333333333333</v>
      </c>
      <c r="O14" s="54">
        <f t="shared" si="2"/>
        <v>-55.3333333333333</v>
      </c>
    </row>
    <row r="15" spans="2:15" ht="30" customHeight="1" x14ac:dyDescent="0.25">
      <c r="B15" s="52">
        <v>8</v>
      </c>
      <c r="C15" s="53">
        <f>SUMIFS(AUXILIAR!$G$6:$G$941,AUXILIAR!$M$6:$M$941,'FC-DIARIO'!$B15,AUXILIAR!$I$6:$I$941,'FC-DIARIO'!C$7,AUXILIAR!$O$6:$O$941,'FC-DIARIO'!$F$5)</f>
        <v>0</v>
      </c>
      <c r="D15" s="53">
        <f>SUMIFS(AUXILIAR!$G$6:$G$941,AUXILIAR!$M$6:$M$941,'FC-DIARIO'!$B15,AUXILIAR!$I$6:$I$941,'FC-DIARIO'!D$7,AUXILIAR!$O$6:$O$941,'FC-DIARIO'!$F$5)</f>
        <v>48</v>
      </c>
      <c r="E15" s="54">
        <f t="shared" si="0"/>
        <v>-48</v>
      </c>
      <c r="F15" s="55"/>
      <c r="G15" s="52">
        <v>19</v>
      </c>
      <c r="H15" s="53">
        <f>SUMIFS(AUXILIAR!$G$6:$G$941,AUXILIAR!$M$6:$M$941,'FC-DIARIO'!$G15,AUXILIAR!$I$6:$I$941,'FC-DIARIO'!H$7,AUXILIAR!$O$6:$O$941,'FC-DIARIO'!$F$5)</f>
        <v>0</v>
      </c>
      <c r="I15" s="53">
        <f>SUMIFS(AUXILIAR!$G$6:$G$941,AUXILIAR!$M$6:$M$941,'FC-DIARIO'!$G15,AUXILIAR!$I$6:$I$941,'FC-DIARIO'!I$7,AUXILIAR!$O$6:$O$941,'FC-DIARIO'!$F$5)</f>
        <v>22.533333333333299</v>
      </c>
      <c r="J15" s="54">
        <f t="shared" si="1"/>
        <v>-22.533333333333299</v>
      </c>
      <c r="K15" s="55"/>
      <c r="L15" s="52">
        <v>30</v>
      </c>
      <c r="M15" s="53">
        <f>SUMIFS(AUXILIAR!$G$6:$G$941,AUXILIAR!$M$6:$M$941,'FC-DIARIO'!$L15,AUXILIAR!$I$6:$I$941,'FC-DIARIO'!M$7,AUXILIAR!$O$6:$O$941,'FC-DIARIO'!$F$5)</f>
        <v>1</v>
      </c>
      <c r="N15" s="53">
        <f>SUMIFS(AUXILIAR!$G$6:$G$941,AUXILIAR!$M$6:$M$941,'FC-DIARIO'!$L15,AUXILIAR!$I$6:$I$941,'FC-DIARIO'!N$7,AUXILIAR!$O$6:$O$941,'FC-DIARIO'!$F$5)</f>
        <v>58.8333333333333</v>
      </c>
      <c r="O15" s="54">
        <f t="shared" si="2"/>
        <v>-57.8333333333333</v>
      </c>
    </row>
    <row r="16" spans="2:15" ht="30" customHeight="1" x14ac:dyDescent="0.25">
      <c r="B16" s="52">
        <v>9</v>
      </c>
      <c r="C16" s="53">
        <f>SUMIFS(AUXILIAR!$G$6:$G$941,AUXILIAR!$M$6:$M$941,'FC-DIARIO'!$B16,AUXILIAR!$I$6:$I$941,'FC-DIARIO'!C$7,AUXILIAR!$O$6:$O$941,'FC-DIARIO'!$F$5)</f>
        <v>0</v>
      </c>
      <c r="D16" s="53">
        <f>SUMIFS(AUXILIAR!$G$6:$G$941,AUXILIAR!$M$6:$M$941,'FC-DIARIO'!$B16,AUXILIAR!$I$6:$I$941,'FC-DIARIO'!D$7,AUXILIAR!$O$6:$O$941,'FC-DIARIO'!$F$5)</f>
        <v>50</v>
      </c>
      <c r="E16" s="54">
        <f t="shared" si="0"/>
        <v>-50</v>
      </c>
      <c r="F16" s="55"/>
      <c r="G16" s="52">
        <v>20</v>
      </c>
      <c r="H16" s="53">
        <f>SUMIFS(AUXILIAR!$G$6:$G$941,AUXILIAR!$M$6:$M$941,'FC-DIARIO'!$G16,AUXILIAR!$I$6:$I$941,'FC-DIARIO'!H$7,AUXILIAR!$O$6:$O$941,'FC-DIARIO'!$F$5)</f>
        <v>14.8333333333333</v>
      </c>
      <c r="I16" s="53">
        <f>SUMIFS(AUXILIAR!$G$6:$G$941,AUXILIAR!$M$6:$M$941,'FC-DIARIO'!$G16,AUXILIAR!$I$6:$I$941,'FC-DIARIO'!I$7,AUXILIAR!$O$6:$O$941,'FC-DIARIO'!$F$5)</f>
        <v>21</v>
      </c>
      <c r="J16" s="54">
        <f t="shared" si="1"/>
        <v>-6.1666666666666998</v>
      </c>
      <c r="K16" s="55"/>
      <c r="L16" s="52">
        <v>31</v>
      </c>
      <c r="M16" s="53">
        <f>SUMIFS(AUXILIAR!$G$6:$G$941,AUXILIAR!$M$6:$M$941,'FC-DIARIO'!$L16,AUXILIAR!$I$6:$I$941,'FC-DIARIO'!M$7,AUXILIAR!$O$6:$O$941,'FC-DIARIO'!$F$5)</f>
        <v>1</v>
      </c>
      <c r="N16" s="53">
        <f>SUMIFS(AUXILIAR!$G$6:$G$941,AUXILIAR!$M$6:$M$941,'FC-DIARIO'!$L16,AUXILIAR!$I$6:$I$941,'FC-DIARIO'!N$7,AUXILIAR!$O$6:$O$941,'FC-DIARIO'!$F$5)</f>
        <v>61.3333333333333</v>
      </c>
      <c r="O16" s="54">
        <f t="shared" si="2"/>
        <v>-60.3333333333333</v>
      </c>
    </row>
    <row r="17" spans="2:15" ht="30" customHeight="1" x14ac:dyDescent="0.25">
      <c r="B17" s="52">
        <v>10</v>
      </c>
      <c r="C17" s="53">
        <f>SUMIFS(AUXILIAR!$G$6:$G$941,AUXILIAR!$M$6:$M$941,'FC-DIARIO'!$B17,AUXILIAR!$I$6:$I$941,'FC-DIARIO'!C$7,AUXILIAR!$O$6:$O$941,'FC-DIARIO'!$F$5)</f>
        <v>0</v>
      </c>
      <c r="D17" s="53">
        <f>SUMIFS(AUXILIAR!$G$6:$G$941,AUXILIAR!$M$6:$M$941,'FC-DIARIO'!$B17,AUXILIAR!$I$6:$I$941,'FC-DIARIO'!D$7,AUXILIAR!$O$6:$O$941,'FC-DIARIO'!$F$5)</f>
        <v>52</v>
      </c>
      <c r="E17" s="54">
        <f t="shared" si="0"/>
        <v>-52</v>
      </c>
      <c r="F17" s="55"/>
      <c r="G17" s="52">
        <v>21</v>
      </c>
      <c r="H17" s="53">
        <f>SUMIFS(AUXILIAR!$G$6:$G$941,AUXILIAR!$M$6:$M$941,'FC-DIARIO'!$G17,AUXILIAR!$I$6:$I$941,'FC-DIARIO'!H$7,AUXILIAR!$O$6:$O$941,'FC-DIARIO'!$F$5)</f>
        <v>1</v>
      </c>
      <c r="I17" s="53">
        <f>SUMIFS(AUXILIAR!$G$6:$G$941,AUXILIAR!$M$6:$M$941,'FC-DIARIO'!$G17,AUXILIAR!$I$6:$I$941,'FC-DIARIO'!I$7,AUXILIAR!$O$6:$O$941,'FC-DIARIO'!$F$5)</f>
        <v>37.3333333333333</v>
      </c>
      <c r="J17" s="54">
        <f t="shared" si="1"/>
        <v>-36.3333333333333</v>
      </c>
      <c r="K17" s="55"/>
      <c r="L17" s="90" t="s">
        <v>32</v>
      </c>
      <c r="M17" s="91">
        <f>SUM(M8:M16,H8:H18,C8:C18)</f>
        <v>40.8333333333333</v>
      </c>
      <c r="N17" s="91">
        <f>SUM(N8:N16,I8:I18,D8:D18)</f>
        <v>1487.2333333333331</v>
      </c>
      <c r="O17" s="91">
        <f>M17-N17</f>
        <v>-1446.3999999999999</v>
      </c>
    </row>
    <row r="18" spans="2:15" ht="30" customHeight="1" x14ac:dyDescent="0.25">
      <c r="B18" s="52">
        <v>11</v>
      </c>
      <c r="C18" s="53">
        <f>SUMIFS(AUXILIAR!$G$6:$G$941,AUXILIAR!$M$6:$M$941,'FC-DIARIO'!$B18,AUXILIAR!$I$6:$I$941,'FC-DIARIO'!C$7,AUXILIAR!$O$6:$O$941,'FC-DIARIO'!$F$5)</f>
        <v>0</v>
      </c>
      <c r="D18" s="53">
        <f>SUMIFS(AUXILIAR!$G$6:$G$941,AUXILIAR!$M$6:$M$941,'FC-DIARIO'!$B18,AUXILIAR!$I$6:$I$941,'FC-DIARIO'!D$7,AUXILIAR!$O$6:$O$941,'FC-DIARIO'!$F$5)</f>
        <v>54</v>
      </c>
      <c r="E18" s="54">
        <f t="shared" si="0"/>
        <v>-54</v>
      </c>
      <c r="F18" s="55"/>
      <c r="G18" s="52">
        <v>22</v>
      </c>
      <c r="H18" s="53">
        <f>SUMIFS(AUXILIAR!$G$6:$G$941,AUXILIAR!$M$6:$M$941,'FC-DIARIO'!$G18,AUXILIAR!$I$6:$I$941,'FC-DIARIO'!H$7,AUXILIAR!$O$6:$O$941,'FC-DIARIO'!$F$5)</f>
        <v>1</v>
      </c>
      <c r="I18" s="53">
        <f>SUMIFS(AUXILIAR!$G$6:$G$941,AUXILIAR!$M$6:$M$941,'FC-DIARIO'!$G18,AUXILIAR!$I$6:$I$941,'FC-DIARIO'!I$7,AUXILIAR!$O$6:$O$941,'FC-DIARIO'!$F$5)</f>
        <v>39.8333333333333</v>
      </c>
      <c r="J18" s="54">
        <f t="shared" si="1"/>
        <v>-38.8333333333333</v>
      </c>
      <c r="K18" s="55"/>
      <c r="L18" s="91"/>
      <c r="M18" s="91"/>
      <c r="N18" s="91"/>
      <c r="O18" s="91"/>
    </row>
    <row r="19" spans="2:15" ht="30" customHeight="1" x14ac:dyDescent="0.25"/>
    <row r="20" spans="2:15" ht="30" customHeight="1" x14ac:dyDescent="0.25"/>
    <row r="21" spans="2:15" ht="30" customHeight="1" x14ac:dyDescent="0.25"/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/>
    <row r="29" spans="2:15" ht="30" customHeight="1" x14ac:dyDescent="0.25"/>
    <row r="30" spans="2:15" ht="30" customHeight="1" x14ac:dyDescent="0.25"/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mergeCells count="5">
    <mergeCell ref="L17:L18"/>
    <mergeCell ref="M17:M18"/>
    <mergeCell ref="N17:N18"/>
    <mergeCell ref="O17:O18"/>
    <mergeCell ref="D5:E5"/>
  </mergeCells>
  <conditionalFormatting sqref="F11 K11">
    <cfRule type="cellIs" dxfId="88" priority="53" operator="lessThan">
      <formula>0</formula>
    </cfRule>
    <cfRule type="cellIs" dxfId="87" priority="54" operator="greaterThan">
      <formula>0</formula>
    </cfRule>
  </conditionalFormatting>
  <conditionalFormatting sqref="F12 K12">
    <cfRule type="cellIs" dxfId="86" priority="51" operator="lessThan">
      <formula>0</formula>
    </cfRule>
    <cfRule type="cellIs" dxfId="85" priority="52" operator="greaterThan">
      <formula>0</formula>
    </cfRule>
  </conditionalFormatting>
  <conditionalFormatting sqref="E8:E18">
    <cfRule type="cellIs" dxfId="84" priority="20" operator="lessThan">
      <formula>0</formula>
    </cfRule>
    <cfRule type="cellIs" dxfId="83" priority="21" operator="greaterThan">
      <formula>0</formula>
    </cfRule>
  </conditionalFormatting>
  <conditionalFormatting sqref="E8:E18">
    <cfRule type="cellIs" dxfId="82" priority="19" operator="equal">
      <formula>0</formula>
    </cfRule>
  </conditionalFormatting>
  <conditionalFormatting sqref="J8:J18">
    <cfRule type="cellIs" dxfId="81" priority="11" operator="lessThan">
      <formula>0</formula>
    </cfRule>
    <cfRule type="cellIs" dxfId="80" priority="12" operator="greaterThan">
      <formula>0</formula>
    </cfRule>
  </conditionalFormatting>
  <conditionalFormatting sqref="J8:J18">
    <cfRule type="cellIs" dxfId="79" priority="10" operator="equal">
      <formula>0</formula>
    </cfRule>
  </conditionalFormatting>
  <conditionalFormatting sqref="O8:O16">
    <cfRule type="cellIs" dxfId="78" priority="8" operator="lessThan">
      <formula>0</formula>
    </cfRule>
    <cfRule type="cellIs" dxfId="77" priority="9" operator="greaterThan">
      <formula>0</formula>
    </cfRule>
  </conditionalFormatting>
  <conditionalFormatting sqref="O8:O16">
    <cfRule type="cellIs" dxfId="76" priority="7" operator="equal">
      <formula>0</formula>
    </cfRule>
  </conditionalFormatting>
  <conditionalFormatting sqref="L17:M17">
    <cfRule type="cellIs" dxfId="75" priority="5" operator="lessThan">
      <formula>0</formula>
    </cfRule>
    <cfRule type="cellIs" dxfId="74" priority="6" operator="greaterThan">
      <formula>0</formula>
    </cfRule>
  </conditionalFormatting>
  <conditionalFormatting sqref="L17:M17">
    <cfRule type="cellIs" dxfId="73" priority="4" operator="equal">
      <formula>0</formula>
    </cfRule>
  </conditionalFormatting>
  <conditionalFormatting sqref="N17:O17">
    <cfRule type="cellIs" dxfId="72" priority="2" operator="lessThan">
      <formula>0</formula>
    </cfRule>
    <cfRule type="cellIs" dxfId="71" priority="3" operator="greaterThan">
      <formula>0</formula>
    </cfRule>
  </conditionalFormatting>
  <conditionalFormatting sqref="N17:O17">
    <cfRule type="cellIs" dxfId="70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AUXILIAR!$S$6:$S$17</xm:f>
          </x14:formula1>
          <xm:sqref>F5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1"/>
  <dimension ref="B1:P100"/>
  <sheetViews>
    <sheetView showGridLines="0" zoomScale="60" zoomScaleNormal="60" workbookViewId="0">
      <pane ySplit="7" topLeftCell="A18" activePane="bottomLeft" state="frozen"/>
      <selection activeCell="B7" sqref="B7"/>
      <selection pane="bottomLeft"/>
    </sheetView>
  </sheetViews>
  <sheetFormatPr defaultRowHeight="15" x14ac:dyDescent="0.25"/>
  <cols>
    <col min="1" max="1" width="9.140625" style="26"/>
    <col min="2" max="2" width="26.85546875" style="26" customWidth="1"/>
    <col min="3" max="3" width="22.28515625" style="26" bestFit="1" customWidth="1"/>
    <col min="4" max="4" width="16.140625" style="26" bestFit="1" customWidth="1"/>
    <col min="5" max="5" width="14.42578125" style="26" customWidth="1"/>
    <col min="6" max="6" width="15.140625" style="26" customWidth="1"/>
    <col min="7" max="7" width="12.7109375" style="26" customWidth="1"/>
    <col min="8" max="9" width="14.42578125" style="26" customWidth="1"/>
    <col min="10" max="10" width="12.7109375" style="26" customWidth="1"/>
    <col min="11" max="11" width="14" style="26" customWidth="1"/>
    <col min="12" max="12" width="14.28515625" style="26" customWidth="1"/>
    <col min="13" max="14" width="15.5703125" style="26" bestFit="1" customWidth="1"/>
    <col min="15" max="15" width="18" style="26" bestFit="1" customWidth="1"/>
    <col min="16" max="16" width="16.5703125" style="26" bestFit="1" customWidth="1"/>
    <col min="17" max="16384" width="9.140625" style="26"/>
  </cols>
  <sheetData>
    <row r="1" spans="2:16" s="62" customFormat="1" ht="31.5" customHeight="1" x14ac:dyDescent="0.25"/>
    <row r="2" spans="2:16" s="62" customFormat="1" ht="36" customHeight="1" x14ac:dyDescent="0.25"/>
    <row r="7" spans="2:16" x14ac:dyDescent="0.25">
      <c r="B7" s="24" t="s">
        <v>78</v>
      </c>
      <c r="C7" s="25" t="s">
        <v>20</v>
      </c>
      <c r="D7" s="25" t="s">
        <v>21</v>
      </c>
      <c r="E7" s="25" t="s">
        <v>22</v>
      </c>
      <c r="F7" s="25" t="s">
        <v>23</v>
      </c>
      <c r="G7" s="25" t="s">
        <v>24</v>
      </c>
      <c r="H7" s="25" t="s">
        <v>25</v>
      </c>
      <c r="I7" s="25" t="s">
        <v>26</v>
      </c>
      <c r="J7" s="25" t="s">
        <v>27</v>
      </c>
      <c r="K7" s="25" t="s">
        <v>28</v>
      </c>
      <c r="L7" s="25" t="s">
        <v>29</v>
      </c>
      <c r="M7" s="25" t="s">
        <v>30</v>
      </c>
      <c r="N7" s="25" t="s">
        <v>31</v>
      </c>
      <c r="O7" s="25" t="s">
        <v>37</v>
      </c>
      <c r="P7" s="25" t="s">
        <v>32</v>
      </c>
    </row>
    <row r="8" spans="2:16" x14ac:dyDescent="0.25">
      <c r="B8" s="24" t="s">
        <v>33</v>
      </c>
      <c r="C8" s="27">
        <v>100000</v>
      </c>
      <c r="D8" s="27">
        <f>C18</f>
        <v>-45069</v>
      </c>
      <c r="E8" s="27">
        <f t="shared" ref="E8:N8" si="0">D18</f>
        <v>-7630</v>
      </c>
      <c r="F8" s="27">
        <f t="shared" si="0"/>
        <v>0</v>
      </c>
      <c r="G8" s="27">
        <f t="shared" si="0"/>
        <v>-356.2</v>
      </c>
      <c r="H8" s="27">
        <f t="shared" si="0"/>
        <v>-17330</v>
      </c>
      <c r="I8" s="27">
        <f t="shared" si="0"/>
        <v>-10836.666666666657</v>
      </c>
      <c r="J8" s="27">
        <f t="shared" si="0"/>
        <v>-7142</v>
      </c>
      <c r="K8" s="27">
        <f t="shared" si="0"/>
        <v>-521</v>
      </c>
      <c r="L8" s="27">
        <f t="shared" si="0"/>
        <v>-24592</v>
      </c>
      <c r="M8" s="27">
        <f t="shared" si="0"/>
        <v>-7248</v>
      </c>
      <c r="N8" s="27">
        <f t="shared" si="0"/>
        <v>-6988</v>
      </c>
      <c r="O8" s="27">
        <f>SUM(C8:N8)</f>
        <v>-27712.866666666654</v>
      </c>
      <c r="P8" s="27">
        <f>C8</f>
        <v>100000</v>
      </c>
    </row>
    <row r="9" spans="2:16" x14ac:dyDescent="0.25">
      <c r="B9" s="24" t="str">
        <f>'plano de contas'!B7</f>
        <v>RECEITAS COM PRODUTOS</v>
      </c>
      <c r="C9" s="28">
        <f>C22</f>
        <v>20720</v>
      </c>
      <c r="D9" s="28">
        <f t="shared" ref="D9:P9" si="1">D22</f>
        <v>3535</v>
      </c>
      <c r="E9" s="28">
        <f t="shared" si="1"/>
        <v>0</v>
      </c>
      <c r="F9" s="28">
        <f t="shared" si="1"/>
        <v>169.39999999999998</v>
      </c>
      <c r="G9" s="28">
        <f t="shared" si="1"/>
        <v>8078</v>
      </c>
      <c r="H9" s="28">
        <f t="shared" si="1"/>
        <v>5041.1666666666615</v>
      </c>
      <c r="I9" s="28">
        <f t="shared" si="1"/>
        <v>3276</v>
      </c>
      <c r="J9" s="28">
        <f t="shared" si="1"/>
        <v>238</v>
      </c>
      <c r="K9" s="28">
        <f t="shared" si="1"/>
        <v>11466</v>
      </c>
      <c r="L9" s="28">
        <f t="shared" si="1"/>
        <v>3378</v>
      </c>
      <c r="M9" s="28">
        <f t="shared" si="1"/>
        <v>3255</v>
      </c>
      <c r="N9" s="28">
        <f t="shared" si="1"/>
        <v>16690</v>
      </c>
      <c r="O9" s="28">
        <f t="shared" si="1"/>
        <v>75846.566666666666</v>
      </c>
      <c r="P9" s="28">
        <f t="shared" si="1"/>
        <v>75846.566666666666</v>
      </c>
    </row>
    <row r="10" spans="2:16" x14ac:dyDescent="0.25">
      <c r="B10" s="24" t="str">
        <f>'plano de contas'!D7</f>
        <v>RECEITAS COM SERVIÇOS</v>
      </c>
      <c r="C10" s="28">
        <f>C36</f>
        <v>23584</v>
      </c>
      <c r="D10" s="28">
        <f t="shared" ref="D10:P10" si="2">D36</f>
        <v>4040</v>
      </c>
      <c r="E10" s="28">
        <f t="shared" si="2"/>
        <v>0</v>
      </c>
      <c r="F10" s="28">
        <f t="shared" si="2"/>
        <v>193.59999999999997</v>
      </c>
      <c r="G10" s="28">
        <f t="shared" si="2"/>
        <v>9232</v>
      </c>
      <c r="H10" s="28">
        <f t="shared" si="2"/>
        <v>5761.3333333333276</v>
      </c>
      <c r="I10" s="28">
        <f t="shared" si="2"/>
        <v>3744</v>
      </c>
      <c r="J10" s="28">
        <f t="shared" si="2"/>
        <v>272</v>
      </c>
      <c r="K10" s="28">
        <f t="shared" si="2"/>
        <v>13104</v>
      </c>
      <c r="L10" s="28">
        <f t="shared" si="2"/>
        <v>3856</v>
      </c>
      <c r="M10" s="28">
        <f t="shared" si="2"/>
        <v>3729</v>
      </c>
      <c r="N10" s="28">
        <f t="shared" si="2"/>
        <v>14216</v>
      </c>
      <c r="O10" s="28">
        <f t="shared" si="2"/>
        <v>81731.933333333334</v>
      </c>
      <c r="P10" s="28">
        <f t="shared" si="2"/>
        <v>81731.933333333334</v>
      </c>
    </row>
    <row r="11" spans="2:16" x14ac:dyDescent="0.25">
      <c r="B11" s="24" t="s">
        <v>34</v>
      </c>
      <c r="C11" s="27">
        <f>SUM(C9:C10)</f>
        <v>44304</v>
      </c>
      <c r="D11" s="27">
        <f t="shared" ref="D11:N11" si="3">SUM(D9:D10)</f>
        <v>7575</v>
      </c>
      <c r="E11" s="27">
        <f t="shared" si="3"/>
        <v>0</v>
      </c>
      <c r="F11" s="27">
        <f t="shared" si="3"/>
        <v>362.99999999999994</v>
      </c>
      <c r="G11" s="27">
        <f t="shared" si="3"/>
        <v>17310</v>
      </c>
      <c r="H11" s="27">
        <f t="shared" si="3"/>
        <v>10802.499999999989</v>
      </c>
      <c r="I11" s="27">
        <f t="shared" si="3"/>
        <v>7020</v>
      </c>
      <c r="J11" s="27">
        <f t="shared" si="3"/>
        <v>510</v>
      </c>
      <c r="K11" s="27">
        <f t="shared" si="3"/>
        <v>24570</v>
      </c>
      <c r="L11" s="27">
        <f t="shared" si="3"/>
        <v>7234</v>
      </c>
      <c r="M11" s="27">
        <f t="shared" si="3"/>
        <v>6984</v>
      </c>
      <c r="N11" s="27">
        <f t="shared" si="3"/>
        <v>30906</v>
      </c>
      <c r="O11" s="27">
        <f>SUM(C11:N11)</f>
        <v>157578.5</v>
      </c>
      <c r="P11" s="27">
        <f>SUM(C11:N11)</f>
        <v>157578.5</v>
      </c>
    </row>
    <row r="12" spans="2:16" x14ac:dyDescent="0.25">
      <c r="B12" s="24" t="str">
        <f>'plano de contas'!F7</f>
        <v>DESPESAS COM PRODUTOS</v>
      </c>
      <c r="C12" s="28">
        <f>C49</f>
        <v>24544</v>
      </c>
      <c r="D12" s="28">
        <f t="shared" ref="D12:P12" si="4">D49</f>
        <v>4056</v>
      </c>
      <c r="E12" s="28">
        <f t="shared" si="4"/>
        <v>0</v>
      </c>
      <c r="F12" s="28">
        <f t="shared" si="4"/>
        <v>194.59999999999997</v>
      </c>
      <c r="G12" s="28">
        <f t="shared" si="4"/>
        <v>9232</v>
      </c>
      <c r="H12" s="28">
        <f t="shared" si="4"/>
        <v>5778.1666666666606</v>
      </c>
      <c r="I12" s="28">
        <f t="shared" si="4"/>
        <v>3755</v>
      </c>
      <c r="J12" s="28">
        <f t="shared" si="4"/>
        <v>272</v>
      </c>
      <c r="K12" s="28">
        <f t="shared" si="4"/>
        <v>13115</v>
      </c>
      <c r="L12" s="28">
        <f t="shared" si="4"/>
        <v>3867</v>
      </c>
      <c r="M12" s="28">
        <f t="shared" si="4"/>
        <v>3731</v>
      </c>
      <c r="N12" s="28">
        <f t="shared" si="4"/>
        <v>12226</v>
      </c>
      <c r="O12" s="28">
        <f t="shared" si="4"/>
        <v>80770.766666666663</v>
      </c>
      <c r="P12" s="28">
        <f t="shared" si="4"/>
        <v>80770.766666666663</v>
      </c>
    </row>
    <row r="13" spans="2:16" x14ac:dyDescent="0.25">
      <c r="B13" s="24" t="str">
        <f>'plano de contas'!H7</f>
        <v>DESPESAS COM MARKETING</v>
      </c>
      <c r="C13" s="28">
        <f>C62</f>
        <v>23619</v>
      </c>
      <c r="D13" s="28">
        <f t="shared" ref="D13:P13" si="5">D62</f>
        <v>4067</v>
      </c>
      <c r="E13" s="28">
        <f t="shared" si="5"/>
        <v>0</v>
      </c>
      <c r="F13" s="28">
        <f t="shared" si="5"/>
        <v>195.59999999999997</v>
      </c>
      <c r="G13" s="28">
        <f t="shared" si="5"/>
        <v>9237</v>
      </c>
      <c r="H13" s="28">
        <f t="shared" si="5"/>
        <v>5766.3333333333276</v>
      </c>
      <c r="I13" s="28">
        <f t="shared" si="5"/>
        <v>3747</v>
      </c>
      <c r="J13" s="28">
        <f t="shared" si="5"/>
        <v>275</v>
      </c>
      <c r="K13" s="28">
        <f t="shared" si="5"/>
        <v>13107</v>
      </c>
      <c r="L13" s="28">
        <f t="shared" si="5"/>
        <v>3859</v>
      </c>
      <c r="M13" s="28">
        <f t="shared" si="5"/>
        <v>3723</v>
      </c>
      <c r="N13" s="28">
        <f t="shared" si="5"/>
        <v>12216</v>
      </c>
      <c r="O13" s="28">
        <f t="shared" si="5"/>
        <v>79811.933333333334</v>
      </c>
      <c r="P13" s="28">
        <f t="shared" si="5"/>
        <v>79811.933333333334</v>
      </c>
    </row>
    <row r="14" spans="2:16" x14ac:dyDescent="0.25">
      <c r="B14" s="24" t="str">
        <f>'plano de contas'!J7</f>
        <v>DESPESAS COM RH</v>
      </c>
      <c r="C14" s="28">
        <f>C75</f>
        <v>20609</v>
      </c>
      <c r="D14" s="28">
        <f t="shared" ref="D14:P14" si="6">D75</f>
        <v>3547</v>
      </c>
      <c r="E14" s="28">
        <f t="shared" si="6"/>
        <v>0</v>
      </c>
      <c r="F14" s="28">
        <f t="shared" si="6"/>
        <v>159.6</v>
      </c>
      <c r="G14" s="28">
        <f t="shared" si="6"/>
        <v>8093</v>
      </c>
      <c r="H14" s="28">
        <f t="shared" si="6"/>
        <v>5053.4999999999945</v>
      </c>
      <c r="I14" s="28">
        <f t="shared" si="6"/>
        <v>3384</v>
      </c>
      <c r="J14" s="28">
        <f t="shared" si="6"/>
        <v>246</v>
      </c>
      <c r="K14" s="28">
        <f t="shared" si="6"/>
        <v>11474</v>
      </c>
      <c r="L14" s="28">
        <f t="shared" si="6"/>
        <v>3382</v>
      </c>
      <c r="M14" s="28">
        <f t="shared" si="6"/>
        <v>3263</v>
      </c>
      <c r="N14" s="28">
        <f t="shared" si="6"/>
        <v>20696</v>
      </c>
      <c r="O14" s="28">
        <f t="shared" si="6"/>
        <v>79907.100000000006</v>
      </c>
      <c r="P14" s="28">
        <f t="shared" si="6"/>
        <v>79907.100000000006</v>
      </c>
    </row>
    <row r="15" spans="2:16" x14ac:dyDescent="0.25">
      <c r="B15" s="24" t="str">
        <f>'plano de contas'!L7</f>
        <v>DESPESAS OPERACIONAIS</v>
      </c>
      <c r="C15" s="28">
        <f>C88</f>
        <v>20601</v>
      </c>
      <c r="D15" s="28">
        <f t="shared" ref="D15:P15" si="7">D88</f>
        <v>3535</v>
      </c>
      <c r="E15" s="28">
        <f t="shared" si="7"/>
        <v>0</v>
      </c>
      <c r="F15" s="28">
        <f t="shared" si="7"/>
        <v>169.39999999999998</v>
      </c>
      <c r="G15" s="28">
        <f t="shared" si="7"/>
        <v>8078</v>
      </c>
      <c r="H15" s="28">
        <f t="shared" si="7"/>
        <v>5041.1666666666615</v>
      </c>
      <c r="I15" s="28">
        <f t="shared" si="7"/>
        <v>3276</v>
      </c>
      <c r="J15" s="28">
        <f t="shared" si="7"/>
        <v>238</v>
      </c>
      <c r="K15" s="28">
        <f t="shared" si="7"/>
        <v>11466</v>
      </c>
      <c r="L15" s="28">
        <f t="shared" si="7"/>
        <v>3374</v>
      </c>
      <c r="M15" s="28">
        <f t="shared" si="7"/>
        <v>3255</v>
      </c>
      <c r="N15" s="28">
        <f t="shared" si="7"/>
        <v>10697</v>
      </c>
      <c r="O15" s="28">
        <f t="shared" si="7"/>
        <v>69730.566666666666</v>
      </c>
      <c r="P15" s="28">
        <f t="shared" si="7"/>
        <v>69730.566666666666</v>
      </c>
    </row>
    <row r="16" spans="2:16" x14ac:dyDescent="0.25">
      <c r="B16" s="24" t="s">
        <v>35</v>
      </c>
      <c r="C16" s="27">
        <f>SUM(C12:C15)</f>
        <v>89373</v>
      </c>
      <c r="D16" s="27">
        <f t="shared" ref="D16:P16" si="8">SUM(D12:D15)</f>
        <v>15205</v>
      </c>
      <c r="E16" s="27">
        <f t="shared" si="8"/>
        <v>0</v>
      </c>
      <c r="F16" s="27">
        <f t="shared" si="8"/>
        <v>719.19999999999993</v>
      </c>
      <c r="G16" s="27">
        <f t="shared" si="8"/>
        <v>34640</v>
      </c>
      <c r="H16" s="27">
        <f t="shared" si="8"/>
        <v>21639.166666666646</v>
      </c>
      <c r="I16" s="27">
        <f t="shared" si="8"/>
        <v>14162</v>
      </c>
      <c r="J16" s="27">
        <f t="shared" si="8"/>
        <v>1031</v>
      </c>
      <c r="K16" s="27">
        <f t="shared" si="8"/>
        <v>49162</v>
      </c>
      <c r="L16" s="27">
        <f t="shared" si="8"/>
        <v>14482</v>
      </c>
      <c r="M16" s="27">
        <f t="shared" si="8"/>
        <v>13972</v>
      </c>
      <c r="N16" s="27">
        <f t="shared" si="8"/>
        <v>55835</v>
      </c>
      <c r="O16" s="27">
        <f t="shared" si="8"/>
        <v>310220.3666666667</v>
      </c>
      <c r="P16" s="27">
        <f t="shared" si="8"/>
        <v>310220.3666666667</v>
      </c>
    </row>
    <row r="17" spans="2:16" x14ac:dyDescent="0.25">
      <c r="B17" s="24" t="s">
        <v>15</v>
      </c>
      <c r="C17" s="28">
        <f t="shared" ref="C17:N17" si="9">C11-C16</f>
        <v>-45069</v>
      </c>
      <c r="D17" s="28">
        <f t="shared" si="9"/>
        <v>-7630</v>
      </c>
      <c r="E17" s="28">
        <f t="shared" si="9"/>
        <v>0</v>
      </c>
      <c r="F17" s="28">
        <f t="shared" si="9"/>
        <v>-356.2</v>
      </c>
      <c r="G17" s="28">
        <f t="shared" si="9"/>
        <v>-17330</v>
      </c>
      <c r="H17" s="28">
        <f t="shared" si="9"/>
        <v>-10836.666666666657</v>
      </c>
      <c r="I17" s="28">
        <f t="shared" si="9"/>
        <v>-7142</v>
      </c>
      <c r="J17" s="28">
        <f t="shared" si="9"/>
        <v>-521</v>
      </c>
      <c r="K17" s="28">
        <f t="shared" si="9"/>
        <v>-24592</v>
      </c>
      <c r="L17" s="28">
        <f t="shared" si="9"/>
        <v>-7248</v>
      </c>
      <c r="M17" s="28">
        <f t="shared" si="9"/>
        <v>-6988</v>
      </c>
      <c r="N17" s="28">
        <f t="shared" si="9"/>
        <v>-24929</v>
      </c>
      <c r="O17" s="28">
        <f>SUM(C17:N17)</f>
        <v>-152641.86666666664</v>
      </c>
      <c r="P17" s="28">
        <f>P11-P16</f>
        <v>-152641.8666666667</v>
      </c>
    </row>
    <row r="18" spans="2:16" x14ac:dyDescent="0.25">
      <c r="B18" s="24" t="s">
        <v>36</v>
      </c>
      <c r="C18" s="28">
        <f>C17</f>
        <v>-45069</v>
      </c>
      <c r="D18" s="28">
        <f t="shared" ref="D18:N18" si="10">D17</f>
        <v>-7630</v>
      </c>
      <c r="E18" s="28">
        <f t="shared" si="10"/>
        <v>0</v>
      </c>
      <c r="F18" s="28">
        <f t="shared" si="10"/>
        <v>-356.2</v>
      </c>
      <c r="G18" s="28">
        <f t="shared" si="10"/>
        <v>-17330</v>
      </c>
      <c r="H18" s="28">
        <f t="shared" si="10"/>
        <v>-10836.666666666657</v>
      </c>
      <c r="I18" s="28">
        <f t="shared" si="10"/>
        <v>-7142</v>
      </c>
      <c r="J18" s="28">
        <f t="shared" si="10"/>
        <v>-521</v>
      </c>
      <c r="K18" s="28">
        <f t="shared" si="10"/>
        <v>-24592</v>
      </c>
      <c r="L18" s="28">
        <f t="shared" si="10"/>
        <v>-7248</v>
      </c>
      <c r="M18" s="28">
        <f t="shared" si="10"/>
        <v>-6988</v>
      </c>
      <c r="N18" s="28">
        <f t="shared" si="10"/>
        <v>-24929</v>
      </c>
      <c r="O18" s="28">
        <f>SUM(C18:N18)</f>
        <v>-152641.86666666664</v>
      </c>
      <c r="P18" s="28">
        <f>N18</f>
        <v>-24929</v>
      </c>
    </row>
    <row r="21" spans="2:16" x14ac:dyDescent="0.25">
      <c r="B21" s="24" t="s">
        <v>34</v>
      </c>
    </row>
    <row r="22" spans="2:16" x14ac:dyDescent="0.25">
      <c r="B22" s="24" t="str">
        <f>'plano de contas'!B7</f>
        <v>RECEITAS COM PRODUTOS</v>
      </c>
      <c r="C22" s="27">
        <f>SUM(C23:C33)</f>
        <v>20720</v>
      </c>
      <c r="D22" s="27">
        <f t="shared" ref="D22:P22" si="11">SUM(D23:D33)</f>
        <v>3535</v>
      </c>
      <c r="E22" s="27">
        <f t="shared" si="11"/>
        <v>0</v>
      </c>
      <c r="F22" s="27">
        <f t="shared" si="11"/>
        <v>169.39999999999998</v>
      </c>
      <c r="G22" s="27">
        <f t="shared" si="11"/>
        <v>8078</v>
      </c>
      <c r="H22" s="27">
        <f t="shared" si="11"/>
        <v>5041.1666666666615</v>
      </c>
      <c r="I22" s="27">
        <f t="shared" si="11"/>
        <v>3276</v>
      </c>
      <c r="J22" s="27">
        <f t="shared" si="11"/>
        <v>238</v>
      </c>
      <c r="K22" s="27">
        <f t="shared" si="11"/>
        <v>11466</v>
      </c>
      <c r="L22" s="27">
        <f t="shared" si="11"/>
        <v>3378</v>
      </c>
      <c r="M22" s="27">
        <f t="shared" si="11"/>
        <v>3255</v>
      </c>
      <c r="N22" s="27">
        <f t="shared" si="11"/>
        <v>16690</v>
      </c>
      <c r="O22" s="27">
        <f t="shared" si="11"/>
        <v>75846.566666666666</v>
      </c>
      <c r="P22" s="27">
        <f t="shared" si="11"/>
        <v>75846.566666666666</v>
      </c>
    </row>
    <row r="23" spans="2:16" x14ac:dyDescent="0.25">
      <c r="B23" s="24" t="str">
        <f>'plano de contas'!B8</f>
        <v>PLANILHAS EMPRESARIAS</v>
      </c>
      <c r="C23" s="26">
        <f>SUMIFS(JANEIRO!$H$7:$H$84,JANEIRO!$E$7:$E$84,'DRE1'!$B23)</f>
        <v>19</v>
      </c>
      <c r="D23" s="26">
        <f>SUMIFS(FEVEREIRO!$H$7:$H$84,FEVEREIRO!$E$7:$E$84,'DRE1'!$B23)</f>
        <v>0</v>
      </c>
      <c r="E23" s="26">
        <f>SUMIFS(MARÇO!$H$7:$H$84,MARÇO!$E$7:$E$84,'DRE1'!$B23)</f>
        <v>0</v>
      </c>
      <c r="F23" s="26">
        <f>SUMIFS(ABRIL!$H$7:$H$84,ABRIL!$E$7:$E$84,'DRE1'!$B23)</f>
        <v>0</v>
      </c>
      <c r="G23" s="26">
        <f>SUMIFS(MAIO!$H$7:$H$84,MAIO!$E$7:$E$84,'DRE1'!$B23)</f>
        <v>0</v>
      </c>
      <c r="H23" s="26">
        <f>SUMIFS(JUNHO!$H$7:$H$84,JUNHO!$E$7:$E$84,'DRE1'!$B23)</f>
        <v>0</v>
      </c>
      <c r="I23" s="26">
        <f>SUMIFS(JULHO!$H$7:$H$84,JULHO!$E$7:$E$84,'DRE1'!$B23)</f>
        <v>0</v>
      </c>
      <c r="J23" s="26">
        <f>SUMIFS(AGOSTO!$H$7:$H$84,AGOSTO!$E$7:$E$84,'DRE1'!$B23)</f>
        <v>0</v>
      </c>
      <c r="K23" s="26">
        <f>SUMIFS(SETEMBRO!$H$7:$H$84,SETEMBRO!$E$7:$E$84,'DRE1'!$B23)</f>
        <v>0</v>
      </c>
      <c r="L23" s="26">
        <f>SUMIFS(OUTUBRO!$H$7:$H$84,OUTUBRO!$E$7:$E$84,'DRE1'!$B23)</f>
        <v>0</v>
      </c>
      <c r="M23" s="26">
        <f>SUMIFS(NOVEMBRO!$H$7:$H$84,NOVEMBRO!$E$7:$E$84,'DRE1'!$B23)</f>
        <v>0</v>
      </c>
      <c r="N23" s="26">
        <f>SUMIFS(DEZEMBRO!$H$7:$H$84,DEZEMBRO!$E$7:$E$84,'DRE1'!$B23)</f>
        <v>0</v>
      </c>
      <c r="O23" s="26">
        <f>SUM(C23:N23)</f>
        <v>19</v>
      </c>
      <c r="P23" s="26">
        <f>SUM(C23:N23)</f>
        <v>19</v>
      </c>
    </row>
    <row r="24" spans="2:16" x14ac:dyDescent="0.25">
      <c r="B24" s="24" t="str">
        <f>'plano de contas'!B9</f>
        <v>CURSOS ONLINE</v>
      </c>
      <c r="C24" s="26">
        <f>SUMIFS(JANEIRO!$H$7:$H$84,JANEIRO!$E$7:$E$84,'DRE1'!$B24)</f>
        <v>100</v>
      </c>
      <c r="D24" s="26">
        <f>SUMIFS(FEVEREIRO!$H$7:$H$84,FEVEREIRO!$E$7:$E$84,'DRE1'!$B24)</f>
        <v>0</v>
      </c>
      <c r="E24" s="26">
        <f>SUMIFS(MARÇO!$H$7:$H$84,MARÇO!$E$7:$E$84,'DRE1'!$B24)</f>
        <v>0</v>
      </c>
      <c r="F24" s="26">
        <f>SUMIFS(ABRIL!$H$7:$H$84,ABRIL!$E$7:$E$84,'DRE1'!$B24)</f>
        <v>0</v>
      </c>
      <c r="G24" s="26">
        <f>SUMIFS(MAIO!$H$7:$H$84,MAIO!$E$7:$E$84,'DRE1'!$B24)</f>
        <v>0</v>
      </c>
      <c r="H24" s="26">
        <f>SUMIFS(JUNHO!$H$7:$H$84,JUNHO!$E$7:$E$84,'DRE1'!$B24)</f>
        <v>0</v>
      </c>
      <c r="I24" s="26">
        <f>SUMIFS(JULHO!$H$7:$H$84,JULHO!$E$7:$E$84,'DRE1'!$B24)</f>
        <v>0</v>
      </c>
      <c r="J24" s="26">
        <f>SUMIFS(AGOSTO!$H$7:$H$84,AGOSTO!$E$7:$E$84,'DRE1'!$B24)</f>
        <v>0</v>
      </c>
      <c r="K24" s="26">
        <f>SUMIFS(SETEMBRO!$H$7:$H$84,SETEMBRO!$E$7:$E$84,'DRE1'!$B24)</f>
        <v>0</v>
      </c>
      <c r="L24" s="26">
        <f>SUMIFS(OUTUBRO!$H$7:$H$84,OUTUBRO!$E$7:$E$84,'DRE1'!$B24)</f>
        <v>0</v>
      </c>
      <c r="M24" s="26">
        <f>SUMIFS(NOVEMBRO!$H$7:$H$84,NOVEMBRO!$E$7:$E$84,'DRE1'!$B24)</f>
        <v>0</v>
      </c>
      <c r="N24" s="26">
        <f>SUMIFS(DEZEMBRO!$H$7:$H$84,DEZEMBRO!$E$7:$E$84,'DRE1'!$B24)</f>
        <v>0</v>
      </c>
      <c r="O24" s="26">
        <f t="shared" ref="O24:O33" si="12">SUM(C24:N24)</f>
        <v>100</v>
      </c>
      <c r="P24" s="26">
        <f t="shared" ref="P24:P33" si="13">SUM(C24:N24)</f>
        <v>100</v>
      </c>
    </row>
    <row r="25" spans="2:16" x14ac:dyDescent="0.25">
      <c r="B25" s="24" t="str">
        <f>'plano de contas'!B10</f>
        <v>APRESENTAÇÕES</v>
      </c>
      <c r="C25" s="26">
        <f>SUMIFS(JANEIRO!$H$7:$H$84,JANEIRO!$E$7:$E$84,'DRE1'!$B25)</f>
        <v>0</v>
      </c>
      <c r="D25" s="26">
        <f>SUMIFS(FEVEREIRO!$H$7:$H$84,FEVEREIRO!$E$7:$E$84,'DRE1'!$B25)</f>
        <v>0</v>
      </c>
      <c r="E25" s="26">
        <f>SUMIFS(MARÇO!$H$7:$H$84,MARÇO!$E$7:$E$84,'DRE1'!$B25)</f>
        <v>0</v>
      </c>
      <c r="F25" s="26">
        <f>SUMIFS(ABRIL!$H$7:$H$84,ABRIL!$E$7:$E$84,'DRE1'!$B25)</f>
        <v>0</v>
      </c>
      <c r="G25" s="26">
        <f>SUMIFS(MAIO!$H$7:$H$84,MAIO!$E$7:$E$84,'DRE1'!$B25)</f>
        <v>0</v>
      </c>
      <c r="H25" s="26">
        <f>SUMIFS(JUNHO!$H$7:$H$84,JUNHO!$E$7:$E$84,'DRE1'!$B25)</f>
        <v>0</v>
      </c>
      <c r="I25" s="26">
        <f>SUMIFS(JULHO!$H$7:$H$84,JULHO!$E$7:$E$84,'DRE1'!$B25)</f>
        <v>0</v>
      </c>
      <c r="J25" s="26">
        <f>SUMIFS(AGOSTO!$H$7:$H$84,AGOSTO!$E$7:$E$84,'DRE1'!$B25)</f>
        <v>0</v>
      </c>
      <c r="K25" s="26">
        <f>SUMIFS(SETEMBRO!$H$7:$H$84,SETEMBRO!$E$7:$E$84,'DRE1'!$B25)</f>
        <v>0</v>
      </c>
      <c r="L25" s="26">
        <f>SUMIFS(OUTUBRO!$H$7:$H$84,OUTUBRO!$E$7:$E$84,'DRE1'!$B25)</f>
        <v>4</v>
      </c>
      <c r="M25" s="26">
        <f>SUMIFS(NOVEMBRO!$H$7:$H$84,NOVEMBRO!$E$7:$E$84,'DRE1'!$B25)</f>
        <v>0</v>
      </c>
      <c r="N25" s="26">
        <f>SUMIFS(DEZEMBRO!$H$7:$H$84,DEZEMBRO!$E$7:$E$84,'DRE1'!$B25)</f>
        <v>0</v>
      </c>
      <c r="O25" s="26">
        <f t="shared" si="12"/>
        <v>4</v>
      </c>
      <c r="P25" s="26">
        <f t="shared" si="13"/>
        <v>4</v>
      </c>
    </row>
    <row r="26" spans="2:16" x14ac:dyDescent="0.25">
      <c r="B26" s="24" t="str">
        <f>'plano de contas'!B11</f>
        <v>-</v>
      </c>
      <c r="C26" s="26">
        <f>SUMIFS(JANEIRO!$H$7:$H$84,JANEIRO!$E$7:$E$84,'DRE1'!$B26)</f>
        <v>2943</v>
      </c>
      <c r="D26" s="26">
        <f>SUMIFS(FEVEREIRO!$H$7:$H$84,FEVEREIRO!$E$7:$E$84,'DRE1'!$B26)</f>
        <v>505</v>
      </c>
      <c r="E26" s="26">
        <f>SUMIFS(MARÇO!$H$7:$H$84,MARÇO!$E$7:$E$84,'DRE1'!$B26)</f>
        <v>0</v>
      </c>
      <c r="F26" s="26">
        <f>SUMIFS(ABRIL!$H$7:$H$84,ABRIL!$E$7:$E$84,'DRE1'!$B26)</f>
        <v>24.2</v>
      </c>
      <c r="G26" s="26">
        <f>SUMIFS(MAIO!$H$7:$H$84,MAIO!$E$7:$E$84,'DRE1'!$B26)</f>
        <v>1154</v>
      </c>
      <c r="H26" s="26">
        <f>SUMIFS(JUNHO!$H$7:$H$84,JUNHO!$E$7:$E$84,'DRE1'!$B26)</f>
        <v>720.16666666666583</v>
      </c>
      <c r="I26" s="26">
        <f>SUMIFS(JULHO!$H$7:$H$84,JULHO!$E$7:$E$84,'DRE1'!$B26)</f>
        <v>468</v>
      </c>
      <c r="J26" s="26">
        <f>SUMIFS(AGOSTO!$H$7:$H$84,AGOSTO!$E$7:$E$84,'DRE1'!$B26)</f>
        <v>34</v>
      </c>
      <c r="K26" s="26">
        <f>SUMIFS(SETEMBRO!$H$7:$H$84,SETEMBRO!$E$7:$E$84,'DRE1'!$B26)</f>
        <v>1638</v>
      </c>
      <c r="L26" s="26">
        <f>SUMIFS(OUTUBRO!$H$7:$H$84,OUTUBRO!$E$7:$E$84,'DRE1'!$B26)</f>
        <v>482</v>
      </c>
      <c r="M26" s="26">
        <f>SUMIFS(NOVEMBRO!$H$7:$H$84,NOVEMBRO!$E$7:$E$84,'DRE1'!$B26)</f>
        <v>465</v>
      </c>
      <c r="N26" s="26">
        <f>SUMIFS(DEZEMBRO!$H$7:$H$84,DEZEMBRO!$E$7:$E$84,'DRE1'!$B26)</f>
        <v>1527</v>
      </c>
      <c r="O26" s="26">
        <f t="shared" si="12"/>
        <v>9960.366666666665</v>
      </c>
      <c r="P26" s="26">
        <f t="shared" si="13"/>
        <v>9960.366666666665</v>
      </c>
    </row>
    <row r="27" spans="2:16" x14ac:dyDescent="0.25">
      <c r="B27" s="24" t="str">
        <f>'plano de contas'!B12</f>
        <v>-</v>
      </c>
      <c r="C27" s="26">
        <f>SUMIFS(JANEIRO!$H$7:$H$84,JANEIRO!$E$7:$E$84,'DRE1'!$B27)</f>
        <v>2943</v>
      </c>
      <c r="D27" s="26">
        <f>SUMIFS(FEVEREIRO!$H$7:$H$84,FEVEREIRO!$E$7:$E$84,'DRE1'!$B27)</f>
        <v>505</v>
      </c>
      <c r="E27" s="26">
        <f>SUMIFS(MARÇO!$H$7:$H$84,MARÇO!$E$7:$E$84,'DRE1'!$B27)</f>
        <v>0</v>
      </c>
      <c r="F27" s="26">
        <f>SUMIFS(ABRIL!$H$7:$H$84,ABRIL!$E$7:$E$84,'DRE1'!$B27)</f>
        <v>24.2</v>
      </c>
      <c r="G27" s="26">
        <f>SUMIFS(MAIO!$H$7:$H$84,MAIO!$E$7:$E$84,'DRE1'!$B27)</f>
        <v>1154</v>
      </c>
      <c r="H27" s="26">
        <f>SUMIFS(JUNHO!$H$7:$H$84,JUNHO!$E$7:$E$84,'DRE1'!$B27)</f>
        <v>720.16666666666583</v>
      </c>
      <c r="I27" s="26">
        <f>SUMIFS(JULHO!$H$7:$H$84,JULHO!$E$7:$E$84,'DRE1'!$B27)</f>
        <v>468</v>
      </c>
      <c r="J27" s="26">
        <f>SUMIFS(AGOSTO!$H$7:$H$84,AGOSTO!$E$7:$E$84,'DRE1'!$B27)</f>
        <v>34</v>
      </c>
      <c r="K27" s="26">
        <f>SUMIFS(SETEMBRO!$H$7:$H$84,SETEMBRO!$E$7:$E$84,'DRE1'!$B27)</f>
        <v>1638</v>
      </c>
      <c r="L27" s="26">
        <f>SUMIFS(OUTUBRO!$H$7:$H$84,OUTUBRO!$E$7:$E$84,'DRE1'!$B27)</f>
        <v>482</v>
      </c>
      <c r="M27" s="26">
        <f>SUMIFS(NOVEMBRO!$H$7:$H$84,NOVEMBRO!$E$7:$E$84,'DRE1'!$B27)</f>
        <v>465</v>
      </c>
      <c r="N27" s="26">
        <f>SUMIFS(DEZEMBRO!$H$7:$H$84,DEZEMBRO!$E$7:$E$84,'DRE1'!$B27)</f>
        <v>1527</v>
      </c>
      <c r="O27" s="26">
        <f t="shared" si="12"/>
        <v>9960.366666666665</v>
      </c>
      <c r="P27" s="26">
        <f t="shared" si="13"/>
        <v>9960.366666666665</v>
      </c>
    </row>
    <row r="28" spans="2:16" x14ac:dyDescent="0.25">
      <c r="B28" s="24" t="str">
        <f>'plano de contas'!B13</f>
        <v>-</v>
      </c>
      <c r="C28" s="26">
        <f>SUMIFS(JANEIRO!$H$7:$H$84,JANEIRO!$E$7:$E$84,'DRE1'!$B28)</f>
        <v>2943</v>
      </c>
      <c r="D28" s="26">
        <f>SUMIFS(FEVEREIRO!$H$7:$H$84,FEVEREIRO!$E$7:$E$84,'DRE1'!$B28)</f>
        <v>505</v>
      </c>
      <c r="E28" s="26">
        <f>SUMIFS(MARÇO!$H$7:$H$84,MARÇO!$E$7:$E$84,'DRE1'!$B28)</f>
        <v>0</v>
      </c>
      <c r="F28" s="26">
        <f>SUMIFS(ABRIL!$H$7:$H$84,ABRIL!$E$7:$E$84,'DRE1'!$B28)</f>
        <v>24.2</v>
      </c>
      <c r="G28" s="26">
        <f>SUMIFS(MAIO!$H$7:$H$84,MAIO!$E$7:$E$84,'DRE1'!$B28)</f>
        <v>1154</v>
      </c>
      <c r="H28" s="26">
        <f>SUMIFS(JUNHO!$H$7:$H$84,JUNHO!$E$7:$E$84,'DRE1'!$B28)</f>
        <v>720.16666666666583</v>
      </c>
      <c r="I28" s="26">
        <f>SUMIFS(JULHO!$H$7:$H$84,JULHO!$E$7:$E$84,'DRE1'!$B28)</f>
        <v>468</v>
      </c>
      <c r="J28" s="26">
        <f>SUMIFS(AGOSTO!$H$7:$H$84,AGOSTO!$E$7:$E$84,'DRE1'!$B28)</f>
        <v>34</v>
      </c>
      <c r="K28" s="26">
        <f>SUMIFS(SETEMBRO!$H$7:$H$84,SETEMBRO!$E$7:$E$84,'DRE1'!$B28)</f>
        <v>1638</v>
      </c>
      <c r="L28" s="26">
        <f>SUMIFS(OUTUBRO!$H$7:$H$84,OUTUBRO!$E$7:$E$84,'DRE1'!$B28)</f>
        <v>482</v>
      </c>
      <c r="M28" s="26">
        <f>SUMIFS(NOVEMBRO!$H$7:$H$84,NOVEMBRO!$E$7:$E$84,'DRE1'!$B28)</f>
        <v>465</v>
      </c>
      <c r="N28" s="26">
        <f>SUMIFS(DEZEMBRO!$H$7:$H$84,DEZEMBRO!$E$7:$E$84,'DRE1'!$B28)</f>
        <v>1527</v>
      </c>
      <c r="O28" s="26">
        <f t="shared" si="12"/>
        <v>9960.366666666665</v>
      </c>
      <c r="P28" s="26">
        <f t="shared" si="13"/>
        <v>9960.366666666665</v>
      </c>
    </row>
    <row r="29" spans="2:16" x14ac:dyDescent="0.25">
      <c r="B29" s="24" t="str">
        <f>'plano de contas'!B14</f>
        <v>-</v>
      </c>
      <c r="C29" s="26">
        <f>SUMIFS(JANEIRO!$H$7:$H$84,JANEIRO!$E$7:$E$84,'DRE1'!$B29)</f>
        <v>2943</v>
      </c>
      <c r="D29" s="26">
        <f>SUMIFS(FEVEREIRO!$H$7:$H$84,FEVEREIRO!$E$7:$E$84,'DRE1'!$B29)</f>
        <v>505</v>
      </c>
      <c r="E29" s="26">
        <f>SUMIFS(MARÇO!$H$7:$H$84,MARÇO!$E$7:$E$84,'DRE1'!$B29)</f>
        <v>0</v>
      </c>
      <c r="F29" s="26">
        <f>SUMIFS(ABRIL!$H$7:$H$84,ABRIL!$E$7:$E$84,'DRE1'!$B29)</f>
        <v>24.2</v>
      </c>
      <c r="G29" s="26">
        <f>SUMIFS(MAIO!$H$7:$H$84,MAIO!$E$7:$E$84,'DRE1'!$B29)</f>
        <v>1154</v>
      </c>
      <c r="H29" s="26">
        <f>SUMIFS(JUNHO!$H$7:$H$84,JUNHO!$E$7:$E$84,'DRE1'!$B29)</f>
        <v>720.16666666666583</v>
      </c>
      <c r="I29" s="26">
        <f>SUMIFS(JULHO!$H$7:$H$84,JULHO!$E$7:$E$84,'DRE1'!$B29)</f>
        <v>468</v>
      </c>
      <c r="J29" s="26">
        <f>SUMIFS(AGOSTO!$H$7:$H$84,AGOSTO!$E$7:$E$84,'DRE1'!$B29)</f>
        <v>34</v>
      </c>
      <c r="K29" s="26">
        <f>SUMIFS(SETEMBRO!$H$7:$H$84,SETEMBRO!$E$7:$E$84,'DRE1'!$B29)</f>
        <v>1638</v>
      </c>
      <c r="L29" s="26">
        <f>SUMIFS(OUTUBRO!$H$7:$H$84,OUTUBRO!$E$7:$E$84,'DRE1'!$B29)</f>
        <v>482</v>
      </c>
      <c r="M29" s="26">
        <f>SUMIFS(NOVEMBRO!$H$7:$H$84,NOVEMBRO!$E$7:$E$84,'DRE1'!$B29)</f>
        <v>465</v>
      </c>
      <c r="N29" s="26">
        <f>SUMIFS(DEZEMBRO!$H$7:$H$84,DEZEMBRO!$E$7:$E$84,'DRE1'!$B29)</f>
        <v>1527</v>
      </c>
      <c r="O29" s="26">
        <f t="shared" si="12"/>
        <v>9960.366666666665</v>
      </c>
      <c r="P29" s="26">
        <f t="shared" si="13"/>
        <v>9960.366666666665</v>
      </c>
    </row>
    <row r="30" spans="2:16" x14ac:dyDescent="0.25">
      <c r="B30" s="24" t="str">
        <f>'plano de contas'!B15</f>
        <v>-</v>
      </c>
      <c r="C30" s="26">
        <f>SUMIFS(JANEIRO!$H$7:$H$84,JANEIRO!$E$7:$E$84,'DRE1'!$B30)</f>
        <v>2943</v>
      </c>
      <c r="D30" s="26">
        <f>SUMIFS(FEVEREIRO!$H$7:$H$84,FEVEREIRO!$E$7:$E$84,'DRE1'!$B30)</f>
        <v>505</v>
      </c>
      <c r="E30" s="26">
        <f>SUMIFS(MARÇO!$H$7:$H$84,MARÇO!$E$7:$E$84,'DRE1'!$B30)</f>
        <v>0</v>
      </c>
      <c r="F30" s="26">
        <f>SUMIFS(ABRIL!$H$7:$H$84,ABRIL!$E$7:$E$84,'DRE1'!$B30)</f>
        <v>24.2</v>
      </c>
      <c r="G30" s="26">
        <f>SUMIFS(MAIO!$H$7:$H$84,MAIO!$E$7:$E$84,'DRE1'!$B30)</f>
        <v>1154</v>
      </c>
      <c r="H30" s="26">
        <f>SUMIFS(JUNHO!$H$7:$H$84,JUNHO!$E$7:$E$84,'DRE1'!$B30)</f>
        <v>720.16666666666583</v>
      </c>
      <c r="I30" s="26">
        <f>SUMIFS(JULHO!$H$7:$H$84,JULHO!$E$7:$E$84,'DRE1'!$B30)</f>
        <v>468</v>
      </c>
      <c r="J30" s="26">
        <f>SUMIFS(AGOSTO!$H$7:$H$84,AGOSTO!$E$7:$E$84,'DRE1'!$B30)</f>
        <v>34</v>
      </c>
      <c r="K30" s="26">
        <f>SUMIFS(SETEMBRO!$H$7:$H$84,SETEMBRO!$E$7:$E$84,'DRE1'!$B30)</f>
        <v>1638</v>
      </c>
      <c r="L30" s="26">
        <f>SUMIFS(OUTUBRO!$H$7:$H$84,OUTUBRO!$E$7:$E$84,'DRE1'!$B30)</f>
        <v>482</v>
      </c>
      <c r="M30" s="26">
        <f>SUMIFS(NOVEMBRO!$H$7:$H$84,NOVEMBRO!$E$7:$E$84,'DRE1'!$B30)</f>
        <v>465</v>
      </c>
      <c r="N30" s="26">
        <f>SUMIFS(DEZEMBRO!$H$7:$H$84,DEZEMBRO!$E$7:$E$84,'DRE1'!$B30)</f>
        <v>1527</v>
      </c>
      <c r="O30" s="26">
        <f t="shared" si="12"/>
        <v>9960.366666666665</v>
      </c>
      <c r="P30" s="26">
        <f t="shared" si="13"/>
        <v>9960.366666666665</v>
      </c>
    </row>
    <row r="31" spans="2:16" x14ac:dyDescent="0.25">
      <c r="B31" s="24" t="str">
        <f>'plano de contas'!B16</f>
        <v>-</v>
      </c>
      <c r="C31" s="26">
        <f>SUMIFS(JANEIRO!$H$7:$H$84,JANEIRO!$E$7:$E$84,'DRE1'!$B31)</f>
        <v>2943</v>
      </c>
      <c r="D31" s="26">
        <f>SUMIFS(FEVEREIRO!$H$7:$H$84,FEVEREIRO!$E$7:$E$84,'DRE1'!$B31)</f>
        <v>505</v>
      </c>
      <c r="E31" s="26">
        <f>SUMIFS(MARÇO!$H$7:$H$84,MARÇO!$E$7:$E$84,'DRE1'!$B31)</f>
        <v>0</v>
      </c>
      <c r="F31" s="26">
        <f>SUMIFS(ABRIL!$H$7:$H$84,ABRIL!$E$7:$E$84,'DRE1'!$B31)</f>
        <v>24.2</v>
      </c>
      <c r="G31" s="26">
        <f>SUMIFS(MAIO!$H$7:$H$84,MAIO!$E$7:$E$84,'DRE1'!$B31)</f>
        <v>1154</v>
      </c>
      <c r="H31" s="26">
        <f>SUMIFS(JUNHO!$H$7:$H$84,JUNHO!$E$7:$E$84,'DRE1'!$B31)</f>
        <v>720.16666666666583</v>
      </c>
      <c r="I31" s="26">
        <f>SUMIFS(JULHO!$H$7:$H$84,JULHO!$E$7:$E$84,'DRE1'!$B31)</f>
        <v>468</v>
      </c>
      <c r="J31" s="26">
        <f>SUMIFS(AGOSTO!$H$7:$H$84,AGOSTO!$E$7:$E$84,'DRE1'!$B31)</f>
        <v>34</v>
      </c>
      <c r="K31" s="26">
        <f>SUMIFS(SETEMBRO!$H$7:$H$84,SETEMBRO!$E$7:$E$84,'DRE1'!$B31)</f>
        <v>1638</v>
      </c>
      <c r="L31" s="26">
        <f>SUMIFS(OUTUBRO!$H$7:$H$84,OUTUBRO!$E$7:$E$84,'DRE1'!$B31)</f>
        <v>482</v>
      </c>
      <c r="M31" s="26">
        <f>SUMIFS(NOVEMBRO!$H$7:$H$84,NOVEMBRO!$E$7:$E$84,'DRE1'!$B31)</f>
        <v>465</v>
      </c>
      <c r="N31" s="26">
        <f>SUMIFS(DEZEMBRO!$H$7:$H$84,DEZEMBRO!$E$7:$E$84,'DRE1'!$B31)</f>
        <v>1527</v>
      </c>
      <c r="O31" s="26">
        <f t="shared" si="12"/>
        <v>9960.366666666665</v>
      </c>
      <c r="P31" s="26">
        <f t="shared" si="13"/>
        <v>9960.366666666665</v>
      </c>
    </row>
    <row r="32" spans="2:16" x14ac:dyDescent="0.25">
      <c r="B32" s="24" t="str">
        <f>'plano de contas'!B17</f>
        <v>-</v>
      </c>
      <c r="C32" s="26">
        <f>SUMIFS(JANEIRO!$H$7:$H$84,JANEIRO!$E$7:$E$84,'DRE1'!$B32)</f>
        <v>2943</v>
      </c>
      <c r="D32" s="26">
        <f>SUMIFS(FEVEREIRO!$H$7:$H$84,FEVEREIRO!$E$7:$E$84,'DRE1'!$B32)</f>
        <v>505</v>
      </c>
      <c r="E32" s="26">
        <f>SUMIFS(MARÇO!$H$7:$H$84,MARÇO!$E$7:$E$84,'DRE1'!$B32)</f>
        <v>0</v>
      </c>
      <c r="F32" s="26">
        <f>SUMIFS(ABRIL!$H$7:$H$84,ABRIL!$E$7:$E$84,'DRE1'!$B32)</f>
        <v>24.2</v>
      </c>
      <c r="G32" s="26">
        <f>SUMIFS(MAIO!$H$7:$H$84,MAIO!$E$7:$E$84,'DRE1'!$B32)</f>
        <v>1154</v>
      </c>
      <c r="H32" s="26">
        <f>SUMIFS(JUNHO!$H$7:$H$84,JUNHO!$E$7:$E$84,'DRE1'!$B32)</f>
        <v>720.16666666666583</v>
      </c>
      <c r="I32" s="26">
        <f>SUMIFS(JULHO!$H$7:$H$84,JULHO!$E$7:$E$84,'DRE1'!$B32)</f>
        <v>468</v>
      </c>
      <c r="J32" s="26">
        <f>SUMIFS(AGOSTO!$H$7:$H$84,AGOSTO!$E$7:$E$84,'DRE1'!$B32)</f>
        <v>34</v>
      </c>
      <c r="K32" s="26">
        <f>SUMIFS(SETEMBRO!$H$7:$H$84,SETEMBRO!$E$7:$E$84,'DRE1'!$B32)</f>
        <v>1638</v>
      </c>
      <c r="L32" s="26">
        <f>SUMIFS(OUTUBRO!$H$7:$H$84,OUTUBRO!$E$7:$E$84,'DRE1'!$B32)</f>
        <v>482</v>
      </c>
      <c r="M32" s="26">
        <f>SUMIFS(NOVEMBRO!$H$7:$H$84,NOVEMBRO!$E$7:$E$84,'DRE1'!$B32)</f>
        <v>465</v>
      </c>
      <c r="N32" s="26">
        <f>SUMIFS(DEZEMBRO!$H$7:$H$84,DEZEMBRO!$E$7:$E$84,'DRE1'!$B32)</f>
        <v>1527</v>
      </c>
      <c r="O32" s="26">
        <f t="shared" si="12"/>
        <v>9960.366666666665</v>
      </c>
      <c r="P32" s="26">
        <f t="shared" si="13"/>
        <v>9960.366666666665</v>
      </c>
    </row>
    <row r="33" spans="2:16" x14ac:dyDescent="0.25">
      <c r="B33" s="24" t="str">
        <f>'plano de contas'!B18</f>
        <v>OUTRAS RECEITAS COM PROD</v>
      </c>
      <c r="C33" s="26">
        <f>SUMIFS(JANEIRO!$H$7:$H$84,JANEIRO!$E$7:$E$84,'DRE1'!$B33)</f>
        <v>0</v>
      </c>
      <c r="D33" s="26">
        <f>SUMIFS(FEVEREIRO!$H$7:$H$84,FEVEREIRO!$E$7:$E$84,'DRE1'!$B33)</f>
        <v>0</v>
      </c>
      <c r="E33" s="26">
        <f>SUMIFS(MARÇO!$H$7:$H$84,MARÇO!$E$7:$E$84,'DRE1'!$B33)</f>
        <v>0</v>
      </c>
      <c r="F33" s="26">
        <f>SUMIFS(ABRIL!$H$7:$H$84,ABRIL!$E$7:$E$84,'DRE1'!$B33)</f>
        <v>0</v>
      </c>
      <c r="G33" s="26">
        <f>SUMIFS(MAIO!$H$7:$H$84,MAIO!$E$7:$E$84,'DRE1'!$B33)</f>
        <v>0</v>
      </c>
      <c r="H33" s="26">
        <f>SUMIFS(JUNHO!$H$7:$H$84,JUNHO!$E$7:$E$84,'DRE1'!$B33)</f>
        <v>0</v>
      </c>
      <c r="I33" s="26">
        <f>SUMIFS(JULHO!$H$7:$H$84,JULHO!$E$7:$E$84,'DRE1'!$B33)</f>
        <v>0</v>
      </c>
      <c r="J33" s="26">
        <f>SUMIFS(AGOSTO!$H$7:$H$84,AGOSTO!$E$7:$E$84,'DRE1'!$B33)</f>
        <v>0</v>
      </c>
      <c r="K33" s="26">
        <f>SUMIFS(SETEMBRO!$H$7:$H$84,SETEMBRO!$E$7:$E$84,'DRE1'!$B33)</f>
        <v>0</v>
      </c>
      <c r="L33" s="26">
        <f>SUMIFS(OUTUBRO!$H$7:$H$84,OUTUBRO!$E$7:$E$84,'DRE1'!$B33)</f>
        <v>0</v>
      </c>
      <c r="M33" s="26">
        <f>SUMIFS(NOVEMBRO!$H$7:$H$84,NOVEMBRO!$E$7:$E$84,'DRE1'!$B33)</f>
        <v>0</v>
      </c>
      <c r="N33" s="26">
        <f>SUMIFS(DEZEMBRO!$H$7:$H$84,DEZEMBRO!$E$7:$E$84,'DRE1'!$B33)</f>
        <v>6001</v>
      </c>
      <c r="O33" s="26">
        <f t="shared" si="12"/>
        <v>6001</v>
      </c>
      <c r="P33" s="26">
        <f t="shared" si="13"/>
        <v>6001</v>
      </c>
    </row>
    <row r="36" spans="2:16" x14ac:dyDescent="0.25">
      <c r="B36" s="24" t="str">
        <f>'plano de contas'!D7</f>
        <v>RECEITAS COM SERVIÇOS</v>
      </c>
      <c r="C36" s="27">
        <f t="shared" ref="C36:P36" si="14">SUM(C37:C47)</f>
        <v>23584</v>
      </c>
      <c r="D36" s="27">
        <f t="shared" si="14"/>
        <v>4040</v>
      </c>
      <c r="E36" s="27">
        <f t="shared" si="14"/>
        <v>0</v>
      </c>
      <c r="F36" s="27">
        <f t="shared" si="14"/>
        <v>193.59999999999997</v>
      </c>
      <c r="G36" s="27">
        <f t="shared" si="14"/>
        <v>9232</v>
      </c>
      <c r="H36" s="27">
        <f t="shared" si="14"/>
        <v>5761.3333333333276</v>
      </c>
      <c r="I36" s="27">
        <f t="shared" si="14"/>
        <v>3744</v>
      </c>
      <c r="J36" s="27">
        <f t="shared" si="14"/>
        <v>272</v>
      </c>
      <c r="K36" s="27">
        <f t="shared" si="14"/>
        <v>13104</v>
      </c>
      <c r="L36" s="27">
        <f t="shared" si="14"/>
        <v>3856</v>
      </c>
      <c r="M36" s="27">
        <f t="shared" si="14"/>
        <v>3729</v>
      </c>
      <c r="N36" s="27">
        <f t="shared" si="14"/>
        <v>14216</v>
      </c>
      <c r="O36" s="27">
        <f t="shared" si="14"/>
        <v>81731.933333333334</v>
      </c>
      <c r="P36" s="27">
        <f t="shared" si="14"/>
        <v>81731.933333333334</v>
      </c>
    </row>
    <row r="37" spans="2:16" x14ac:dyDescent="0.25">
      <c r="B37" s="24" t="str">
        <f>'plano de contas'!D8</f>
        <v>CONSULTORIA</v>
      </c>
      <c r="C37" s="26">
        <f>SUMIFS(JANEIRO!$H$7:$H$84,JANEIRO!$E$7:$E$84,'DRE1'!$B37)</f>
        <v>7</v>
      </c>
      <c r="D37" s="26">
        <f>SUMIFS(FEVEREIRO!$H$7:$H$84,FEVEREIRO!$E$7:$E$84,'DRE1'!$B37)</f>
        <v>0</v>
      </c>
      <c r="E37" s="26">
        <f>SUMIFS(MARÇO!$H$7:$H$84,MARÇO!$E$7:$E$84,'DRE1'!$B37)</f>
        <v>0</v>
      </c>
      <c r="F37" s="26">
        <f>SUMIFS(ABRIL!$H$7:$H$84,ABRIL!$E$7:$E$84,'DRE1'!$B37)</f>
        <v>0</v>
      </c>
      <c r="G37" s="26">
        <f>SUMIFS(MAIO!$H$7:$H$84,MAIO!$E$7:$E$84,'DRE1'!$B37)</f>
        <v>0</v>
      </c>
      <c r="H37" s="26">
        <f>SUMIFS(JUNHO!$H$7:$H$84,JUNHO!$E$7:$E$84,'DRE1'!$B37)</f>
        <v>0</v>
      </c>
      <c r="I37" s="26">
        <f>SUMIFS(JULHO!$H$7:$H$84,JULHO!$E$7:$E$84,'DRE1'!$B37)</f>
        <v>0</v>
      </c>
      <c r="J37" s="26">
        <f>SUMIFS(AGOSTO!$H$7:$H$84,AGOSTO!$E$7:$E$84,'DRE1'!$B37)</f>
        <v>0</v>
      </c>
      <c r="K37" s="26">
        <f>SUMIFS(SETEMBRO!$H$7:$H$84,SETEMBRO!$E$7:$E$84,'DRE1'!$B37)</f>
        <v>0</v>
      </c>
      <c r="L37" s="26">
        <f>SUMIFS(OUTUBRO!$H$7:$H$84,OUTUBRO!$E$7:$E$84,'DRE1'!$B37)</f>
        <v>0</v>
      </c>
      <c r="M37" s="26">
        <f>SUMIFS(NOVEMBRO!$H$7:$H$84,NOVEMBRO!$E$7:$E$84,'DRE1'!$B37)</f>
        <v>9</v>
      </c>
      <c r="N37" s="26">
        <f>SUMIFS(DEZEMBRO!$H$7:$H$84,DEZEMBRO!$E$7:$E$84,'DRE1'!$B37)</f>
        <v>2000</v>
      </c>
      <c r="O37" s="26">
        <f>SUM(C37:N37)</f>
        <v>2016</v>
      </c>
      <c r="P37" s="26">
        <f>SUM(C37:N37)</f>
        <v>2016</v>
      </c>
    </row>
    <row r="38" spans="2:16" x14ac:dyDescent="0.25">
      <c r="B38" s="24" t="str">
        <f>'plano de contas'!D9</f>
        <v>PERSONALIZAÇÃO DE PLANILHAS</v>
      </c>
      <c r="C38" s="26">
        <f>SUMIFS(JANEIRO!$H$7:$H$84,JANEIRO!$E$7:$E$84,'DRE1'!$B38)</f>
        <v>33</v>
      </c>
      <c r="D38" s="26">
        <f>SUMIFS(FEVEREIRO!$H$7:$H$84,FEVEREIRO!$E$7:$E$84,'DRE1'!$B38)</f>
        <v>0</v>
      </c>
      <c r="E38" s="26">
        <f>SUMIFS(MARÇO!$H$7:$H$84,MARÇO!$E$7:$E$84,'DRE1'!$B38)</f>
        <v>0</v>
      </c>
      <c r="F38" s="26">
        <f>SUMIFS(ABRIL!$H$7:$H$84,ABRIL!$E$7:$E$84,'DRE1'!$B38)</f>
        <v>0</v>
      </c>
      <c r="G38" s="26">
        <f>SUMIFS(MAIO!$H$7:$H$84,MAIO!$E$7:$E$84,'DRE1'!$B38)</f>
        <v>0</v>
      </c>
      <c r="H38" s="26">
        <f>SUMIFS(JUNHO!$H$7:$H$84,JUNHO!$E$7:$E$84,'DRE1'!$B38)</f>
        <v>0</v>
      </c>
      <c r="I38" s="26">
        <f>SUMIFS(JULHO!$H$7:$H$84,JULHO!$E$7:$E$84,'DRE1'!$B38)</f>
        <v>0</v>
      </c>
      <c r="J38" s="26">
        <f>SUMIFS(AGOSTO!$H$7:$H$84,AGOSTO!$E$7:$E$84,'DRE1'!$B38)</f>
        <v>0</v>
      </c>
      <c r="K38" s="26">
        <f>SUMIFS(SETEMBRO!$H$7:$H$84,SETEMBRO!$E$7:$E$84,'DRE1'!$B38)</f>
        <v>0</v>
      </c>
      <c r="L38" s="26">
        <f>SUMIFS(OUTUBRO!$H$7:$H$84,OUTUBRO!$E$7:$E$84,'DRE1'!$B38)</f>
        <v>0</v>
      </c>
      <c r="M38" s="26">
        <f>SUMIFS(NOVEMBRO!$H$7:$H$84,NOVEMBRO!$E$7:$E$84,'DRE1'!$B38)</f>
        <v>0</v>
      </c>
      <c r="N38" s="26">
        <f>SUMIFS(DEZEMBRO!$H$7:$H$84,DEZEMBRO!$E$7:$E$84,'DRE1'!$B38)</f>
        <v>0</v>
      </c>
      <c r="O38" s="26">
        <f t="shared" ref="O38:O47" si="15">SUM(C38:N38)</f>
        <v>33</v>
      </c>
      <c r="P38" s="26">
        <f t="shared" ref="P38:P47" si="16">SUM(C38:N38)</f>
        <v>33</v>
      </c>
    </row>
    <row r="39" spans="2:16" x14ac:dyDescent="0.25">
      <c r="B39" s="24" t="str">
        <f>'plano de contas'!D10</f>
        <v>-</v>
      </c>
      <c r="C39" s="26">
        <f>SUMIFS(JANEIRO!$H$7:$H$84,JANEIRO!$E$7:$E$84,'DRE1'!$B39)</f>
        <v>2943</v>
      </c>
      <c r="D39" s="26">
        <f>SUMIFS(FEVEREIRO!$H$7:$H$84,FEVEREIRO!$E$7:$E$84,'DRE1'!$B39)</f>
        <v>505</v>
      </c>
      <c r="E39" s="26">
        <f>SUMIFS(MARÇO!$H$7:$H$84,MARÇO!$E$7:$E$84,'DRE1'!$B39)</f>
        <v>0</v>
      </c>
      <c r="F39" s="26">
        <f>SUMIFS(ABRIL!$H$7:$H$84,ABRIL!$E$7:$E$84,'DRE1'!$B39)</f>
        <v>24.2</v>
      </c>
      <c r="G39" s="26">
        <f>SUMIFS(MAIO!$H$7:$H$84,MAIO!$E$7:$E$84,'DRE1'!$B39)</f>
        <v>1154</v>
      </c>
      <c r="H39" s="26">
        <f>SUMIFS(JUNHO!$H$7:$H$84,JUNHO!$E$7:$E$84,'DRE1'!$B39)</f>
        <v>720.16666666666583</v>
      </c>
      <c r="I39" s="26">
        <f>SUMIFS(JULHO!$H$7:$H$84,JULHO!$E$7:$E$84,'DRE1'!$B39)</f>
        <v>468</v>
      </c>
      <c r="J39" s="26">
        <f>SUMIFS(AGOSTO!$H$7:$H$84,AGOSTO!$E$7:$E$84,'DRE1'!$B39)</f>
        <v>34</v>
      </c>
      <c r="K39" s="26">
        <f>SUMIFS(SETEMBRO!$H$7:$H$84,SETEMBRO!$E$7:$E$84,'DRE1'!$B39)</f>
        <v>1638</v>
      </c>
      <c r="L39" s="26">
        <f>SUMIFS(OUTUBRO!$H$7:$H$84,OUTUBRO!$E$7:$E$84,'DRE1'!$B39)</f>
        <v>482</v>
      </c>
      <c r="M39" s="26">
        <f>SUMIFS(NOVEMBRO!$H$7:$H$84,NOVEMBRO!$E$7:$E$84,'DRE1'!$B39)</f>
        <v>465</v>
      </c>
      <c r="N39" s="26">
        <f>SUMIFS(DEZEMBRO!$H$7:$H$84,DEZEMBRO!$E$7:$E$84,'DRE1'!$B39)</f>
        <v>1527</v>
      </c>
      <c r="O39" s="26">
        <f t="shared" si="15"/>
        <v>9960.366666666665</v>
      </c>
      <c r="P39" s="26">
        <f t="shared" si="16"/>
        <v>9960.366666666665</v>
      </c>
    </row>
    <row r="40" spans="2:16" x14ac:dyDescent="0.25">
      <c r="B40" s="24" t="str">
        <f>'plano de contas'!D11</f>
        <v>-</v>
      </c>
      <c r="C40" s="26">
        <f>SUMIFS(JANEIRO!$H$7:$H$84,JANEIRO!$E$7:$E$84,'DRE1'!$B40)</f>
        <v>2943</v>
      </c>
      <c r="D40" s="26">
        <f>SUMIFS(FEVEREIRO!$H$7:$H$84,FEVEREIRO!$E$7:$E$84,'DRE1'!$B40)</f>
        <v>505</v>
      </c>
      <c r="E40" s="26">
        <f>SUMIFS(MARÇO!$H$7:$H$84,MARÇO!$E$7:$E$84,'DRE1'!$B40)</f>
        <v>0</v>
      </c>
      <c r="F40" s="26">
        <f>SUMIFS(ABRIL!$H$7:$H$84,ABRIL!$E$7:$E$84,'DRE1'!$B40)</f>
        <v>24.2</v>
      </c>
      <c r="G40" s="26">
        <f>SUMIFS(MAIO!$H$7:$H$84,MAIO!$E$7:$E$84,'DRE1'!$B40)</f>
        <v>1154</v>
      </c>
      <c r="H40" s="26">
        <f>SUMIFS(JUNHO!$H$7:$H$84,JUNHO!$E$7:$E$84,'DRE1'!$B40)</f>
        <v>720.16666666666583</v>
      </c>
      <c r="I40" s="26">
        <f>SUMIFS(JULHO!$H$7:$H$84,JULHO!$E$7:$E$84,'DRE1'!$B40)</f>
        <v>468</v>
      </c>
      <c r="J40" s="26">
        <f>SUMIFS(AGOSTO!$H$7:$H$84,AGOSTO!$E$7:$E$84,'DRE1'!$B40)</f>
        <v>34</v>
      </c>
      <c r="K40" s="26">
        <f>SUMIFS(SETEMBRO!$H$7:$H$84,SETEMBRO!$E$7:$E$84,'DRE1'!$B40)</f>
        <v>1638</v>
      </c>
      <c r="L40" s="26">
        <f>SUMIFS(OUTUBRO!$H$7:$H$84,OUTUBRO!$E$7:$E$84,'DRE1'!$B40)</f>
        <v>482</v>
      </c>
      <c r="M40" s="26">
        <f>SUMIFS(NOVEMBRO!$H$7:$H$84,NOVEMBRO!$E$7:$E$84,'DRE1'!$B40)</f>
        <v>465</v>
      </c>
      <c r="N40" s="26">
        <f>SUMIFS(DEZEMBRO!$H$7:$H$84,DEZEMBRO!$E$7:$E$84,'DRE1'!$B40)</f>
        <v>1527</v>
      </c>
      <c r="O40" s="26">
        <f t="shared" si="15"/>
        <v>9960.366666666665</v>
      </c>
      <c r="P40" s="26">
        <f t="shared" si="16"/>
        <v>9960.366666666665</v>
      </c>
    </row>
    <row r="41" spans="2:16" x14ac:dyDescent="0.25">
      <c r="B41" s="24" t="str">
        <f>'plano de contas'!D12</f>
        <v>-</v>
      </c>
      <c r="C41" s="26">
        <f>SUMIFS(JANEIRO!$H$7:$H$84,JANEIRO!$E$7:$E$84,'DRE1'!$B41)</f>
        <v>2943</v>
      </c>
      <c r="D41" s="26">
        <f>SUMIFS(FEVEREIRO!$H$7:$H$84,FEVEREIRO!$E$7:$E$84,'DRE1'!$B41)</f>
        <v>505</v>
      </c>
      <c r="E41" s="26">
        <f>SUMIFS(MARÇO!$H$7:$H$84,MARÇO!$E$7:$E$84,'DRE1'!$B41)</f>
        <v>0</v>
      </c>
      <c r="F41" s="26">
        <f>SUMIFS(ABRIL!$H$7:$H$84,ABRIL!$E$7:$E$84,'DRE1'!$B41)</f>
        <v>24.2</v>
      </c>
      <c r="G41" s="26">
        <f>SUMIFS(MAIO!$H$7:$H$84,MAIO!$E$7:$E$84,'DRE1'!$B41)</f>
        <v>1154</v>
      </c>
      <c r="H41" s="26">
        <f>SUMIFS(JUNHO!$H$7:$H$84,JUNHO!$E$7:$E$84,'DRE1'!$B41)</f>
        <v>720.16666666666583</v>
      </c>
      <c r="I41" s="26">
        <f>SUMIFS(JULHO!$H$7:$H$84,JULHO!$E$7:$E$84,'DRE1'!$B41)</f>
        <v>468</v>
      </c>
      <c r="J41" s="26">
        <f>SUMIFS(AGOSTO!$H$7:$H$84,AGOSTO!$E$7:$E$84,'DRE1'!$B41)</f>
        <v>34</v>
      </c>
      <c r="K41" s="26">
        <f>SUMIFS(SETEMBRO!$H$7:$H$84,SETEMBRO!$E$7:$E$84,'DRE1'!$B41)</f>
        <v>1638</v>
      </c>
      <c r="L41" s="26">
        <f>SUMIFS(OUTUBRO!$H$7:$H$84,OUTUBRO!$E$7:$E$84,'DRE1'!$B41)</f>
        <v>482</v>
      </c>
      <c r="M41" s="26">
        <f>SUMIFS(NOVEMBRO!$H$7:$H$84,NOVEMBRO!$E$7:$E$84,'DRE1'!$B41)</f>
        <v>465</v>
      </c>
      <c r="N41" s="26">
        <f>SUMIFS(DEZEMBRO!$H$7:$H$84,DEZEMBRO!$E$7:$E$84,'DRE1'!$B41)</f>
        <v>1527</v>
      </c>
      <c r="O41" s="26">
        <f t="shared" si="15"/>
        <v>9960.366666666665</v>
      </c>
      <c r="P41" s="26">
        <f t="shared" si="16"/>
        <v>9960.366666666665</v>
      </c>
    </row>
    <row r="42" spans="2:16" x14ac:dyDescent="0.25">
      <c r="B42" s="24" t="str">
        <f>'plano de contas'!D13</f>
        <v>-</v>
      </c>
      <c r="C42" s="26">
        <f>SUMIFS(JANEIRO!$H$7:$H$84,JANEIRO!$E$7:$E$84,'DRE1'!$B42)</f>
        <v>2943</v>
      </c>
      <c r="D42" s="26">
        <f>SUMIFS(FEVEREIRO!$H$7:$H$84,FEVEREIRO!$E$7:$E$84,'DRE1'!$B42)</f>
        <v>505</v>
      </c>
      <c r="E42" s="26">
        <f>SUMIFS(MARÇO!$H$7:$H$84,MARÇO!$E$7:$E$84,'DRE1'!$B42)</f>
        <v>0</v>
      </c>
      <c r="F42" s="26">
        <f>SUMIFS(ABRIL!$H$7:$H$84,ABRIL!$E$7:$E$84,'DRE1'!$B42)</f>
        <v>24.2</v>
      </c>
      <c r="G42" s="26">
        <f>SUMIFS(MAIO!$H$7:$H$84,MAIO!$E$7:$E$84,'DRE1'!$B42)</f>
        <v>1154</v>
      </c>
      <c r="H42" s="26">
        <f>SUMIFS(JUNHO!$H$7:$H$84,JUNHO!$E$7:$E$84,'DRE1'!$B42)</f>
        <v>720.16666666666583</v>
      </c>
      <c r="I42" s="26">
        <f>SUMIFS(JULHO!$H$7:$H$84,JULHO!$E$7:$E$84,'DRE1'!$B42)</f>
        <v>468</v>
      </c>
      <c r="J42" s="26">
        <f>SUMIFS(AGOSTO!$H$7:$H$84,AGOSTO!$E$7:$E$84,'DRE1'!$B42)</f>
        <v>34</v>
      </c>
      <c r="K42" s="26">
        <f>SUMIFS(SETEMBRO!$H$7:$H$84,SETEMBRO!$E$7:$E$84,'DRE1'!$B42)</f>
        <v>1638</v>
      </c>
      <c r="L42" s="26">
        <f>SUMIFS(OUTUBRO!$H$7:$H$84,OUTUBRO!$E$7:$E$84,'DRE1'!$B42)</f>
        <v>482</v>
      </c>
      <c r="M42" s="26">
        <f>SUMIFS(NOVEMBRO!$H$7:$H$84,NOVEMBRO!$E$7:$E$84,'DRE1'!$B42)</f>
        <v>465</v>
      </c>
      <c r="N42" s="26">
        <f>SUMIFS(DEZEMBRO!$H$7:$H$84,DEZEMBRO!$E$7:$E$84,'DRE1'!$B42)</f>
        <v>1527</v>
      </c>
      <c r="O42" s="26">
        <f t="shared" si="15"/>
        <v>9960.366666666665</v>
      </c>
      <c r="P42" s="26">
        <f t="shared" si="16"/>
        <v>9960.366666666665</v>
      </c>
    </row>
    <row r="43" spans="2:16" x14ac:dyDescent="0.25">
      <c r="B43" s="24" t="str">
        <f>'plano de contas'!D14</f>
        <v>-</v>
      </c>
      <c r="C43" s="26">
        <f>SUMIFS(JANEIRO!$H$7:$H$84,JANEIRO!$E$7:$E$84,'DRE1'!$B43)</f>
        <v>2943</v>
      </c>
      <c r="D43" s="26">
        <f>SUMIFS(FEVEREIRO!$H$7:$H$84,FEVEREIRO!$E$7:$E$84,'DRE1'!$B43)</f>
        <v>505</v>
      </c>
      <c r="E43" s="26">
        <f>SUMIFS(MARÇO!$H$7:$H$84,MARÇO!$E$7:$E$84,'DRE1'!$B43)</f>
        <v>0</v>
      </c>
      <c r="F43" s="26">
        <f>SUMIFS(ABRIL!$H$7:$H$84,ABRIL!$E$7:$E$84,'DRE1'!$B43)</f>
        <v>24.2</v>
      </c>
      <c r="G43" s="26">
        <f>SUMIFS(MAIO!$H$7:$H$84,MAIO!$E$7:$E$84,'DRE1'!$B43)</f>
        <v>1154</v>
      </c>
      <c r="H43" s="26">
        <f>SUMIFS(JUNHO!$H$7:$H$84,JUNHO!$E$7:$E$84,'DRE1'!$B43)</f>
        <v>720.16666666666583</v>
      </c>
      <c r="I43" s="26">
        <f>SUMIFS(JULHO!$H$7:$H$84,JULHO!$E$7:$E$84,'DRE1'!$B43)</f>
        <v>468</v>
      </c>
      <c r="J43" s="26">
        <f>SUMIFS(AGOSTO!$H$7:$H$84,AGOSTO!$E$7:$E$84,'DRE1'!$B43)</f>
        <v>34</v>
      </c>
      <c r="K43" s="26">
        <f>SUMIFS(SETEMBRO!$H$7:$H$84,SETEMBRO!$E$7:$E$84,'DRE1'!$B43)</f>
        <v>1638</v>
      </c>
      <c r="L43" s="26">
        <f>SUMIFS(OUTUBRO!$H$7:$H$84,OUTUBRO!$E$7:$E$84,'DRE1'!$B43)</f>
        <v>482</v>
      </c>
      <c r="M43" s="26">
        <f>SUMIFS(NOVEMBRO!$H$7:$H$84,NOVEMBRO!$E$7:$E$84,'DRE1'!$B43)</f>
        <v>465</v>
      </c>
      <c r="N43" s="26">
        <f>SUMIFS(DEZEMBRO!$H$7:$H$84,DEZEMBRO!$E$7:$E$84,'DRE1'!$B43)</f>
        <v>1527</v>
      </c>
      <c r="O43" s="26">
        <f t="shared" si="15"/>
        <v>9960.366666666665</v>
      </c>
      <c r="P43" s="26">
        <f t="shared" si="16"/>
        <v>9960.366666666665</v>
      </c>
    </row>
    <row r="44" spans="2:16" x14ac:dyDescent="0.25">
      <c r="B44" s="24" t="str">
        <f>'plano de contas'!D15</f>
        <v>-</v>
      </c>
      <c r="C44" s="26">
        <f>SUMIFS(JANEIRO!$H$7:$H$84,JANEIRO!$E$7:$E$84,'DRE1'!$B44)</f>
        <v>2943</v>
      </c>
      <c r="D44" s="26">
        <f>SUMIFS(FEVEREIRO!$H$7:$H$84,FEVEREIRO!$E$7:$E$84,'DRE1'!$B44)</f>
        <v>505</v>
      </c>
      <c r="E44" s="26">
        <f>SUMIFS(MARÇO!$H$7:$H$84,MARÇO!$E$7:$E$84,'DRE1'!$B44)</f>
        <v>0</v>
      </c>
      <c r="F44" s="26">
        <f>SUMIFS(ABRIL!$H$7:$H$84,ABRIL!$E$7:$E$84,'DRE1'!$B44)</f>
        <v>24.2</v>
      </c>
      <c r="G44" s="26">
        <f>SUMIFS(MAIO!$H$7:$H$84,MAIO!$E$7:$E$84,'DRE1'!$B44)</f>
        <v>1154</v>
      </c>
      <c r="H44" s="26">
        <f>SUMIFS(JUNHO!$H$7:$H$84,JUNHO!$E$7:$E$84,'DRE1'!$B44)</f>
        <v>720.16666666666583</v>
      </c>
      <c r="I44" s="26">
        <f>SUMIFS(JULHO!$H$7:$H$84,JULHO!$E$7:$E$84,'DRE1'!$B44)</f>
        <v>468</v>
      </c>
      <c r="J44" s="26">
        <f>SUMIFS(AGOSTO!$H$7:$H$84,AGOSTO!$E$7:$E$84,'DRE1'!$B44)</f>
        <v>34</v>
      </c>
      <c r="K44" s="26">
        <f>SUMIFS(SETEMBRO!$H$7:$H$84,SETEMBRO!$E$7:$E$84,'DRE1'!$B44)</f>
        <v>1638</v>
      </c>
      <c r="L44" s="26">
        <f>SUMIFS(OUTUBRO!$H$7:$H$84,OUTUBRO!$E$7:$E$84,'DRE1'!$B44)</f>
        <v>482</v>
      </c>
      <c r="M44" s="26">
        <f>SUMIFS(NOVEMBRO!$H$7:$H$84,NOVEMBRO!$E$7:$E$84,'DRE1'!$B44)</f>
        <v>465</v>
      </c>
      <c r="N44" s="26">
        <f>SUMIFS(DEZEMBRO!$H$7:$H$84,DEZEMBRO!$E$7:$E$84,'DRE1'!$B44)</f>
        <v>1527</v>
      </c>
      <c r="O44" s="26">
        <f t="shared" si="15"/>
        <v>9960.366666666665</v>
      </c>
      <c r="P44" s="26">
        <f t="shared" si="16"/>
        <v>9960.366666666665</v>
      </c>
    </row>
    <row r="45" spans="2:16" x14ac:dyDescent="0.25">
      <c r="B45" s="24" t="str">
        <f>'plano de contas'!D16</f>
        <v>-</v>
      </c>
      <c r="C45" s="26">
        <f>SUMIFS(JANEIRO!$H$7:$H$84,JANEIRO!$E$7:$E$84,'DRE1'!$B45)</f>
        <v>2943</v>
      </c>
      <c r="D45" s="26">
        <f>SUMIFS(FEVEREIRO!$H$7:$H$84,FEVEREIRO!$E$7:$E$84,'DRE1'!$B45)</f>
        <v>505</v>
      </c>
      <c r="E45" s="26">
        <f>SUMIFS(MARÇO!$H$7:$H$84,MARÇO!$E$7:$E$84,'DRE1'!$B45)</f>
        <v>0</v>
      </c>
      <c r="F45" s="26">
        <f>SUMIFS(ABRIL!$H$7:$H$84,ABRIL!$E$7:$E$84,'DRE1'!$B45)</f>
        <v>24.2</v>
      </c>
      <c r="G45" s="26">
        <f>SUMIFS(MAIO!$H$7:$H$84,MAIO!$E$7:$E$84,'DRE1'!$B45)</f>
        <v>1154</v>
      </c>
      <c r="H45" s="26">
        <f>SUMIFS(JUNHO!$H$7:$H$84,JUNHO!$E$7:$E$84,'DRE1'!$B45)</f>
        <v>720.16666666666583</v>
      </c>
      <c r="I45" s="26">
        <f>SUMIFS(JULHO!$H$7:$H$84,JULHO!$E$7:$E$84,'DRE1'!$B45)</f>
        <v>468</v>
      </c>
      <c r="J45" s="26">
        <f>SUMIFS(AGOSTO!$H$7:$H$84,AGOSTO!$E$7:$E$84,'DRE1'!$B45)</f>
        <v>34</v>
      </c>
      <c r="K45" s="26">
        <f>SUMIFS(SETEMBRO!$H$7:$H$84,SETEMBRO!$E$7:$E$84,'DRE1'!$B45)</f>
        <v>1638</v>
      </c>
      <c r="L45" s="26">
        <f>SUMIFS(OUTUBRO!$H$7:$H$84,OUTUBRO!$E$7:$E$84,'DRE1'!$B45)</f>
        <v>482</v>
      </c>
      <c r="M45" s="26">
        <f>SUMIFS(NOVEMBRO!$H$7:$H$84,NOVEMBRO!$E$7:$E$84,'DRE1'!$B45)</f>
        <v>465</v>
      </c>
      <c r="N45" s="26">
        <f>SUMIFS(DEZEMBRO!$H$7:$H$84,DEZEMBRO!$E$7:$E$84,'DRE1'!$B45)</f>
        <v>1527</v>
      </c>
      <c r="O45" s="26">
        <f t="shared" si="15"/>
        <v>9960.366666666665</v>
      </c>
      <c r="P45" s="26">
        <f t="shared" si="16"/>
        <v>9960.366666666665</v>
      </c>
    </row>
    <row r="46" spans="2:16" x14ac:dyDescent="0.25">
      <c r="B46" s="24" t="str">
        <f>'plano de contas'!D17</f>
        <v>-</v>
      </c>
      <c r="C46" s="26">
        <f>SUMIFS(JANEIRO!$H$7:$H$84,JANEIRO!$E$7:$E$84,'DRE1'!$B46)</f>
        <v>2943</v>
      </c>
      <c r="D46" s="26">
        <f>SUMIFS(FEVEREIRO!$H$7:$H$84,FEVEREIRO!$E$7:$E$84,'DRE1'!$B46)</f>
        <v>505</v>
      </c>
      <c r="E46" s="26">
        <f>SUMIFS(MARÇO!$H$7:$H$84,MARÇO!$E$7:$E$84,'DRE1'!$B46)</f>
        <v>0</v>
      </c>
      <c r="F46" s="26">
        <f>SUMIFS(ABRIL!$H$7:$H$84,ABRIL!$E$7:$E$84,'DRE1'!$B46)</f>
        <v>24.2</v>
      </c>
      <c r="G46" s="26">
        <f>SUMIFS(MAIO!$H$7:$H$84,MAIO!$E$7:$E$84,'DRE1'!$B46)</f>
        <v>1154</v>
      </c>
      <c r="H46" s="26">
        <f>SUMIFS(JUNHO!$H$7:$H$84,JUNHO!$E$7:$E$84,'DRE1'!$B46)</f>
        <v>720.16666666666583</v>
      </c>
      <c r="I46" s="26">
        <f>SUMIFS(JULHO!$H$7:$H$84,JULHO!$E$7:$E$84,'DRE1'!$B46)</f>
        <v>468</v>
      </c>
      <c r="J46" s="26">
        <f>SUMIFS(AGOSTO!$H$7:$H$84,AGOSTO!$E$7:$E$84,'DRE1'!$B46)</f>
        <v>34</v>
      </c>
      <c r="K46" s="26">
        <f>SUMIFS(SETEMBRO!$H$7:$H$84,SETEMBRO!$E$7:$E$84,'DRE1'!$B46)</f>
        <v>1638</v>
      </c>
      <c r="L46" s="26">
        <f>SUMIFS(OUTUBRO!$H$7:$H$84,OUTUBRO!$E$7:$E$84,'DRE1'!$B46)</f>
        <v>482</v>
      </c>
      <c r="M46" s="26">
        <f>SUMIFS(NOVEMBRO!$H$7:$H$84,NOVEMBRO!$E$7:$E$84,'DRE1'!$B46)</f>
        <v>465</v>
      </c>
      <c r="N46" s="26">
        <f>SUMIFS(DEZEMBRO!$H$7:$H$84,DEZEMBRO!$E$7:$E$84,'DRE1'!$B46)</f>
        <v>1527</v>
      </c>
      <c r="O46" s="26">
        <f t="shared" si="15"/>
        <v>9960.366666666665</v>
      </c>
      <c r="P46" s="26">
        <f t="shared" si="16"/>
        <v>9960.366666666665</v>
      </c>
    </row>
    <row r="47" spans="2:16" x14ac:dyDescent="0.25">
      <c r="B47" s="24" t="str">
        <f>'plano de contas'!D18</f>
        <v>OUTRAS RECEITAS COM SERVIÇOS</v>
      </c>
      <c r="C47" s="26">
        <f>SUMIFS(JANEIRO!$H$7:$H$84,JANEIRO!$E$7:$E$84,'DRE1'!$B47)</f>
        <v>0</v>
      </c>
      <c r="D47" s="26">
        <f>SUMIFS(FEVEREIRO!$H$7:$H$84,FEVEREIRO!$E$7:$E$84,'DRE1'!$B47)</f>
        <v>0</v>
      </c>
      <c r="E47" s="26">
        <f>SUMIFS(MARÇO!$H$7:$H$84,MARÇO!$E$7:$E$84,'DRE1'!$B47)</f>
        <v>0</v>
      </c>
      <c r="F47" s="26">
        <f>SUMIFS(ABRIL!$H$7:$H$84,ABRIL!$E$7:$E$84,'DRE1'!$B47)</f>
        <v>0</v>
      </c>
      <c r="G47" s="26">
        <f>SUMIFS(MAIO!$H$7:$H$84,MAIO!$E$7:$E$84,'DRE1'!$B47)</f>
        <v>0</v>
      </c>
      <c r="H47" s="26">
        <f>SUMIFS(JUNHO!$H$7:$H$84,JUNHO!$E$7:$E$84,'DRE1'!$B47)</f>
        <v>0</v>
      </c>
      <c r="I47" s="26">
        <f>SUMIFS(JULHO!$H$7:$H$84,JULHO!$E$7:$E$84,'DRE1'!$B47)</f>
        <v>0</v>
      </c>
      <c r="J47" s="26">
        <f>SUMIFS(AGOSTO!$H$7:$H$84,AGOSTO!$E$7:$E$84,'DRE1'!$B47)</f>
        <v>0</v>
      </c>
      <c r="K47" s="26">
        <f>SUMIFS(SETEMBRO!$H$7:$H$84,SETEMBRO!$E$7:$E$84,'DRE1'!$B47)</f>
        <v>0</v>
      </c>
      <c r="L47" s="26">
        <f>SUMIFS(OUTUBRO!$H$7:$H$84,OUTUBRO!$E$7:$E$84,'DRE1'!$B47)</f>
        <v>0</v>
      </c>
      <c r="M47" s="26">
        <f>SUMIFS(NOVEMBRO!$H$7:$H$84,NOVEMBRO!$E$7:$E$84,'DRE1'!$B47)</f>
        <v>0</v>
      </c>
      <c r="N47" s="26">
        <f>SUMIFS(DEZEMBRO!$H$7:$H$84,DEZEMBRO!$E$7:$E$84,'DRE1'!$B47)</f>
        <v>0</v>
      </c>
      <c r="O47" s="26">
        <f t="shared" si="15"/>
        <v>0</v>
      </c>
      <c r="P47" s="26">
        <f t="shared" si="16"/>
        <v>0</v>
      </c>
    </row>
    <row r="49" spans="2:16" x14ac:dyDescent="0.25">
      <c r="B49" s="24" t="str">
        <f>'plano de contas'!F7</f>
        <v>DESPESAS COM PRODUTOS</v>
      </c>
      <c r="C49" s="27">
        <f t="shared" ref="C49:P49" si="17">SUM(C50:C60)</f>
        <v>24544</v>
      </c>
      <c r="D49" s="27">
        <f t="shared" si="17"/>
        <v>4056</v>
      </c>
      <c r="E49" s="27">
        <f t="shared" si="17"/>
        <v>0</v>
      </c>
      <c r="F49" s="27">
        <f t="shared" si="17"/>
        <v>194.59999999999997</v>
      </c>
      <c r="G49" s="27">
        <f t="shared" si="17"/>
        <v>9232</v>
      </c>
      <c r="H49" s="27">
        <f t="shared" si="17"/>
        <v>5778.1666666666606</v>
      </c>
      <c r="I49" s="27">
        <f t="shared" si="17"/>
        <v>3755</v>
      </c>
      <c r="J49" s="27">
        <f t="shared" si="17"/>
        <v>272</v>
      </c>
      <c r="K49" s="27">
        <f t="shared" si="17"/>
        <v>13115</v>
      </c>
      <c r="L49" s="27">
        <f t="shared" si="17"/>
        <v>3867</v>
      </c>
      <c r="M49" s="27">
        <f t="shared" si="17"/>
        <v>3731</v>
      </c>
      <c r="N49" s="27">
        <f t="shared" si="17"/>
        <v>12226</v>
      </c>
      <c r="O49" s="27">
        <f t="shared" si="17"/>
        <v>80770.766666666663</v>
      </c>
      <c r="P49" s="27">
        <f t="shared" si="17"/>
        <v>80770.766666666663</v>
      </c>
    </row>
    <row r="50" spans="2:16" x14ac:dyDescent="0.25">
      <c r="B50" s="24" t="str">
        <f>'plano de contas'!F8</f>
        <v>TERCERIZADOS</v>
      </c>
      <c r="C50" s="26">
        <f>SUMIFS(JANEIRO!$H$7:$H$84,JANEIRO!$E$7:$E$84,'DRE1'!$B50)</f>
        <v>0</v>
      </c>
      <c r="D50" s="26">
        <f>SUMIFS(FEVEREIRO!$H$7:$H$84,FEVEREIRO!$E$7:$E$84,'DRE1'!$B50)</f>
        <v>5</v>
      </c>
      <c r="E50" s="26">
        <f>SUMIFS(MARÇO!$H$7:$H$84,MARÇO!$E$7:$E$84,'DRE1'!$B50)</f>
        <v>0</v>
      </c>
      <c r="F50" s="26">
        <f>SUMIFS(ABRIL!$H$7:$H$84,ABRIL!$E$7:$E$84,'DRE1'!$B50)</f>
        <v>0</v>
      </c>
      <c r="G50" s="26">
        <f>SUMIFS(MAIO!$H$7:$H$84,MAIO!$E$7:$E$84,'DRE1'!$B50)</f>
        <v>0</v>
      </c>
      <c r="H50" s="26">
        <f>SUMIFS(JUNHO!$H$7:$H$84,JUNHO!$E$7:$E$84,'DRE1'!$B50)</f>
        <v>0</v>
      </c>
      <c r="I50" s="26">
        <f>SUMIFS(JULHO!$H$7:$H$84,JULHO!$E$7:$E$84,'DRE1'!$B50)</f>
        <v>0</v>
      </c>
      <c r="J50" s="26">
        <f>SUMIFS(AGOSTO!$H$7:$H$84,AGOSTO!$E$7:$E$84,'DRE1'!$B50)</f>
        <v>0</v>
      </c>
      <c r="K50" s="26">
        <f>SUMIFS(SETEMBRO!$H$7:$H$84,SETEMBRO!$E$7:$E$84,'DRE1'!$B50)</f>
        <v>0</v>
      </c>
      <c r="L50" s="26">
        <f>SUMIFS(OUTUBRO!$H$7:$H$84,OUTUBRO!$E$7:$E$84,'DRE1'!$B50)</f>
        <v>0</v>
      </c>
      <c r="M50" s="26">
        <f>SUMIFS(NOVEMBRO!$H$7:$H$84,NOVEMBRO!$E$7:$E$84,'DRE1'!$B50)</f>
        <v>0</v>
      </c>
      <c r="N50" s="26">
        <f>SUMIFS(DEZEMBRO!$H$7:$H$84,DEZEMBRO!$E$7:$E$84,'DRE1'!$B50)</f>
        <v>0</v>
      </c>
      <c r="O50" s="26">
        <f>SUM(C50:N50)</f>
        <v>5</v>
      </c>
      <c r="P50" s="26">
        <f>SUM(C50:N50)</f>
        <v>5</v>
      </c>
    </row>
    <row r="51" spans="2:16" x14ac:dyDescent="0.25">
      <c r="B51" s="24" t="str">
        <f>'plano de contas'!F9</f>
        <v>ESTUDIOS GRAVAÇÃO</v>
      </c>
      <c r="C51" s="26">
        <f>SUMIFS(JANEIRO!$H$7:$H$84,JANEIRO!$E$7:$E$84,'DRE1'!$B51)</f>
        <v>1000</v>
      </c>
      <c r="D51" s="26">
        <f>SUMIFS(FEVEREIRO!$H$7:$H$84,FEVEREIRO!$E$7:$E$84,'DRE1'!$B51)</f>
        <v>11</v>
      </c>
      <c r="E51" s="26">
        <f>SUMIFS(MARÇO!$H$7:$H$84,MARÇO!$E$7:$E$84,'DRE1'!$B51)</f>
        <v>0</v>
      </c>
      <c r="F51" s="26">
        <f>SUMIFS(ABRIL!$H$7:$H$84,ABRIL!$E$7:$E$84,'DRE1'!$B51)</f>
        <v>1</v>
      </c>
      <c r="G51" s="26">
        <f>SUMIFS(MAIO!$H$7:$H$84,MAIO!$E$7:$E$84,'DRE1'!$B51)</f>
        <v>0</v>
      </c>
      <c r="H51" s="26">
        <f>SUMIFS(JUNHO!$H$7:$H$84,JUNHO!$E$7:$E$84,'DRE1'!$B51)</f>
        <v>16.8333333333333</v>
      </c>
      <c r="I51" s="26">
        <f>SUMIFS(JULHO!$H$7:$H$84,JULHO!$E$7:$E$84,'DRE1'!$B51)</f>
        <v>11</v>
      </c>
      <c r="J51" s="26">
        <f>SUMIFS(AGOSTO!$H$7:$H$84,AGOSTO!$E$7:$E$84,'DRE1'!$B51)</f>
        <v>0</v>
      </c>
      <c r="K51" s="26">
        <f>SUMIFS(SETEMBRO!$H$7:$H$84,SETEMBRO!$E$7:$E$84,'DRE1'!$B51)</f>
        <v>11</v>
      </c>
      <c r="L51" s="26">
        <f>SUMIFS(OUTUBRO!$H$7:$H$84,OUTUBRO!$E$7:$E$84,'DRE1'!$B51)</f>
        <v>11</v>
      </c>
      <c r="M51" s="26">
        <f>SUMIFS(NOVEMBRO!$H$7:$H$84,NOVEMBRO!$E$7:$E$84,'DRE1'!$B51)</f>
        <v>11</v>
      </c>
      <c r="N51" s="26">
        <f>SUMIFS(DEZEMBRO!$H$7:$H$84,DEZEMBRO!$E$7:$E$84,'DRE1'!$B51)</f>
        <v>10</v>
      </c>
      <c r="O51" s="26">
        <f t="shared" ref="O51:O60" si="18">SUM(C51:N51)</f>
        <v>1082.8333333333333</v>
      </c>
      <c r="P51" s="26">
        <f t="shared" ref="P51:P60" si="19">SUM(C51:N51)</f>
        <v>1082.8333333333333</v>
      </c>
    </row>
    <row r="52" spans="2:16" x14ac:dyDescent="0.25">
      <c r="B52" s="24" t="str">
        <f>'plano de contas'!F10</f>
        <v>-</v>
      </c>
      <c r="C52" s="26">
        <f>SUMIFS(JANEIRO!$H$7:$H$84,JANEIRO!$E$7:$E$84,'DRE1'!$B52)</f>
        <v>2943</v>
      </c>
      <c r="D52" s="26">
        <f>SUMIFS(FEVEREIRO!$H$7:$H$84,FEVEREIRO!$E$7:$E$84,'DRE1'!$B52)</f>
        <v>505</v>
      </c>
      <c r="E52" s="26">
        <f>SUMIFS(MARÇO!$H$7:$H$84,MARÇO!$E$7:$E$84,'DRE1'!$B52)</f>
        <v>0</v>
      </c>
      <c r="F52" s="26">
        <f>SUMIFS(ABRIL!$H$7:$H$84,ABRIL!$E$7:$E$84,'DRE1'!$B52)</f>
        <v>24.2</v>
      </c>
      <c r="G52" s="26">
        <f>SUMIFS(MAIO!$H$7:$H$84,MAIO!$E$7:$E$84,'DRE1'!$B52)</f>
        <v>1154</v>
      </c>
      <c r="H52" s="26">
        <f>SUMIFS(JUNHO!$H$7:$H$84,JUNHO!$E$7:$E$84,'DRE1'!$B52)</f>
        <v>720.16666666666583</v>
      </c>
      <c r="I52" s="26">
        <f>SUMIFS(JULHO!$H$7:$H$84,JULHO!$E$7:$E$84,'DRE1'!$B52)</f>
        <v>468</v>
      </c>
      <c r="J52" s="26">
        <f>SUMIFS(AGOSTO!$H$7:$H$84,AGOSTO!$E$7:$E$84,'DRE1'!$B52)</f>
        <v>34</v>
      </c>
      <c r="K52" s="26">
        <f>SUMIFS(SETEMBRO!$H$7:$H$84,SETEMBRO!$E$7:$E$84,'DRE1'!$B52)</f>
        <v>1638</v>
      </c>
      <c r="L52" s="26">
        <f>SUMIFS(OUTUBRO!$H$7:$H$84,OUTUBRO!$E$7:$E$84,'DRE1'!$B52)</f>
        <v>482</v>
      </c>
      <c r="M52" s="26">
        <f>SUMIFS(NOVEMBRO!$H$7:$H$84,NOVEMBRO!$E$7:$E$84,'DRE1'!$B52)</f>
        <v>465</v>
      </c>
      <c r="N52" s="26">
        <f>SUMIFS(DEZEMBRO!$H$7:$H$84,DEZEMBRO!$E$7:$E$84,'DRE1'!$B52)</f>
        <v>1527</v>
      </c>
      <c r="O52" s="26">
        <f t="shared" si="18"/>
        <v>9960.366666666665</v>
      </c>
      <c r="P52" s="26">
        <f t="shared" si="19"/>
        <v>9960.366666666665</v>
      </c>
    </row>
    <row r="53" spans="2:16" x14ac:dyDescent="0.25">
      <c r="B53" s="24" t="str">
        <f>'plano de contas'!F11</f>
        <v>-</v>
      </c>
      <c r="C53" s="26">
        <f>SUMIFS(JANEIRO!$H$7:$H$84,JANEIRO!$E$7:$E$84,'DRE1'!$B53)</f>
        <v>2943</v>
      </c>
      <c r="D53" s="26">
        <f>SUMIFS(FEVEREIRO!$H$7:$H$84,FEVEREIRO!$E$7:$E$84,'DRE1'!$B53)</f>
        <v>505</v>
      </c>
      <c r="E53" s="26">
        <f>SUMIFS(MARÇO!$H$7:$H$84,MARÇO!$E$7:$E$84,'DRE1'!$B53)</f>
        <v>0</v>
      </c>
      <c r="F53" s="26">
        <f>SUMIFS(ABRIL!$H$7:$H$84,ABRIL!$E$7:$E$84,'DRE1'!$B53)</f>
        <v>24.2</v>
      </c>
      <c r="G53" s="26">
        <f>SUMIFS(MAIO!$H$7:$H$84,MAIO!$E$7:$E$84,'DRE1'!$B53)</f>
        <v>1154</v>
      </c>
      <c r="H53" s="26">
        <f>SUMIFS(JUNHO!$H$7:$H$84,JUNHO!$E$7:$E$84,'DRE1'!$B53)</f>
        <v>720.16666666666583</v>
      </c>
      <c r="I53" s="26">
        <f>SUMIFS(JULHO!$H$7:$H$84,JULHO!$E$7:$E$84,'DRE1'!$B53)</f>
        <v>468</v>
      </c>
      <c r="J53" s="26">
        <f>SUMIFS(AGOSTO!$H$7:$H$84,AGOSTO!$E$7:$E$84,'DRE1'!$B53)</f>
        <v>34</v>
      </c>
      <c r="K53" s="26">
        <f>SUMIFS(SETEMBRO!$H$7:$H$84,SETEMBRO!$E$7:$E$84,'DRE1'!$B53)</f>
        <v>1638</v>
      </c>
      <c r="L53" s="26">
        <f>SUMIFS(OUTUBRO!$H$7:$H$84,OUTUBRO!$E$7:$E$84,'DRE1'!$B53)</f>
        <v>482</v>
      </c>
      <c r="M53" s="26">
        <f>SUMIFS(NOVEMBRO!$H$7:$H$84,NOVEMBRO!$E$7:$E$84,'DRE1'!$B53)</f>
        <v>465</v>
      </c>
      <c r="N53" s="26">
        <f>SUMIFS(DEZEMBRO!$H$7:$H$84,DEZEMBRO!$E$7:$E$84,'DRE1'!$B53)</f>
        <v>1527</v>
      </c>
      <c r="O53" s="26">
        <f t="shared" si="18"/>
        <v>9960.366666666665</v>
      </c>
      <c r="P53" s="26">
        <f t="shared" si="19"/>
        <v>9960.366666666665</v>
      </c>
    </row>
    <row r="54" spans="2:16" x14ac:dyDescent="0.25">
      <c r="B54" s="24" t="str">
        <f>'plano de contas'!F12</f>
        <v>-</v>
      </c>
      <c r="C54" s="26">
        <f>SUMIFS(JANEIRO!$H$7:$H$84,JANEIRO!$E$7:$E$84,'DRE1'!$B54)</f>
        <v>2943</v>
      </c>
      <c r="D54" s="26">
        <f>SUMIFS(FEVEREIRO!$H$7:$H$84,FEVEREIRO!$E$7:$E$84,'DRE1'!$B54)</f>
        <v>505</v>
      </c>
      <c r="E54" s="26">
        <f>SUMIFS(MARÇO!$H$7:$H$84,MARÇO!$E$7:$E$84,'DRE1'!$B54)</f>
        <v>0</v>
      </c>
      <c r="F54" s="26">
        <f>SUMIFS(ABRIL!$H$7:$H$84,ABRIL!$E$7:$E$84,'DRE1'!$B54)</f>
        <v>24.2</v>
      </c>
      <c r="G54" s="26">
        <f>SUMIFS(MAIO!$H$7:$H$84,MAIO!$E$7:$E$84,'DRE1'!$B54)</f>
        <v>1154</v>
      </c>
      <c r="H54" s="26">
        <f>SUMIFS(JUNHO!$H$7:$H$84,JUNHO!$E$7:$E$84,'DRE1'!$B54)</f>
        <v>720.16666666666583</v>
      </c>
      <c r="I54" s="26">
        <f>SUMIFS(JULHO!$H$7:$H$84,JULHO!$E$7:$E$84,'DRE1'!$B54)</f>
        <v>468</v>
      </c>
      <c r="J54" s="26">
        <f>SUMIFS(AGOSTO!$H$7:$H$84,AGOSTO!$E$7:$E$84,'DRE1'!$B54)</f>
        <v>34</v>
      </c>
      <c r="K54" s="26">
        <f>SUMIFS(SETEMBRO!$H$7:$H$84,SETEMBRO!$E$7:$E$84,'DRE1'!$B54)</f>
        <v>1638</v>
      </c>
      <c r="L54" s="26">
        <f>SUMIFS(OUTUBRO!$H$7:$H$84,OUTUBRO!$E$7:$E$84,'DRE1'!$B54)</f>
        <v>482</v>
      </c>
      <c r="M54" s="26">
        <f>SUMIFS(NOVEMBRO!$H$7:$H$84,NOVEMBRO!$E$7:$E$84,'DRE1'!$B54)</f>
        <v>465</v>
      </c>
      <c r="N54" s="26">
        <f>SUMIFS(DEZEMBRO!$H$7:$H$84,DEZEMBRO!$E$7:$E$84,'DRE1'!$B54)</f>
        <v>1527</v>
      </c>
      <c r="O54" s="26">
        <f t="shared" si="18"/>
        <v>9960.366666666665</v>
      </c>
      <c r="P54" s="26">
        <f t="shared" si="19"/>
        <v>9960.366666666665</v>
      </c>
    </row>
    <row r="55" spans="2:16" x14ac:dyDescent="0.25">
      <c r="B55" s="24" t="str">
        <f>'plano de contas'!F13</f>
        <v>-</v>
      </c>
      <c r="C55" s="26">
        <f>SUMIFS(JANEIRO!$H$7:$H$84,JANEIRO!$E$7:$E$84,'DRE1'!$B55)</f>
        <v>2943</v>
      </c>
      <c r="D55" s="26">
        <f>SUMIFS(FEVEREIRO!$H$7:$H$84,FEVEREIRO!$E$7:$E$84,'DRE1'!$B55)</f>
        <v>505</v>
      </c>
      <c r="E55" s="26">
        <f>SUMIFS(MARÇO!$H$7:$H$84,MARÇO!$E$7:$E$84,'DRE1'!$B55)</f>
        <v>0</v>
      </c>
      <c r="F55" s="26">
        <f>SUMIFS(ABRIL!$H$7:$H$84,ABRIL!$E$7:$E$84,'DRE1'!$B55)</f>
        <v>24.2</v>
      </c>
      <c r="G55" s="26">
        <f>SUMIFS(MAIO!$H$7:$H$84,MAIO!$E$7:$E$84,'DRE1'!$B55)</f>
        <v>1154</v>
      </c>
      <c r="H55" s="26">
        <f>SUMIFS(JUNHO!$H$7:$H$84,JUNHO!$E$7:$E$84,'DRE1'!$B55)</f>
        <v>720.16666666666583</v>
      </c>
      <c r="I55" s="26">
        <f>SUMIFS(JULHO!$H$7:$H$84,JULHO!$E$7:$E$84,'DRE1'!$B55)</f>
        <v>468</v>
      </c>
      <c r="J55" s="26">
        <f>SUMIFS(AGOSTO!$H$7:$H$84,AGOSTO!$E$7:$E$84,'DRE1'!$B55)</f>
        <v>34</v>
      </c>
      <c r="K55" s="26">
        <f>SUMIFS(SETEMBRO!$H$7:$H$84,SETEMBRO!$E$7:$E$84,'DRE1'!$B55)</f>
        <v>1638</v>
      </c>
      <c r="L55" s="26">
        <f>SUMIFS(OUTUBRO!$H$7:$H$84,OUTUBRO!$E$7:$E$84,'DRE1'!$B55)</f>
        <v>482</v>
      </c>
      <c r="M55" s="26">
        <f>SUMIFS(NOVEMBRO!$H$7:$H$84,NOVEMBRO!$E$7:$E$84,'DRE1'!$B55)</f>
        <v>465</v>
      </c>
      <c r="N55" s="26">
        <f>SUMIFS(DEZEMBRO!$H$7:$H$84,DEZEMBRO!$E$7:$E$84,'DRE1'!$B55)</f>
        <v>1527</v>
      </c>
      <c r="O55" s="26">
        <f t="shared" si="18"/>
        <v>9960.366666666665</v>
      </c>
      <c r="P55" s="26">
        <f t="shared" si="19"/>
        <v>9960.366666666665</v>
      </c>
    </row>
    <row r="56" spans="2:16" x14ac:dyDescent="0.25">
      <c r="B56" s="24" t="str">
        <f>'plano de contas'!F14</f>
        <v>-</v>
      </c>
      <c r="C56" s="26">
        <f>SUMIFS(JANEIRO!$H$7:$H$84,JANEIRO!$E$7:$E$84,'DRE1'!$B56)</f>
        <v>2943</v>
      </c>
      <c r="D56" s="26">
        <f>SUMIFS(FEVEREIRO!$H$7:$H$84,FEVEREIRO!$E$7:$E$84,'DRE1'!$B56)</f>
        <v>505</v>
      </c>
      <c r="E56" s="26">
        <f>SUMIFS(MARÇO!$H$7:$H$84,MARÇO!$E$7:$E$84,'DRE1'!$B56)</f>
        <v>0</v>
      </c>
      <c r="F56" s="26">
        <f>SUMIFS(ABRIL!$H$7:$H$84,ABRIL!$E$7:$E$84,'DRE1'!$B56)</f>
        <v>24.2</v>
      </c>
      <c r="G56" s="26">
        <f>SUMIFS(MAIO!$H$7:$H$84,MAIO!$E$7:$E$84,'DRE1'!$B56)</f>
        <v>1154</v>
      </c>
      <c r="H56" s="26">
        <f>SUMIFS(JUNHO!$H$7:$H$84,JUNHO!$E$7:$E$84,'DRE1'!$B56)</f>
        <v>720.16666666666583</v>
      </c>
      <c r="I56" s="26">
        <f>SUMIFS(JULHO!$H$7:$H$84,JULHO!$E$7:$E$84,'DRE1'!$B56)</f>
        <v>468</v>
      </c>
      <c r="J56" s="26">
        <f>SUMIFS(AGOSTO!$H$7:$H$84,AGOSTO!$E$7:$E$84,'DRE1'!$B56)</f>
        <v>34</v>
      </c>
      <c r="K56" s="26">
        <f>SUMIFS(SETEMBRO!$H$7:$H$84,SETEMBRO!$E$7:$E$84,'DRE1'!$B56)</f>
        <v>1638</v>
      </c>
      <c r="L56" s="26">
        <f>SUMIFS(OUTUBRO!$H$7:$H$84,OUTUBRO!$E$7:$E$84,'DRE1'!$B56)</f>
        <v>482</v>
      </c>
      <c r="M56" s="26">
        <f>SUMIFS(NOVEMBRO!$H$7:$H$84,NOVEMBRO!$E$7:$E$84,'DRE1'!$B56)</f>
        <v>465</v>
      </c>
      <c r="N56" s="26">
        <f>SUMIFS(DEZEMBRO!$H$7:$H$84,DEZEMBRO!$E$7:$E$84,'DRE1'!$B56)</f>
        <v>1527</v>
      </c>
      <c r="O56" s="26">
        <f t="shared" si="18"/>
        <v>9960.366666666665</v>
      </c>
      <c r="P56" s="26">
        <f t="shared" si="19"/>
        <v>9960.366666666665</v>
      </c>
    </row>
    <row r="57" spans="2:16" x14ac:dyDescent="0.25">
      <c r="B57" s="24" t="str">
        <f>'plano de contas'!F15</f>
        <v>-</v>
      </c>
      <c r="C57" s="26">
        <f>SUMIFS(JANEIRO!$H$7:$H$84,JANEIRO!$E$7:$E$84,'DRE1'!$B57)</f>
        <v>2943</v>
      </c>
      <c r="D57" s="26">
        <f>SUMIFS(FEVEREIRO!$H$7:$H$84,FEVEREIRO!$E$7:$E$84,'DRE1'!$B57)</f>
        <v>505</v>
      </c>
      <c r="E57" s="26">
        <f>SUMIFS(MARÇO!$H$7:$H$84,MARÇO!$E$7:$E$84,'DRE1'!$B57)</f>
        <v>0</v>
      </c>
      <c r="F57" s="26">
        <f>SUMIFS(ABRIL!$H$7:$H$84,ABRIL!$E$7:$E$84,'DRE1'!$B57)</f>
        <v>24.2</v>
      </c>
      <c r="G57" s="26">
        <f>SUMIFS(MAIO!$H$7:$H$84,MAIO!$E$7:$E$84,'DRE1'!$B57)</f>
        <v>1154</v>
      </c>
      <c r="H57" s="26">
        <f>SUMIFS(JUNHO!$H$7:$H$84,JUNHO!$E$7:$E$84,'DRE1'!$B57)</f>
        <v>720.16666666666583</v>
      </c>
      <c r="I57" s="26">
        <f>SUMIFS(JULHO!$H$7:$H$84,JULHO!$E$7:$E$84,'DRE1'!$B57)</f>
        <v>468</v>
      </c>
      <c r="J57" s="26">
        <f>SUMIFS(AGOSTO!$H$7:$H$84,AGOSTO!$E$7:$E$84,'DRE1'!$B57)</f>
        <v>34</v>
      </c>
      <c r="K57" s="26">
        <f>SUMIFS(SETEMBRO!$H$7:$H$84,SETEMBRO!$E$7:$E$84,'DRE1'!$B57)</f>
        <v>1638</v>
      </c>
      <c r="L57" s="26">
        <f>SUMIFS(OUTUBRO!$H$7:$H$84,OUTUBRO!$E$7:$E$84,'DRE1'!$B57)</f>
        <v>482</v>
      </c>
      <c r="M57" s="26">
        <f>SUMIFS(NOVEMBRO!$H$7:$H$84,NOVEMBRO!$E$7:$E$84,'DRE1'!$B57)</f>
        <v>465</v>
      </c>
      <c r="N57" s="26">
        <f>SUMIFS(DEZEMBRO!$H$7:$H$84,DEZEMBRO!$E$7:$E$84,'DRE1'!$B57)</f>
        <v>1527</v>
      </c>
      <c r="O57" s="26">
        <f t="shared" si="18"/>
        <v>9960.366666666665</v>
      </c>
      <c r="P57" s="26">
        <f t="shared" si="19"/>
        <v>9960.366666666665</v>
      </c>
    </row>
    <row r="58" spans="2:16" x14ac:dyDescent="0.25">
      <c r="B58" s="24" t="str">
        <f>'plano de contas'!F16</f>
        <v>-</v>
      </c>
      <c r="C58" s="26">
        <f>SUMIFS(JANEIRO!$H$7:$H$84,JANEIRO!$E$7:$E$84,'DRE1'!$B58)</f>
        <v>2943</v>
      </c>
      <c r="D58" s="26">
        <f>SUMIFS(FEVEREIRO!$H$7:$H$84,FEVEREIRO!$E$7:$E$84,'DRE1'!$B58)</f>
        <v>505</v>
      </c>
      <c r="E58" s="26">
        <f>SUMIFS(MARÇO!$H$7:$H$84,MARÇO!$E$7:$E$84,'DRE1'!$B58)</f>
        <v>0</v>
      </c>
      <c r="F58" s="26">
        <f>SUMIFS(ABRIL!$H$7:$H$84,ABRIL!$E$7:$E$84,'DRE1'!$B58)</f>
        <v>24.2</v>
      </c>
      <c r="G58" s="26">
        <f>SUMIFS(MAIO!$H$7:$H$84,MAIO!$E$7:$E$84,'DRE1'!$B58)</f>
        <v>1154</v>
      </c>
      <c r="H58" s="26">
        <f>SUMIFS(JUNHO!$H$7:$H$84,JUNHO!$E$7:$E$84,'DRE1'!$B58)</f>
        <v>720.16666666666583</v>
      </c>
      <c r="I58" s="26">
        <f>SUMIFS(JULHO!$H$7:$H$84,JULHO!$E$7:$E$84,'DRE1'!$B58)</f>
        <v>468</v>
      </c>
      <c r="J58" s="26">
        <f>SUMIFS(AGOSTO!$H$7:$H$84,AGOSTO!$E$7:$E$84,'DRE1'!$B58)</f>
        <v>34</v>
      </c>
      <c r="K58" s="26">
        <f>SUMIFS(SETEMBRO!$H$7:$H$84,SETEMBRO!$E$7:$E$84,'DRE1'!$B58)</f>
        <v>1638</v>
      </c>
      <c r="L58" s="26">
        <f>SUMIFS(OUTUBRO!$H$7:$H$84,OUTUBRO!$E$7:$E$84,'DRE1'!$B58)</f>
        <v>482</v>
      </c>
      <c r="M58" s="26">
        <f>SUMIFS(NOVEMBRO!$H$7:$H$84,NOVEMBRO!$E$7:$E$84,'DRE1'!$B58)</f>
        <v>465</v>
      </c>
      <c r="N58" s="26">
        <f>SUMIFS(DEZEMBRO!$H$7:$H$84,DEZEMBRO!$E$7:$E$84,'DRE1'!$B58)</f>
        <v>1527</v>
      </c>
      <c r="O58" s="26">
        <f t="shared" si="18"/>
        <v>9960.366666666665</v>
      </c>
      <c r="P58" s="26">
        <f t="shared" si="19"/>
        <v>9960.366666666665</v>
      </c>
    </row>
    <row r="59" spans="2:16" x14ac:dyDescent="0.25">
      <c r="B59" s="24" t="str">
        <f>'plano de contas'!F17</f>
        <v>-</v>
      </c>
      <c r="C59" s="26">
        <f>SUMIFS(JANEIRO!$H$7:$H$84,JANEIRO!$E$7:$E$84,'DRE1'!$B59)</f>
        <v>2943</v>
      </c>
      <c r="D59" s="26">
        <f>SUMIFS(FEVEREIRO!$H$7:$H$84,FEVEREIRO!$E$7:$E$84,'DRE1'!$B59)</f>
        <v>505</v>
      </c>
      <c r="E59" s="26">
        <f>SUMIFS(MARÇO!$H$7:$H$84,MARÇO!$E$7:$E$84,'DRE1'!$B59)</f>
        <v>0</v>
      </c>
      <c r="F59" s="26">
        <f>SUMIFS(ABRIL!$H$7:$H$84,ABRIL!$E$7:$E$84,'DRE1'!$B59)</f>
        <v>24.2</v>
      </c>
      <c r="G59" s="26">
        <f>SUMIFS(MAIO!$H$7:$H$84,MAIO!$E$7:$E$84,'DRE1'!$B59)</f>
        <v>1154</v>
      </c>
      <c r="H59" s="26">
        <f>SUMIFS(JUNHO!$H$7:$H$84,JUNHO!$E$7:$E$84,'DRE1'!$B59)</f>
        <v>720.16666666666583</v>
      </c>
      <c r="I59" s="26">
        <f>SUMIFS(JULHO!$H$7:$H$84,JULHO!$E$7:$E$84,'DRE1'!$B59)</f>
        <v>468</v>
      </c>
      <c r="J59" s="26">
        <f>SUMIFS(AGOSTO!$H$7:$H$84,AGOSTO!$E$7:$E$84,'DRE1'!$B59)</f>
        <v>34</v>
      </c>
      <c r="K59" s="26">
        <f>SUMIFS(SETEMBRO!$H$7:$H$84,SETEMBRO!$E$7:$E$84,'DRE1'!$B59)</f>
        <v>1638</v>
      </c>
      <c r="L59" s="26">
        <f>SUMIFS(OUTUBRO!$H$7:$H$84,OUTUBRO!$E$7:$E$84,'DRE1'!$B59)</f>
        <v>482</v>
      </c>
      <c r="M59" s="26">
        <f>SUMIFS(NOVEMBRO!$H$7:$H$84,NOVEMBRO!$E$7:$E$84,'DRE1'!$B59)</f>
        <v>465</v>
      </c>
      <c r="N59" s="26">
        <f>SUMIFS(DEZEMBRO!$H$7:$H$84,DEZEMBRO!$E$7:$E$84,'DRE1'!$B59)</f>
        <v>1527</v>
      </c>
      <c r="O59" s="26">
        <f t="shared" si="18"/>
        <v>9960.366666666665</v>
      </c>
      <c r="P59" s="26">
        <f t="shared" si="19"/>
        <v>9960.366666666665</v>
      </c>
    </row>
    <row r="60" spans="2:16" x14ac:dyDescent="0.25">
      <c r="B60" s="24" t="str">
        <f>'plano de contas'!F18</f>
        <v>OUTRAS DESPESAS PROD</v>
      </c>
      <c r="C60" s="26">
        <f>SUMIFS(JANEIRO!$H$7:$H$84,JANEIRO!$E$7:$E$84,'DRE1'!$B60)</f>
        <v>0</v>
      </c>
      <c r="D60" s="26">
        <f>SUMIFS(FEVEREIRO!$H$7:$H$84,FEVEREIRO!$E$7:$E$84,'DRE1'!$B60)</f>
        <v>0</v>
      </c>
      <c r="E60" s="26">
        <f>SUMIFS(MARÇO!$H$7:$H$84,MARÇO!$E$7:$E$84,'DRE1'!$B60)</f>
        <v>0</v>
      </c>
      <c r="F60" s="26">
        <f>SUMIFS(ABRIL!$H$7:$H$84,ABRIL!$E$7:$E$84,'DRE1'!$B60)</f>
        <v>0</v>
      </c>
      <c r="G60" s="26">
        <f>SUMIFS(MAIO!$H$7:$H$84,MAIO!$E$7:$E$84,'DRE1'!$B60)</f>
        <v>0</v>
      </c>
      <c r="H60" s="26">
        <f>SUMIFS(JUNHO!$H$7:$H$84,JUNHO!$E$7:$E$84,'DRE1'!$B60)</f>
        <v>0</v>
      </c>
      <c r="I60" s="26">
        <f>SUMIFS(JULHO!$H$7:$H$84,JULHO!$E$7:$E$84,'DRE1'!$B60)</f>
        <v>0</v>
      </c>
      <c r="J60" s="26">
        <f>SUMIFS(AGOSTO!$H$7:$H$84,AGOSTO!$E$7:$E$84,'DRE1'!$B60)</f>
        <v>0</v>
      </c>
      <c r="K60" s="26">
        <f>SUMIFS(SETEMBRO!$H$7:$H$84,SETEMBRO!$E$7:$E$84,'DRE1'!$B60)</f>
        <v>0</v>
      </c>
      <c r="L60" s="26">
        <f>SUMIFS(OUTUBRO!$H$7:$H$84,OUTUBRO!$E$7:$E$84,'DRE1'!$B60)</f>
        <v>0</v>
      </c>
      <c r="M60" s="26">
        <f>SUMIFS(NOVEMBRO!$H$7:$H$84,NOVEMBRO!$E$7:$E$84,'DRE1'!$B60)</f>
        <v>0</v>
      </c>
      <c r="N60" s="26">
        <f>SUMIFS(DEZEMBRO!$H$7:$H$84,DEZEMBRO!$E$7:$E$84,'DRE1'!$B60)</f>
        <v>0</v>
      </c>
      <c r="O60" s="26">
        <f t="shared" si="18"/>
        <v>0</v>
      </c>
      <c r="P60" s="26">
        <f t="shared" si="19"/>
        <v>0</v>
      </c>
    </row>
    <row r="62" spans="2:16" x14ac:dyDescent="0.25">
      <c r="B62" s="24" t="str">
        <f>'plano de contas'!H7</f>
        <v>DESPESAS COM MARKETING</v>
      </c>
      <c r="C62" s="27">
        <f t="shared" ref="C62:P62" si="20">SUM(C63:C73)</f>
        <v>23619</v>
      </c>
      <c r="D62" s="27">
        <f t="shared" si="20"/>
        <v>4067</v>
      </c>
      <c r="E62" s="27">
        <f t="shared" si="20"/>
        <v>0</v>
      </c>
      <c r="F62" s="27">
        <f t="shared" si="20"/>
        <v>195.59999999999997</v>
      </c>
      <c r="G62" s="27">
        <f t="shared" si="20"/>
        <v>9237</v>
      </c>
      <c r="H62" s="27">
        <f t="shared" si="20"/>
        <v>5766.3333333333276</v>
      </c>
      <c r="I62" s="27">
        <f t="shared" si="20"/>
        <v>3747</v>
      </c>
      <c r="J62" s="27">
        <f t="shared" si="20"/>
        <v>275</v>
      </c>
      <c r="K62" s="27">
        <f t="shared" si="20"/>
        <v>13107</v>
      </c>
      <c r="L62" s="27">
        <f t="shared" si="20"/>
        <v>3859</v>
      </c>
      <c r="M62" s="27">
        <f t="shared" si="20"/>
        <v>3723</v>
      </c>
      <c r="N62" s="27">
        <f t="shared" si="20"/>
        <v>12216</v>
      </c>
      <c r="O62" s="27">
        <f t="shared" si="20"/>
        <v>79811.933333333334</v>
      </c>
      <c r="P62" s="27">
        <f t="shared" si="20"/>
        <v>79811.933333333334</v>
      </c>
    </row>
    <row r="63" spans="2:16" x14ac:dyDescent="0.25">
      <c r="B63" s="24" t="str">
        <f>'plano de contas'!H8</f>
        <v>MARKETING ONLINE</v>
      </c>
      <c r="C63" s="26">
        <f>SUMIFS(JANEIRO!$H$7:$H$84,JANEIRO!$E$7:$E$84,'DRE1'!$B63)</f>
        <v>75</v>
      </c>
      <c r="D63" s="26">
        <f>SUMIFS(FEVEREIRO!$H$7:$H$84,FEVEREIRO!$E$7:$E$84,'DRE1'!$B63)</f>
        <v>0</v>
      </c>
      <c r="E63" s="26">
        <f>SUMIFS(MARÇO!$H$7:$H$84,MARÇO!$E$7:$E$84,'DRE1'!$B63)</f>
        <v>0</v>
      </c>
      <c r="F63" s="26">
        <f>SUMIFS(ABRIL!$H$7:$H$84,ABRIL!$E$7:$E$84,'DRE1'!$B63)</f>
        <v>0</v>
      </c>
      <c r="G63" s="26">
        <f>SUMIFS(MAIO!$H$7:$H$84,MAIO!$E$7:$E$84,'DRE1'!$B63)</f>
        <v>0</v>
      </c>
      <c r="H63" s="26">
        <f>SUMIFS(JUNHO!$H$7:$H$84,JUNHO!$E$7:$E$84,'DRE1'!$B63)</f>
        <v>0</v>
      </c>
      <c r="I63" s="26">
        <f>SUMIFS(JULHO!$H$7:$H$84,JULHO!$E$7:$E$84,'DRE1'!$B63)</f>
        <v>0</v>
      </c>
      <c r="J63" s="26">
        <f>SUMIFS(AGOSTO!$H$7:$H$84,AGOSTO!$E$7:$E$84,'DRE1'!$B63)</f>
        <v>0</v>
      </c>
      <c r="K63" s="26">
        <f>SUMIFS(SETEMBRO!$H$7:$H$84,SETEMBRO!$E$7:$E$84,'DRE1'!$B63)</f>
        <v>0</v>
      </c>
      <c r="L63" s="26">
        <f>SUMIFS(OUTUBRO!$H$7:$H$84,OUTUBRO!$E$7:$E$84,'DRE1'!$B63)</f>
        <v>0</v>
      </c>
      <c r="M63" s="26">
        <f>SUMIFS(NOVEMBRO!$H$7:$H$84,NOVEMBRO!$E$7:$E$84,'DRE1'!$B63)</f>
        <v>0</v>
      </c>
      <c r="N63" s="26">
        <f>SUMIFS(DEZEMBRO!$H$7:$H$84,DEZEMBRO!$E$7:$E$84,'DRE1'!$B63)</f>
        <v>0</v>
      </c>
      <c r="O63" s="26">
        <f>SUM(C63:N63)</f>
        <v>75</v>
      </c>
      <c r="P63" s="26">
        <f>SUM(C63:N63)</f>
        <v>75</v>
      </c>
    </row>
    <row r="64" spans="2:16" x14ac:dyDescent="0.25">
      <c r="B64" s="24" t="str">
        <f>'plano de contas'!H9</f>
        <v>MARKETING OFFLINE</v>
      </c>
      <c r="C64" s="26">
        <f>SUMIFS(JANEIRO!$H$7:$H$84,JANEIRO!$E$7:$E$84,'DRE1'!$B64)</f>
        <v>0</v>
      </c>
      <c r="D64" s="26">
        <f>SUMIFS(FEVEREIRO!$H$7:$H$84,FEVEREIRO!$E$7:$E$84,'DRE1'!$B64)</f>
        <v>27</v>
      </c>
      <c r="E64" s="26">
        <f>SUMIFS(MARÇO!$H$7:$H$84,MARÇO!$E$7:$E$84,'DRE1'!$B64)</f>
        <v>0</v>
      </c>
      <c r="F64" s="26">
        <f>SUMIFS(ABRIL!$H$7:$H$84,ABRIL!$E$7:$E$84,'DRE1'!$B64)</f>
        <v>2</v>
      </c>
      <c r="G64" s="26">
        <f>SUMIFS(MAIO!$H$7:$H$84,MAIO!$E$7:$E$84,'DRE1'!$B64)</f>
        <v>5</v>
      </c>
      <c r="H64" s="26">
        <f>SUMIFS(JUNHO!$H$7:$H$84,JUNHO!$E$7:$E$84,'DRE1'!$B64)</f>
        <v>5</v>
      </c>
      <c r="I64" s="26">
        <f>SUMIFS(JULHO!$H$7:$H$84,JULHO!$E$7:$E$84,'DRE1'!$B64)</f>
        <v>3</v>
      </c>
      <c r="J64" s="26">
        <f>SUMIFS(AGOSTO!$H$7:$H$84,AGOSTO!$E$7:$E$84,'DRE1'!$B64)</f>
        <v>3</v>
      </c>
      <c r="K64" s="26">
        <f>SUMIFS(SETEMBRO!$H$7:$H$84,SETEMBRO!$E$7:$E$84,'DRE1'!$B64)</f>
        <v>3</v>
      </c>
      <c r="L64" s="26">
        <f>SUMIFS(OUTUBRO!$H$7:$H$84,OUTUBRO!$E$7:$E$84,'DRE1'!$B64)</f>
        <v>3</v>
      </c>
      <c r="M64" s="26">
        <f>SUMIFS(NOVEMBRO!$H$7:$H$84,NOVEMBRO!$E$7:$E$84,'DRE1'!$B64)</f>
        <v>3</v>
      </c>
      <c r="N64" s="26">
        <f>SUMIFS(DEZEMBRO!$H$7:$H$84,DEZEMBRO!$E$7:$E$84,'DRE1'!$B64)</f>
        <v>0</v>
      </c>
      <c r="O64" s="26">
        <f t="shared" ref="O64:O73" si="21">SUM(C64:N64)</f>
        <v>54</v>
      </c>
      <c r="P64" s="26">
        <f t="shared" ref="P64:P73" si="22">SUM(C64:N64)</f>
        <v>54</v>
      </c>
    </row>
    <row r="65" spans="2:16" x14ac:dyDescent="0.25">
      <c r="B65" s="24" t="str">
        <f>'plano de contas'!H10</f>
        <v>-</v>
      </c>
      <c r="C65" s="26">
        <f>SUMIFS(JANEIRO!$H$7:$H$84,JANEIRO!$E$7:$E$84,'DRE1'!$B65)</f>
        <v>2943</v>
      </c>
      <c r="D65" s="26">
        <f>SUMIFS(FEVEREIRO!$H$7:$H$84,FEVEREIRO!$E$7:$E$84,'DRE1'!$B65)</f>
        <v>505</v>
      </c>
      <c r="E65" s="26">
        <f>SUMIFS(MARÇO!$H$7:$H$84,MARÇO!$E$7:$E$84,'DRE1'!$B65)</f>
        <v>0</v>
      </c>
      <c r="F65" s="26">
        <f>SUMIFS(ABRIL!$H$7:$H$84,ABRIL!$E$7:$E$84,'DRE1'!$B65)</f>
        <v>24.2</v>
      </c>
      <c r="G65" s="26">
        <f>SUMIFS(MAIO!$H$7:$H$84,MAIO!$E$7:$E$84,'DRE1'!$B65)</f>
        <v>1154</v>
      </c>
      <c r="H65" s="26">
        <f>SUMIFS(JUNHO!$H$7:$H$84,JUNHO!$E$7:$E$84,'DRE1'!$B65)</f>
        <v>720.16666666666583</v>
      </c>
      <c r="I65" s="26">
        <f>SUMIFS(JULHO!$H$7:$H$84,JULHO!$E$7:$E$84,'DRE1'!$B65)</f>
        <v>468</v>
      </c>
      <c r="J65" s="26">
        <f>SUMIFS(AGOSTO!$H$7:$H$84,AGOSTO!$E$7:$E$84,'DRE1'!$B65)</f>
        <v>34</v>
      </c>
      <c r="K65" s="26">
        <f>SUMIFS(SETEMBRO!$H$7:$H$84,SETEMBRO!$E$7:$E$84,'DRE1'!$B65)</f>
        <v>1638</v>
      </c>
      <c r="L65" s="26">
        <f>SUMIFS(OUTUBRO!$H$7:$H$84,OUTUBRO!$E$7:$E$84,'DRE1'!$B65)</f>
        <v>482</v>
      </c>
      <c r="M65" s="26">
        <f>SUMIFS(NOVEMBRO!$H$7:$H$84,NOVEMBRO!$E$7:$E$84,'DRE1'!$B65)</f>
        <v>465</v>
      </c>
      <c r="N65" s="26">
        <f>SUMIFS(DEZEMBRO!$H$7:$H$84,DEZEMBRO!$E$7:$E$84,'DRE1'!$B65)</f>
        <v>1527</v>
      </c>
      <c r="O65" s="26">
        <f t="shared" si="21"/>
        <v>9960.366666666665</v>
      </c>
      <c r="P65" s="26">
        <f t="shared" si="22"/>
        <v>9960.366666666665</v>
      </c>
    </row>
    <row r="66" spans="2:16" x14ac:dyDescent="0.25">
      <c r="B66" s="24" t="str">
        <f>'plano de contas'!H11</f>
        <v>-</v>
      </c>
      <c r="C66" s="26">
        <f>SUMIFS(JANEIRO!$H$7:$H$84,JANEIRO!$E$7:$E$84,'DRE1'!$B66)</f>
        <v>2943</v>
      </c>
      <c r="D66" s="26">
        <f>SUMIFS(FEVEREIRO!$H$7:$H$84,FEVEREIRO!$E$7:$E$84,'DRE1'!$B66)</f>
        <v>505</v>
      </c>
      <c r="E66" s="26">
        <f>SUMIFS(MARÇO!$H$7:$H$84,MARÇO!$E$7:$E$84,'DRE1'!$B66)</f>
        <v>0</v>
      </c>
      <c r="F66" s="26">
        <f>SUMIFS(ABRIL!$H$7:$H$84,ABRIL!$E$7:$E$84,'DRE1'!$B66)</f>
        <v>24.2</v>
      </c>
      <c r="G66" s="26">
        <f>SUMIFS(MAIO!$H$7:$H$84,MAIO!$E$7:$E$84,'DRE1'!$B66)</f>
        <v>1154</v>
      </c>
      <c r="H66" s="26">
        <f>SUMIFS(JUNHO!$H$7:$H$84,JUNHO!$E$7:$E$84,'DRE1'!$B66)</f>
        <v>720.16666666666583</v>
      </c>
      <c r="I66" s="26">
        <f>SUMIFS(JULHO!$H$7:$H$84,JULHO!$E$7:$E$84,'DRE1'!$B66)</f>
        <v>468</v>
      </c>
      <c r="J66" s="26">
        <f>SUMIFS(AGOSTO!$H$7:$H$84,AGOSTO!$E$7:$E$84,'DRE1'!$B66)</f>
        <v>34</v>
      </c>
      <c r="K66" s="26">
        <f>SUMIFS(SETEMBRO!$H$7:$H$84,SETEMBRO!$E$7:$E$84,'DRE1'!$B66)</f>
        <v>1638</v>
      </c>
      <c r="L66" s="26">
        <f>SUMIFS(OUTUBRO!$H$7:$H$84,OUTUBRO!$E$7:$E$84,'DRE1'!$B66)</f>
        <v>482</v>
      </c>
      <c r="M66" s="26">
        <f>SUMIFS(NOVEMBRO!$H$7:$H$84,NOVEMBRO!$E$7:$E$84,'DRE1'!$B66)</f>
        <v>465</v>
      </c>
      <c r="N66" s="26">
        <f>SUMIFS(DEZEMBRO!$H$7:$H$84,DEZEMBRO!$E$7:$E$84,'DRE1'!$B66)</f>
        <v>1527</v>
      </c>
      <c r="O66" s="26">
        <f t="shared" si="21"/>
        <v>9960.366666666665</v>
      </c>
      <c r="P66" s="26">
        <f t="shared" si="22"/>
        <v>9960.366666666665</v>
      </c>
    </row>
    <row r="67" spans="2:16" x14ac:dyDescent="0.25">
      <c r="B67" s="24" t="str">
        <f>'plano de contas'!H12</f>
        <v>-</v>
      </c>
      <c r="C67" s="26">
        <f>SUMIFS(JANEIRO!$H$7:$H$84,JANEIRO!$E$7:$E$84,'DRE1'!$B67)</f>
        <v>2943</v>
      </c>
      <c r="D67" s="26">
        <f>SUMIFS(FEVEREIRO!$H$7:$H$84,FEVEREIRO!$E$7:$E$84,'DRE1'!$B67)</f>
        <v>505</v>
      </c>
      <c r="E67" s="26">
        <f>SUMIFS(MARÇO!$H$7:$H$84,MARÇO!$E$7:$E$84,'DRE1'!$B67)</f>
        <v>0</v>
      </c>
      <c r="F67" s="26">
        <f>SUMIFS(ABRIL!$H$7:$H$84,ABRIL!$E$7:$E$84,'DRE1'!$B67)</f>
        <v>24.2</v>
      </c>
      <c r="G67" s="26">
        <f>SUMIFS(MAIO!$H$7:$H$84,MAIO!$E$7:$E$84,'DRE1'!$B67)</f>
        <v>1154</v>
      </c>
      <c r="H67" s="26">
        <f>SUMIFS(JUNHO!$H$7:$H$84,JUNHO!$E$7:$E$84,'DRE1'!$B67)</f>
        <v>720.16666666666583</v>
      </c>
      <c r="I67" s="26">
        <f>SUMIFS(JULHO!$H$7:$H$84,JULHO!$E$7:$E$84,'DRE1'!$B67)</f>
        <v>468</v>
      </c>
      <c r="J67" s="26">
        <f>SUMIFS(AGOSTO!$H$7:$H$84,AGOSTO!$E$7:$E$84,'DRE1'!$B67)</f>
        <v>34</v>
      </c>
      <c r="K67" s="26">
        <f>SUMIFS(SETEMBRO!$H$7:$H$84,SETEMBRO!$E$7:$E$84,'DRE1'!$B67)</f>
        <v>1638</v>
      </c>
      <c r="L67" s="26">
        <f>SUMIFS(OUTUBRO!$H$7:$H$84,OUTUBRO!$E$7:$E$84,'DRE1'!$B67)</f>
        <v>482</v>
      </c>
      <c r="M67" s="26">
        <f>SUMIFS(NOVEMBRO!$H$7:$H$84,NOVEMBRO!$E$7:$E$84,'DRE1'!$B67)</f>
        <v>465</v>
      </c>
      <c r="N67" s="26">
        <f>SUMIFS(DEZEMBRO!$H$7:$H$84,DEZEMBRO!$E$7:$E$84,'DRE1'!$B67)</f>
        <v>1527</v>
      </c>
      <c r="O67" s="26">
        <f t="shared" si="21"/>
        <v>9960.366666666665</v>
      </c>
      <c r="P67" s="26">
        <f t="shared" si="22"/>
        <v>9960.366666666665</v>
      </c>
    </row>
    <row r="68" spans="2:16" x14ac:dyDescent="0.25">
      <c r="B68" s="24" t="str">
        <f>'plano de contas'!H13</f>
        <v>-</v>
      </c>
      <c r="C68" s="26">
        <f>SUMIFS(JANEIRO!$H$7:$H$84,JANEIRO!$E$7:$E$84,'DRE1'!$B68)</f>
        <v>2943</v>
      </c>
      <c r="D68" s="26">
        <f>SUMIFS(FEVEREIRO!$H$7:$H$84,FEVEREIRO!$E$7:$E$84,'DRE1'!$B68)</f>
        <v>505</v>
      </c>
      <c r="E68" s="26">
        <f>SUMIFS(MARÇO!$H$7:$H$84,MARÇO!$E$7:$E$84,'DRE1'!$B68)</f>
        <v>0</v>
      </c>
      <c r="F68" s="26">
        <f>SUMIFS(ABRIL!$H$7:$H$84,ABRIL!$E$7:$E$84,'DRE1'!$B68)</f>
        <v>24.2</v>
      </c>
      <c r="G68" s="26">
        <f>SUMIFS(MAIO!$H$7:$H$84,MAIO!$E$7:$E$84,'DRE1'!$B68)</f>
        <v>1154</v>
      </c>
      <c r="H68" s="26">
        <f>SUMIFS(JUNHO!$H$7:$H$84,JUNHO!$E$7:$E$84,'DRE1'!$B68)</f>
        <v>720.16666666666583</v>
      </c>
      <c r="I68" s="26">
        <f>SUMIFS(JULHO!$H$7:$H$84,JULHO!$E$7:$E$84,'DRE1'!$B68)</f>
        <v>468</v>
      </c>
      <c r="J68" s="26">
        <f>SUMIFS(AGOSTO!$H$7:$H$84,AGOSTO!$E$7:$E$84,'DRE1'!$B68)</f>
        <v>34</v>
      </c>
      <c r="K68" s="26">
        <f>SUMIFS(SETEMBRO!$H$7:$H$84,SETEMBRO!$E$7:$E$84,'DRE1'!$B68)</f>
        <v>1638</v>
      </c>
      <c r="L68" s="26">
        <f>SUMIFS(OUTUBRO!$H$7:$H$84,OUTUBRO!$E$7:$E$84,'DRE1'!$B68)</f>
        <v>482</v>
      </c>
      <c r="M68" s="26">
        <f>SUMIFS(NOVEMBRO!$H$7:$H$84,NOVEMBRO!$E$7:$E$84,'DRE1'!$B68)</f>
        <v>465</v>
      </c>
      <c r="N68" s="26">
        <f>SUMIFS(DEZEMBRO!$H$7:$H$84,DEZEMBRO!$E$7:$E$84,'DRE1'!$B68)</f>
        <v>1527</v>
      </c>
      <c r="O68" s="26">
        <f t="shared" si="21"/>
        <v>9960.366666666665</v>
      </c>
      <c r="P68" s="26">
        <f t="shared" si="22"/>
        <v>9960.366666666665</v>
      </c>
    </row>
    <row r="69" spans="2:16" x14ac:dyDescent="0.25">
      <c r="B69" s="24" t="str">
        <f>'plano de contas'!H14</f>
        <v>-</v>
      </c>
      <c r="C69" s="26">
        <f>SUMIFS(JANEIRO!$H$7:$H$84,JANEIRO!$E$7:$E$84,'DRE1'!$B69)</f>
        <v>2943</v>
      </c>
      <c r="D69" s="26">
        <f>SUMIFS(FEVEREIRO!$H$7:$H$84,FEVEREIRO!$E$7:$E$84,'DRE1'!$B69)</f>
        <v>505</v>
      </c>
      <c r="E69" s="26">
        <f>SUMIFS(MARÇO!$H$7:$H$84,MARÇO!$E$7:$E$84,'DRE1'!$B69)</f>
        <v>0</v>
      </c>
      <c r="F69" s="26">
        <f>SUMIFS(ABRIL!$H$7:$H$84,ABRIL!$E$7:$E$84,'DRE1'!$B69)</f>
        <v>24.2</v>
      </c>
      <c r="G69" s="26">
        <f>SUMIFS(MAIO!$H$7:$H$84,MAIO!$E$7:$E$84,'DRE1'!$B69)</f>
        <v>1154</v>
      </c>
      <c r="H69" s="26">
        <f>SUMIFS(JUNHO!$H$7:$H$84,JUNHO!$E$7:$E$84,'DRE1'!$B69)</f>
        <v>720.16666666666583</v>
      </c>
      <c r="I69" s="26">
        <f>SUMIFS(JULHO!$H$7:$H$84,JULHO!$E$7:$E$84,'DRE1'!$B69)</f>
        <v>468</v>
      </c>
      <c r="J69" s="26">
        <f>SUMIFS(AGOSTO!$H$7:$H$84,AGOSTO!$E$7:$E$84,'DRE1'!$B69)</f>
        <v>34</v>
      </c>
      <c r="K69" s="26">
        <f>SUMIFS(SETEMBRO!$H$7:$H$84,SETEMBRO!$E$7:$E$84,'DRE1'!$B69)</f>
        <v>1638</v>
      </c>
      <c r="L69" s="26">
        <f>SUMIFS(OUTUBRO!$H$7:$H$84,OUTUBRO!$E$7:$E$84,'DRE1'!$B69)</f>
        <v>482</v>
      </c>
      <c r="M69" s="26">
        <f>SUMIFS(NOVEMBRO!$H$7:$H$84,NOVEMBRO!$E$7:$E$84,'DRE1'!$B69)</f>
        <v>465</v>
      </c>
      <c r="N69" s="26">
        <f>SUMIFS(DEZEMBRO!$H$7:$H$84,DEZEMBRO!$E$7:$E$84,'DRE1'!$B69)</f>
        <v>1527</v>
      </c>
      <c r="O69" s="26">
        <f t="shared" si="21"/>
        <v>9960.366666666665</v>
      </c>
      <c r="P69" s="26">
        <f t="shared" si="22"/>
        <v>9960.366666666665</v>
      </c>
    </row>
    <row r="70" spans="2:16" x14ac:dyDescent="0.25">
      <c r="B70" s="24" t="str">
        <f>'plano de contas'!H15</f>
        <v>-</v>
      </c>
      <c r="C70" s="26">
        <f>SUMIFS(JANEIRO!$H$7:$H$84,JANEIRO!$E$7:$E$84,'DRE1'!$B70)</f>
        <v>2943</v>
      </c>
      <c r="D70" s="26">
        <f>SUMIFS(FEVEREIRO!$H$7:$H$84,FEVEREIRO!$E$7:$E$84,'DRE1'!$B70)</f>
        <v>505</v>
      </c>
      <c r="E70" s="26">
        <f>SUMIFS(MARÇO!$H$7:$H$84,MARÇO!$E$7:$E$84,'DRE1'!$B70)</f>
        <v>0</v>
      </c>
      <c r="F70" s="26">
        <f>SUMIFS(ABRIL!$H$7:$H$84,ABRIL!$E$7:$E$84,'DRE1'!$B70)</f>
        <v>24.2</v>
      </c>
      <c r="G70" s="26">
        <f>SUMIFS(MAIO!$H$7:$H$84,MAIO!$E$7:$E$84,'DRE1'!$B70)</f>
        <v>1154</v>
      </c>
      <c r="H70" s="26">
        <f>SUMIFS(JUNHO!$H$7:$H$84,JUNHO!$E$7:$E$84,'DRE1'!$B70)</f>
        <v>720.16666666666583</v>
      </c>
      <c r="I70" s="26">
        <f>SUMIFS(JULHO!$H$7:$H$84,JULHO!$E$7:$E$84,'DRE1'!$B70)</f>
        <v>468</v>
      </c>
      <c r="J70" s="26">
        <f>SUMIFS(AGOSTO!$H$7:$H$84,AGOSTO!$E$7:$E$84,'DRE1'!$B70)</f>
        <v>34</v>
      </c>
      <c r="K70" s="26">
        <f>SUMIFS(SETEMBRO!$H$7:$H$84,SETEMBRO!$E$7:$E$84,'DRE1'!$B70)</f>
        <v>1638</v>
      </c>
      <c r="L70" s="26">
        <f>SUMIFS(OUTUBRO!$H$7:$H$84,OUTUBRO!$E$7:$E$84,'DRE1'!$B70)</f>
        <v>482</v>
      </c>
      <c r="M70" s="26">
        <f>SUMIFS(NOVEMBRO!$H$7:$H$84,NOVEMBRO!$E$7:$E$84,'DRE1'!$B70)</f>
        <v>465</v>
      </c>
      <c r="N70" s="26">
        <f>SUMIFS(DEZEMBRO!$H$7:$H$84,DEZEMBRO!$E$7:$E$84,'DRE1'!$B70)</f>
        <v>1527</v>
      </c>
      <c r="O70" s="26">
        <f t="shared" si="21"/>
        <v>9960.366666666665</v>
      </c>
      <c r="P70" s="26">
        <f t="shared" si="22"/>
        <v>9960.366666666665</v>
      </c>
    </row>
    <row r="71" spans="2:16" x14ac:dyDescent="0.25">
      <c r="B71" s="24" t="str">
        <f>'plano de contas'!H16</f>
        <v>-</v>
      </c>
      <c r="C71" s="26">
        <f>SUMIFS(JANEIRO!$H$7:$H$84,JANEIRO!$E$7:$E$84,'DRE1'!$B71)</f>
        <v>2943</v>
      </c>
      <c r="D71" s="26">
        <f>SUMIFS(FEVEREIRO!$H$7:$H$84,FEVEREIRO!$E$7:$E$84,'DRE1'!$B71)</f>
        <v>505</v>
      </c>
      <c r="E71" s="26">
        <f>SUMIFS(MARÇO!$H$7:$H$84,MARÇO!$E$7:$E$84,'DRE1'!$B71)</f>
        <v>0</v>
      </c>
      <c r="F71" s="26">
        <f>SUMIFS(ABRIL!$H$7:$H$84,ABRIL!$E$7:$E$84,'DRE1'!$B71)</f>
        <v>24.2</v>
      </c>
      <c r="G71" s="26">
        <f>SUMIFS(MAIO!$H$7:$H$84,MAIO!$E$7:$E$84,'DRE1'!$B71)</f>
        <v>1154</v>
      </c>
      <c r="H71" s="26">
        <f>SUMIFS(JUNHO!$H$7:$H$84,JUNHO!$E$7:$E$84,'DRE1'!$B71)</f>
        <v>720.16666666666583</v>
      </c>
      <c r="I71" s="26">
        <f>SUMIFS(JULHO!$H$7:$H$84,JULHO!$E$7:$E$84,'DRE1'!$B71)</f>
        <v>468</v>
      </c>
      <c r="J71" s="26">
        <f>SUMIFS(AGOSTO!$H$7:$H$84,AGOSTO!$E$7:$E$84,'DRE1'!$B71)</f>
        <v>34</v>
      </c>
      <c r="K71" s="26">
        <f>SUMIFS(SETEMBRO!$H$7:$H$84,SETEMBRO!$E$7:$E$84,'DRE1'!$B71)</f>
        <v>1638</v>
      </c>
      <c r="L71" s="26">
        <f>SUMIFS(OUTUBRO!$H$7:$H$84,OUTUBRO!$E$7:$E$84,'DRE1'!$B71)</f>
        <v>482</v>
      </c>
      <c r="M71" s="26">
        <f>SUMIFS(NOVEMBRO!$H$7:$H$84,NOVEMBRO!$E$7:$E$84,'DRE1'!$B71)</f>
        <v>465</v>
      </c>
      <c r="N71" s="26">
        <f>SUMIFS(DEZEMBRO!$H$7:$H$84,DEZEMBRO!$E$7:$E$84,'DRE1'!$B71)</f>
        <v>1527</v>
      </c>
      <c r="O71" s="26">
        <f t="shared" si="21"/>
        <v>9960.366666666665</v>
      </c>
      <c r="P71" s="26">
        <f t="shared" si="22"/>
        <v>9960.366666666665</v>
      </c>
    </row>
    <row r="72" spans="2:16" x14ac:dyDescent="0.25">
      <c r="B72" s="24" t="str">
        <f>'plano de contas'!H17</f>
        <v>-</v>
      </c>
      <c r="C72" s="26">
        <f>SUMIFS(JANEIRO!$H$7:$H$84,JANEIRO!$E$7:$E$84,'DRE1'!$B72)</f>
        <v>2943</v>
      </c>
      <c r="D72" s="26">
        <f>SUMIFS(FEVEREIRO!$H$7:$H$84,FEVEREIRO!$E$7:$E$84,'DRE1'!$B72)</f>
        <v>505</v>
      </c>
      <c r="E72" s="26">
        <f>SUMIFS(MARÇO!$H$7:$H$84,MARÇO!$E$7:$E$84,'DRE1'!$B72)</f>
        <v>0</v>
      </c>
      <c r="F72" s="26">
        <f>SUMIFS(ABRIL!$H$7:$H$84,ABRIL!$E$7:$E$84,'DRE1'!$B72)</f>
        <v>24.2</v>
      </c>
      <c r="G72" s="26">
        <f>SUMIFS(MAIO!$H$7:$H$84,MAIO!$E$7:$E$84,'DRE1'!$B72)</f>
        <v>1154</v>
      </c>
      <c r="H72" s="26">
        <f>SUMIFS(JUNHO!$H$7:$H$84,JUNHO!$E$7:$E$84,'DRE1'!$B72)</f>
        <v>720.16666666666583</v>
      </c>
      <c r="I72" s="26">
        <f>SUMIFS(JULHO!$H$7:$H$84,JULHO!$E$7:$E$84,'DRE1'!$B72)</f>
        <v>468</v>
      </c>
      <c r="J72" s="26">
        <f>SUMIFS(AGOSTO!$H$7:$H$84,AGOSTO!$E$7:$E$84,'DRE1'!$B72)</f>
        <v>34</v>
      </c>
      <c r="K72" s="26">
        <f>SUMIFS(SETEMBRO!$H$7:$H$84,SETEMBRO!$E$7:$E$84,'DRE1'!$B72)</f>
        <v>1638</v>
      </c>
      <c r="L72" s="26">
        <f>SUMIFS(OUTUBRO!$H$7:$H$84,OUTUBRO!$E$7:$E$84,'DRE1'!$B72)</f>
        <v>482</v>
      </c>
      <c r="M72" s="26">
        <f>SUMIFS(NOVEMBRO!$H$7:$H$84,NOVEMBRO!$E$7:$E$84,'DRE1'!$B72)</f>
        <v>465</v>
      </c>
      <c r="N72" s="26">
        <f>SUMIFS(DEZEMBRO!$H$7:$H$84,DEZEMBRO!$E$7:$E$84,'DRE1'!$B72)</f>
        <v>1527</v>
      </c>
      <c r="O72" s="26">
        <f t="shared" si="21"/>
        <v>9960.366666666665</v>
      </c>
      <c r="P72" s="26">
        <f t="shared" si="22"/>
        <v>9960.366666666665</v>
      </c>
    </row>
    <row r="73" spans="2:16" x14ac:dyDescent="0.25">
      <c r="B73" s="24" t="str">
        <f>'plano de contas'!H18</f>
        <v>OUTRAS DESPESAS MKT</v>
      </c>
      <c r="C73" s="26">
        <f>SUMIFS(JANEIRO!$H$7:$H$84,JANEIRO!$E$7:$E$84,'DRE1'!$B73)</f>
        <v>0</v>
      </c>
      <c r="D73" s="26">
        <f>SUMIFS(FEVEREIRO!$H$7:$H$84,FEVEREIRO!$E$7:$E$84,'DRE1'!$B73)</f>
        <v>0</v>
      </c>
      <c r="E73" s="26">
        <f>SUMIFS(MARÇO!$H$7:$H$84,MARÇO!$E$7:$E$84,'DRE1'!$B73)</f>
        <v>0</v>
      </c>
      <c r="F73" s="26">
        <f>SUMIFS(ABRIL!$H$7:$H$84,ABRIL!$E$7:$E$84,'DRE1'!$B73)</f>
        <v>0</v>
      </c>
      <c r="G73" s="26">
        <f>SUMIFS(MAIO!$H$7:$H$84,MAIO!$E$7:$E$84,'DRE1'!$B73)</f>
        <v>0</v>
      </c>
      <c r="H73" s="26">
        <f>SUMIFS(JUNHO!$H$7:$H$84,JUNHO!$E$7:$E$84,'DRE1'!$B73)</f>
        <v>0</v>
      </c>
      <c r="I73" s="26">
        <f>SUMIFS(JULHO!$H$7:$H$84,JULHO!$E$7:$E$84,'DRE1'!$B73)</f>
        <v>0</v>
      </c>
      <c r="J73" s="26">
        <f>SUMIFS(AGOSTO!$H$7:$H$84,AGOSTO!$E$7:$E$84,'DRE1'!$B73)</f>
        <v>0</v>
      </c>
      <c r="K73" s="26">
        <f>SUMIFS(SETEMBRO!$H$7:$H$84,SETEMBRO!$E$7:$E$84,'DRE1'!$B73)</f>
        <v>0</v>
      </c>
      <c r="L73" s="26">
        <f>SUMIFS(OUTUBRO!$H$7:$H$84,OUTUBRO!$E$7:$E$84,'DRE1'!$B73)</f>
        <v>0</v>
      </c>
      <c r="M73" s="26">
        <f>SUMIFS(NOVEMBRO!$H$7:$H$84,NOVEMBRO!$E$7:$E$84,'DRE1'!$B73)</f>
        <v>0</v>
      </c>
      <c r="N73" s="26">
        <f>SUMIFS(DEZEMBRO!$H$7:$H$84,DEZEMBRO!$E$7:$E$84,'DRE1'!$B73)</f>
        <v>0</v>
      </c>
      <c r="O73" s="26">
        <f t="shared" si="21"/>
        <v>0</v>
      </c>
      <c r="P73" s="26">
        <f t="shared" si="22"/>
        <v>0</v>
      </c>
    </row>
    <row r="75" spans="2:16" x14ac:dyDescent="0.25">
      <c r="B75" s="24" t="str">
        <f>'plano de contas'!J7</f>
        <v>DESPESAS COM RH</v>
      </c>
      <c r="C75" s="27">
        <f t="shared" ref="C75:P75" si="23">SUM(C76:C86)</f>
        <v>20609</v>
      </c>
      <c r="D75" s="27">
        <f t="shared" si="23"/>
        <v>3547</v>
      </c>
      <c r="E75" s="27">
        <f t="shared" si="23"/>
        <v>0</v>
      </c>
      <c r="F75" s="27">
        <f t="shared" si="23"/>
        <v>159.6</v>
      </c>
      <c r="G75" s="27">
        <f t="shared" si="23"/>
        <v>8093</v>
      </c>
      <c r="H75" s="27">
        <f t="shared" si="23"/>
        <v>5053.4999999999945</v>
      </c>
      <c r="I75" s="27">
        <f t="shared" si="23"/>
        <v>3384</v>
      </c>
      <c r="J75" s="27">
        <f t="shared" si="23"/>
        <v>246</v>
      </c>
      <c r="K75" s="27">
        <f t="shared" si="23"/>
        <v>11474</v>
      </c>
      <c r="L75" s="27">
        <f t="shared" si="23"/>
        <v>3382</v>
      </c>
      <c r="M75" s="27">
        <f t="shared" si="23"/>
        <v>3263</v>
      </c>
      <c r="N75" s="27">
        <f t="shared" si="23"/>
        <v>20696</v>
      </c>
      <c r="O75" s="27">
        <f t="shared" si="23"/>
        <v>79907.100000000006</v>
      </c>
      <c r="P75" s="27">
        <f t="shared" si="23"/>
        <v>79907.100000000006</v>
      </c>
    </row>
    <row r="76" spans="2:16" x14ac:dyDescent="0.25">
      <c r="B76" s="24" t="str">
        <f>'plano de contas'!J8</f>
        <v>SALARIO</v>
      </c>
      <c r="C76" s="26">
        <f>SUMIFS(JANEIRO!$H$7:$H$84,JANEIRO!$E$7:$E$84,'DRE1'!$B76)</f>
        <v>8</v>
      </c>
      <c r="D76" s="26">
        <f>SUMIFS(FEVEREIRO!$H$7:$H$84,FEVEREIRO!$E$7:$E$84,'DRE1'!$B76)</f>
        <v>4</v>
      </c>
      <c r="E76" s="26">
        <f>SUMIFS(MARÇO!$H$7:$H$84,MARÇO!$E$7:$E$84,'DRE1'!$B76)</f>
        <v>0</v>
      </c>
      <c r="F76" s="26">
        <f>SUMIFS(ABRIL!$H$7:$H$84,ABRIL!$E$7:$E$84,'DRE1'!$B76)</f>
        <v>0</v>
      </c>
      <c r="G76" s="26">
        <f>SUMIFS(MAIO!$H$7:$H$84,MAIO!$E$7:$E$84,'DRE1'!$B76)</f>
        <v>0</v>
      </c>
      <c r="H76" s="26">
        <f>SUMIFS(JUNHO!$H$7:$H$84,JUNHO!$E$7:$E$84,'DRE1'!$B76)</f>
        <v>0</v>
      </c>
      <c r="I76" s="26">
        <f>SUMIFS(JULHO!$H$7:$H$84,JULHO!$E$7:$E$84,'DRE1'!$B76)</f>
        <v>0</v>
      </c>
      <c r="J76" s="26">
        <f>SUMIFS(AGOSTO!$H$7:$H$84,AGOSTO!$E$7:$E$84,'DRE1'!$B76)</f>
        <v>0</v>
      </c>
      <c r="K76" s="26">
        <f>SUMIFS(SETEMBRO!$H$7:$H$84,SETEMBRO!$E$7:$E$84,'DRE1'!$B76)</f>
        <v>0</v>
      </c>
      <c r="L76" s="26">
        <f>SUMIFS(OUTUBRO!$H$7:$H$84,OUTUBRO!$E$7:$E$84,'DRE1'!$B76)</f>
        <v>0</v>
      </c>
      <c r="M76" s="26">
        <f>SUMIFS(NOVEMBRO!$H$7:$H$84,NOVEMBRO!$E$7:$E$84,'DRE1'!$B76)</f>
        <v>0</v>
      </c>
      <c r="N76" s="26">
        <f>SUMIFS(DEZEMBRO!$H$7:$H$84,DEZEMBRO!$E$7:$E$84,'DRE1'!$B76)</f>
        <v>10000</v>
      </c>
      <c r="O76" s="26">
        <f>SUM(C76:N76)</f>
        <v>10012</v>
      </c>
      <c r="P76" s="26">
        <f>SUM(C76:N76)</f>
        <v>10012</v>
      </c>
    </row>
    <row r="77" spans="2:16" x14ac:dyDescent="0.25">
      <c r="B77" s="24" t="str">
        <f>'plano de contas'!J9</f>
        <v>TREINAMENTO</v>
      </c>
      <c r="C77" s="26">
        <f>SUMIFS(JANEIRO!$H$7:$H$84,JANEIRO!$E$7:$E$84,'DRE1'!$B77)</f>
        <v>0</v>
      </c>
      <c r="D77" s="26">
        <f>SUMIFS(FEVEREIRO!$H$7:$H$84,FEVEREIRO!$E$7:$E$84,'DRE1'!$B77)</f>
        <v>0</v>
      </c>
      <c r="E77" s="26">
        <f>SUMIFS(MARÇO!$H$7:$H$84,MARÇO!$E$7:$E$84,'DRE1'!$B77)</f>
        <v>0</v>
      </c>
      <c r="F77" s="26">
        <f>SUMIFS(ABRIL!$H$7:$H$84,ABRIL!$E$7:$E$84,'DRE1'!$B77)</f>
        <v>0</v>
      </c>
      <c r="G77" s="26">
        <f>SUMIFS(MAIO!$H$7:$H$84,MAIO!$E$7:$E$84,'DRE1'!$B77)</f>
        <v>0</v>
      </c>
      <c r="H77" s="26">
        <f>SUMIFS(JUNHO!$H$7:$H$84,JUNHO!$E$7:$E$84,'DRE1'!$B77)</f>
        <v>0</v>
      </c>
      <c r="I77" s="26">
        <f>SUMIFS(JULHO!$H$7:$H$84,JULHO!$E$7:$E$84,'DRE1'!$B77)</f>
        <v>0</v>
      </c>
      <c r="J77" s="26">
        <f>SUMIFS(AGOSTO!$H$7:$H$84,AGOSTO!$E$7:$E$84,'DRE1'!$B77)</f>
        <v>0</v>
      </c>
      <c r="K77" s="26">
        <f>SUMIFS(SETEMBRO!$H$7:$H$84,SETEMBRO!$E$7:$E$84,'DRE1'!$B77)</f>
        <v>0</v>
      </c>
      <c r="L77" s="26">
        <f>SUMIFS(OUTUBRO!$H$7:$H$84,OUTUBRO!$E$7:$E$84,'DRE1'!$B77)</f>
        <v>0</v>
      </c>
      <c r="M77" s="26">
        <f>SUMIFS(NOVEMBRO!$H$7:$H$84,NOVEMBRO!$E$7:$E$84,'DRE1'!$B77)</f>
        <v>0</v>
      </c>
      <c r="N77" s="26">
        <f>SUMIFS(DEZEMBRO!$H$7:$H$84,DEZEMBRO!$E$7:$E$84,'DRE1'!$B77)</f>
        <v>0</v>
      </c>
      <c r="O77" s="26">
        <f t="shared" ref="O77:O86" si="24">SUM(C77:N77)</f>
        <v>0</v>
      </c>
      <c r="P77" s="26">
        <f t="shared" ref="P77:P86" si="25">SUM(C77:N77)</f>
        <v>0</v>
      </c>
    </row>
    <row r="78" spans="2:16" x14ac:dyDescent="0.25">
      <c r="B78" s="24" t="str">
        <f>'plano de contas'!J10</f>
        <v>ACTUALIZAÇÕES</v>
      </c>
      <c r="C78" s="26">
        <f>SUMIFS(JANEIRO!$H$7:$H$84,JANEIRO!$E$7:$E$84,'DRE1'!$B78)</f>
        <v>0</v>
      </c>
      <c r="D78" s="26">
        <f>SUMIFS(FEVEREIRO!$H$7:$H$84,FEVEREIRO!$E$7:$E$84,'DRE1'!$B78)</f>
        <v>8</v>
      </c>
      <c r="E78" s="26">
        <f>SUMIFS(MARÇO!$H$7:$H$84,MARÇO!$E$7:$E$84,'DRE1'!$B78)</f>
        <v>0</v>
      </c>
      <c r="F78" s="26">
        <f>SUMIFS(ABRIL!$H$7:$H$84,ABRIL!$E$7:$E$84,'DRE1'!$B78)</f>
        <v>-9.8000000000000007</v>
      </c>
      <c r="G78" s="26">
        <f>SUMIFS(MAIO!$H$7:$H$84,MAIO!$E$7:$E$84,'DRE1'!$B78)</f>
        <v>15</v>
      </c>
      <c r="H78" s="26">
        <f>SUMIFS(JUNHO!$H$7:$H$84,JUNHO!$E$7:$E$84,'DRE1'!$B78)</f>
        <v>12.3333333333333</v>
      </c>
      <c r="I78" s="26">
        <f>SUMIFS(JULHO!$H$7:$H$84,JULHO!$E$7:$E$84,'DRE1'!$B78)</f>
        <v>8</v>
      </c>
      <c r="J78" s="26">
        <f>SUMIFS(AGOSTO!$H$7:$H$84,AGOSTO!$E$7:$E$84,'DRE1'!$B78)</f>
        <v>8</v>
      </c>
      <c r="K78" s="26">
        <f>SUMIFS(SETEMBRO!$H$7:$H$84,SETEMBRO!$E$7:$E$84,'DRE1'!$B78)</f>
        <v>8</v>
      </c>
      <c r="L78" s="26">
        <f>SUMIFS(OUTUBRO!$H$7:$H$84,OUTUBRO!$E$7:$E$84,'DRE1'!$B78)</f>
        <v>8</v>
      </c>
      <c r="M78" s="26">
        <f>SUMIFS(NOVEMBRO!$H$7:$H$84,NOVEMBRO!$E$7:$E$84,'DRE1'!$B78)</f>
        <v>8</v>
      </c>
      <c r="N78" s="26">
        <f>SUMIFS(DEZEMBRO!$H$7:$H$84,DEZEMBRO!$E$7:$E$84,'DRE1'!$B78)</f>
        <v>7</v>
      </c>
      <c r="O78" s="26">
        <f t="shared" si="24"/>
        <v>72.533333333333303</v>
      </c>
      <c r="P78" s="26">
        <f t="shared" si="25"/>
        <v>72.533333333333303</v>
      </c>
    </row>
    <row r="79" spans="2:16" x14ac:dyDescent="0.25">
      <c r="B79" s="24" t="str">
        <f>'plano de contas'!J11</f>
        <v>-</v>
      </c>
      <c r="C79" s="26">
        <f>SUMIFS(JANEIRO!$H$7:$H$84,JANEIRO!$E$7:$E$84,'DRE1'!$B79)</f>
        <v>2943</v>
      </c>
      <c r="D79" s="26">
        <f>SUMIFS(FEVEREIRO!$H$7:$H$84,FEVEREIRO!$E$7:$E$84,'DRE1'!$B79)</f>
        <v>505</v>
      </c>
      <c r="E79" s="26">
        <f>SUMIFS(MARÇO!$H$7:$H$84,MARÇO!$E$7:$E$84,'DRE1'!$B79)</f>
        <v>0</v>
      </c>
      <c r="F79" s="26">
        <f>SUMIFS(ABRIL!$H$7:$H$84,ABRIL!$E$7:$E$84,'DRE1'!$B79)</f>
        <v>24.2</v>
      </c>
      <c r="G79" s="26">
        <f>SUMIFS(MAIO!$H$7:$H$84,MAIO!$E$7:$E$84,'DRE1'!$B79)</f>
        <v>1154</v>
      </c>
      <c r="H79" s="26">
        <f>SUMIFS(JUNHO!$H$7:$H$84,JUNHO!$E$7:$E$84,'DRE1'!$B79)</f>
        <v>720.16666666666583</v>
      </c>
      <c r="I79" s="26">
        <f>SUMIFS(JULHO!$H$7:$H$84,JULHO!$E$7:$E$84,'DRE1'!$B79)</f>
        <v>468</v>
      </c>
      <c r="J79" s="26">
        <f>SUMIFS(AGOSTO!$H$7:$H$84,AGOSTO!$E$7:$E$84,'DRE1'!$B79)</f>
        <v>34</v>
      </c>
      <c r="K79" s="26">
        <f>SUMIFS(SETEMBRO!$H$7:$H$84,SETEMBRO!$E$7:$E$84,'DRE1'!$B79)</f>
        <v>1638</v>
      </c>
      <c r="L79" s="26">
        <f>SUMIFS(OUTUBRO!$H$7:$H$84,OUTUBRO!$E$7:$E$84,'DRE1'!$B79)</f>
        <v>482</v>
      </c>
      <c r="M79" s="26">
        <f>SUMIFS(NOVEMBRO!$H$7:$H$84,NOVEMBRO!$E$7:$E$84,'DRE1'!$B79)</f>
        <v>465</v>
      </c>
      <c r="N79" s="26">
        <f>SUMIFS(DEZEMBRO!$H$7:$H$84,DEZEMBRO!$E$7:$E$84,'DRE1'!$B79)</f>
        <v>1527</v>
      </c>
      <c r="O79" s="26">
        <f t="shared" si="24"/>
        <v>9960.366666666665</v>
      </c>
      <c r="P79" s="26">
        <f t="shared" si="25"/>
        <v>9960.366666666665</v>
      </c>
    </row>
    <row r="80" spans="2:16" x14ac:dyDescent="0.25">
      <c r="B80" s="24" t="str">
        <f>'plano de contas'!J12</f>
        <v>-</v>
      </c>
      <c r="C80" s="26">
        <f>SUMIFS(JANEIRO!$H$7:$H$84,JANEIRO!$E$7:$E$84,'DRE1'!$B80)</f>
        <v>2943</v>
      </c>
      <c r="D80" s="26">
        <f>SUMIFS(FEVEREIRO!$H$7:$H$84,FEVEREIRO!$E$7:$E$84,'DRE1'!$B80)</f>
        <v>505</v>
      </c>
      <c r="E80" s="26">
        <f>SUMIFS(MARÇO!$H$7:$H$84,MARÇO!$E$7:$E$84,'DRE1'!$B80)</f>
        <v>0</v>
      </c>
      <c r="F80" s="26">
        <f>SUMIFS(ABRIL!$H$7:$H$84,ABRIL!$E$7:$E$84,'DRE1'!$B80)</f>
        <v>24.2</v>
      </c>
      <c r="G80" s="26">
        <f>SUMIFS(MAIO!$H$7:$H$84,MAIO!$E$7:$E$84,'DRE1'!$B80)</f>
        <v>1154</v>
      </c>
      <c r="H80" s="26">
        <f>SUMIFS(JUNHO!$H$7:$H$84,JUNHO!$E$7:$E$84,'DRE1'!$B80)</f>
        <v>720.16666666666583</v>
      </c>
      <c r="I80" s="26">
        <f>SUMIFS(JULHO!$H$7:$H$84,JULHO!$E$7:$E$84,'DRE1'!$B80)</f>
        <v>468</v>
      </c>
      <c r="J80" s="26">
        <f>SUMIFS(AGOSTO!$H$7:$H$84,AGOSTO!$E$7:$E$84,'DRE1'!$B80)</f>
        <v>34</v>
      </c>
      <c r="K80" s="26">
        <f>SUMIFS(SETEMBRO!$H$7:$H$84,SETEMBRO!$E$7:$E$84,'DRE1'!$B80)</f>
        <v>1638</v>
      </c>
      <c r="L80" s="26">
        <f>SUMIFS(OUTUBRO!$H$7:$H$84,OUTUBRO!$E$7:$E$84,'DRE1'!$B80)</f>
        <v>482</v>
      </c>
      <c r="M80" s="26">
        <f>SUMIFS(NOVEMBRO!$H$7:$H$84,NOVEMBRO!$E$7:$E$84,'DRE1'!$B80)</f>
        <v>465</v>
      </c>
      <c r="N80" s="26">
        <f>SUMIFS(DEZEMBRO!$H$7:$H$84,DEZEMBRO!$E$7:$E$84,'DRE1'!$B80)</f>
        <v>1527</v>
      </c>
      <c r="O80" s="26">
        <f t="shared" si="24"/>
        <v>9960.366666666665</v>
      </c>
      <c r="P80" s="26">
        <f t="shared" si="25"/>
        <v>9960.366666666665</v>
      </c>
    </row>
    <row r="81" spans="2:16" x14ac:dyDescent="0.25">
      <c r="B81" s="24" t="str">
        <f>'plano de contas'!J13</f>
        <v>-</v>
      </c>
      <c r="C81" s="26">
        <f>SUMIFS(JANEIRO!$H$7:$H$84,JANEIRO!$E$7:$E$84,'DRE1'!$B81)</f>
        <v>2943</v>
      </c>
      <c r="D81" s="26">
        <f>SUMIFS(FEVEREIRO!$H$7:$H$84,FEVEREIRO!$E$7:$E$84,'DRE1'!$B81)</f>
        <v>505</v>
      </c>
      <c r="E81" s="26">
        <f>SUMIFS(MARÇO!$H$7:$H$84,MARÇO!$E$7:$E$84,'DRE1'!$B81)</f>
        <v>0</v>
      </c>
      <c r="F81" s="26">
        <f>SUMIFS(ABRIL!$H$7:$H$84,ABRIL!$E$7:$E$84,'DRE1'!$B81)</f>
        <v>24.2</v>
      </c>
      <c r="G81" s="26">
        <f>SUMIFS(MAIO!$H$7:$H$84,MAIO!$E$7:$E$84,'DRE1'!$B81)</f>
        <v>1154</v>
      </c>
      <c r="H81" s="26">
        <f>SUMIFS(JUNHO!$H$7:$H$84,JUNHO!$E$7:$E$84,'DRE1'!$B81)</f>
        <v>720.16666666666583</v>
      </c>
      <c r="I81" s="26">
        <f>SUMIFS(JULHO!$H$7:$H$84,JULHO!$E$7:$E$84,'DRE1'!$B81)</f>
        <v>468</v>
      </c>
      <c r="J81" s="26">
        <f>SUMIFS(AGOSTO!$H$7:$H$84,AGOSTO!$E$7:$E$84,'DRE1'!$B81)</f>
        <v>34</v>
      </c>
      <c r="K81" s="26">
        <f>SUMIFS(SETEMBRO!$H$7:$H$84,SETEMBRO!$E$7:$E$84,'DRE1'!$B81)</f>
        <v>1638</v>
      </c>
      <c r="L81" s="26">
        <f>SUMIFS(OUTUBRO!$H$7:$H$84,OUTUBRO!$E$7:$E$84,'DRE1'!$B81)</f>
        <v>482</v>
      </c>
      <c r="M81" s="26">
        <f>SUMIFS(NOVEMBRO!$H$7:$H$84,NOVEMBRO!$E$7:$E$84,'DRE1'!$B81)</f>
        <v>465</v>
      </c>
      <c r="N81" s="26">
        <f>SUMIFS(DEZEMBRO!$H$7:$H$84,DEZEMBRO!$E$7:$E$84,'DRE1'!$B81)</f>
        <v>1527</v>
      </c>
      <c r="O81" s="26">
        <f t="shared" si="24"/>
        <v>9960.366666666665</v>
      </c>
      <c r="P81" s="26">
        <f t="shared" si="25"/>
        <v>9960.366666666665</v>
      </c>
    </row>
    <row r="82" spans="2:16" x14ac:dyDescent="0.25">
      <c r="B82" s="24" t="str">
        <f>'plano de contas'!J14</f>
        <v>-</v>
      </c>
      <c r="C82" s="26">
        <f>SUMIFS(JANEIRO!$H$7:$H$84,JANEIRO!$E$7:$E$84,'DRE1'!$B82)</f>
        <v>2943</v>
      </c>
      <c r="D82" s="26">
        <f>SUMIFS(FEVEREIRO!$H$7:$H$84,FEVEREIRO!$E$7:$E$84,'DRE1'!$B82)</f>
        <v>505</v>
      </c>
      <c r="E82" s="26">
        <f>SUMIFS(MARÇO!$H$7:$H$84,MARÇO!$E$7:$E$84,'DRE1'!$B82)</f>
        <v>0</v>
      </c>
      <c r="F82" s="26">
        <f>SUMIFS(ABRIL!$H$7:$H$84,ABRIL!$E$7:$E$84,'DRE1'!$B82)</f>
        <v>24.2</v>
      </c>
      <c r="G82" s="26">
        <f>SUMIFS(MAIO!$H$7:$H$84,MAIO!$E$7:$E$84,'DRE1'!$B82)</f>
        <v>1154</v>
      </c>
      <c r="H82" s="26">
        <f>SUMIFS(JUNHO!$H$7:$H$84,JUNHO!$E$7:$E$84,'DRE1'!$B82)</f>
        <v>720.16666666666583</v>
      </c>
      <c r="I82" s="26">
        <f>SUMIFS(JULHO!$H$7:$H$84,JULHO!$E$7:$E$84,'DRE1'!$B82)</f>
        <v>468</v>
      </c>
      <c r="J82" s="26">
        <f>SUMIFS(AGOSTO!$H$7:$H$84,AGOSTO!$E$7:$E$84,'DRE1'!$B82)</f>
        <v>34</v>
      </c>
      <c r="K82" s="26">
        <f>SUMIFS(SETEMBRO!$H$7:$H$84,SETEMBRO!$E$7:$E$84,'DRE1'!$B82)</f>
        <v>1638</v>
      </c>
      <c r="L82" s="26">
        <f>SUMIFS(OUTUBRO!$H$7:$H$84,OUTUBRO!$E$7:$E$84,'DRE1'!$B82)</f>
        <v>482</v>
      </c>
      <c r="M82" s="26">
        <f>SUMIFS(NOVEMBRO!$H$7:$H$84,NOVEMBRO!$E$7:$E$84,'DRE1'!$B82)</f>
        <v>465</v>
      </c>
      <c r="N82" s="26">
        <f>SUMIFS(DEZEMBRO!$H$7:$H$84,DEZEMBRO!$E$7:$E$84,'DRE1'!$B82)</f>
        <v>1527</v>
      </c>
      <c r="O82" s="26">
        <f t="shared" si="24"/>
        <v>9960.366666666665</v>
      </c>
      <c r="P82" s="26">
        <f t="shared" si="25"/>
        <v>9960.366666666665</v>
      </c>
    </row>
    <row r="83" spans="2:16" x14ac:dyDescent="0.25">
      <c r="B83" s="24" t="str">
        <f>'plano de contas'!J15</f>
        <v>-</v>
      </c>
      <c r="C83" s="26">
        <f>SUMIFS(JANEIRO!$H$7:$H$84,JANEIRO!$E$7:$E$84,'DRE1'!$B83)</f>
        <v>2943</v>
      </c>
      <c r="D83" s="26">
        <f>SUMIFS(FEVEREIRO!$H$7:$H$84,FEVEREIRO!$E$7:$E$84,'DRE1'!$B83)</f>
        <v>505</v>
      </c>
      <c r="E83" s="26">
        <f>SUMIFS(MARÇO!$H$7:$H$84,MARÇO!$E$7:$E$84,'DRE1'!$B83)</f>
        <v>0</v>
      </c>
      <c r="F83" s="26">
        <f>SUMIFS(ABRIL!$H$7:$H$84,ABRIL!$E$7:$E$84,'DRE1'!$B83)</f>
        <v>24.2</v>
      </c>
      <c r="G83" s="26">
        <f>SUMIFS(MAIO!$H$7:$H$84,MAIO!$E$7:$E$84,'DRE1'!$B83)</f>
        <v>1154</v>
      </c>
      <c r="H83" s="26">
        <f>SUMIFS(JUNHO!$H$7:$H$84,JUNHO!$E$7:$E$84,'DRE1'!$B83)</f>
        <v>720.16666666666583</v>
      </c>
      <c r="I83" s="26">
        <f>SUMIFS(JULHO!$H$7:$H$84,JULHO!$E$7:$E$84,'DRE1'!$B83)</f>
        <v>468</v>
      </c>
      <c r="J83" s="26">
        <f>SUMIFS(AGOSTO!$H$7:$H$84,AGOSTO!$E$7:$E$84,'DRE1'!$B83)</f>
        <v>34</v>
      </c>
      <c r="K83" s="26">
        <f>SUMIFS(SETEMBRO!$H$7:$H$84,SETEMBRO!$E$7:$E$84,'DRE1'!$B83)</f>
        <v>1638</v>
      </c>
      <c r="L83" s="26">
        <f>SUMIFS(OUTUBRO!$H$7:$H$84,OUTUBRO!$E$7:$E$84,'DRE1'!$B83)</f>
        <v>482</v>
      </c>
      <c r="M83" s="26">
        <f>SUMIFS(NOVEMBRO!$H$7:$H$84,NOVEMBRO!$E$7:$E$84,'DRE1'!$B83)</f>
        <v>465</v>
      </c>
      <c r="N83" s="26">
        <f>SUMIFS(DEZEMBRO!$H$7:$H$84,DEZEMBRO!$E$7:$E$84,'DRE1'!$B83)</f>
        <v>1527</v>
      </c>
      <c r="O83" s="26">
        <f t="shared" si="24"/>
        <v>9960.366666666665</v>
      </c>
      <c r="P83" s="26">
        <f t="shared" si="25"/>
        <v>9960.366666666665</v>
      </c>
    </row>
    <row r="84" spans="2:16" x14ac:dyDescent="0.25">
      <c r="B84" s="24" t="str">
        <f>'plano de contas'!J16</f>
        <v>-</v>
      </c>
      <c r="C84" s="26">
        <f>SUMIFS(JANEIRO!$H$7:$H$84,JANEIRO!$E$7:$E$84,'DRE1'!$B84)</f>
        <v>2943</v>
      </c>
      <c r="D84" s="26">
        <f>SUMIFS(FEVEREIRO!$H$7:$H$84,FEVEREIRO!$E$7:$E$84,'DRE1'!$B84)</f>
        <v>505</v>
      </c>
      <c r="E84" s="26">
        <f>SUMIFS(MARÇO!$H$7:$H$84,MARÇO!$E$7:$E$84,'DRE1'!$B84)</f>
        <v>0</v>
      </c>
      <c r="F84" s="26">
        <f>SUMIFS(ABRIL!$H$7:$H$84,ABRIL!$E$7:$E$84,'DRE1'!$B84)</f>
        <v>24.2</v>
      </c>
      <c r="G84" s="26">
        <f>SUMIFS(MAIO!$H$7:$H$84,MAIO!$E$7:$E$84,'DRE1'!$B84)</f>
        <v>1154</v>
      </c>
      <c r="H84" s="26">
        <f>SUMIFS(JUNHO!$H$7:$H$84,JUNHO!$E$7:$E$84,'DRE1'!$B84)</f>
        <v>720.16666666666583</v>
      </c>
      <c r="I84" s="26">
        <f>SUMIFS(JULHO!$H$7:$H$84,JULHO!$E$7:$E$84,'DRE1'!$B84)</f>
        <v>468</v>
      </c>
      <c r="J84" s="26">
        <f>SUMIFS(AGOSTO!$H$7:$H$84,AGOSTO!$E$7:$E$84,'DRE1'!$B84)</f>
        <v>34</v>
      </c>
      <c r="K84" s="26">
        <f>SUMIFS(SETEMBRO!$H$7:$H$84,SETEMBRO!$E$7:$E$84,'DRE1'!$B84)</f>
        <v>1638</v>
      </c>
      <c r="L84" s="26">
        <f>SUMIFS(OUTUBRO!$H$7:$H$84,OUTUBRO!$E$7:$E$84,'DRE1'!$B84)</f>
        <v>482</v>
      </c>
      <c r="M84" s="26">
        <f>SUMIFS(NOVEMBRO!$H$7:$H$84,NOVEMBRO!$E$7:$E$84,'DRE1'!$B84)</f>
        <v>465</v>
      </c>
      <c r="N84" s="26">
        <f>SUMIFS(DEZEMBRO!$H$7:$H$84,DEZEMBRO!$E$7:$E$84,'DRE1'!$B84)</f>
        <v>1527</v>
      </c>
      <c r="O84" s="26">
        <f t="shared" si="24"/>
        <v>9960.366666666665</v>
      </c>
      <c r="P84" s="26">
        <f t="shared" si="25"/>
        <v>9960.366666666665</v>
      </c>
    </row>
    <row r="85" spans="2:16" x14ac:dyDescent="0.25">
      <c r="B85" s="24" t="str">
        <f>'plano de contas'!J17</f>
        <v>-</v>
      </c>
      <c r="C85" s="26">
        <f>SUMIFS(JANEIRO!$H$7:$H$84,JANEIRO!$E$7:$E$84,'DRE1'!$B85)</f>
        <v>2943</v>
      </c>
      <c r="D85" s="26">
        <f>SUMIFS(FEVEREIRO!$H$7:$H$84,FEVEREIRO!$E$7:$E$84,'DRE1'!$B85)</f>
        <v>505</v>
      </c>
      <c r="E85" s="26">
        <f>SUMIFS(MARÇO!$H$7:$H$84,MARÇO!$E$7:$E$84,'DRE1'!$B85)</f>
        <v>0</v>
      </c>
      <c r="F85" s="26">
        <f>SUMIFS(ABRIL!$H$7:$H$84,ABRIL!$E$7:$E$84,'DRE1'!$B85)</f>
        <v>24.2</v>
      </c>
      <c r="G85" s="26">
        <f>SUMIFS(MAIO!$H$7:$H$84,MAIO!$E$7:$E$84,'DRE1'!$B85)</f>
        <v>1154</v>
      </c>
      <c r="H85" s="26">
        <f>SUMIFS(JUNHO!$H$7:$H$84,JUNHO!$E$7:$E$84,'DRE1'!$B85)</f>
        <v>720.16666666666583</v>
      </c>
      <c r="I85" s="26">
        <f>SUMIFS(JULHO!$H$7:$H$84,JULHO!$E$7:$E$84,'DRE1'!$B85)</f>
        <v>468</v>
      </c>
      <c r="J85" s="26">
        <f>SUMIFS(AGOSTO!$H$7:$H$84,AGOSTO!$E$7:$E$84,'DRE1'!$B85)</f>
        <v>34</v>
      </c>
      <c r="K85" s="26">
        <f>SUMIFS(SETEMBRO!$H$7:$H$84,SETEMBRO!$E$7:$E$84,'DRE1'!$B85)</f>
        <v>1638</v>
      </c>
      <c r="L85" s="26">
        <f>SUMIFS(OUTUBRO!$H$7:$H$84,OUTUBRO!$E$7:$E$84,'DRE1'!$B85)</f>
        <v>482</v>
      </c>
      <c r="M85" s="26">
        <f>SUMIFS(NOVEMBRO!$H$7:$H$84,NOVEMBRO!$E$7:$E$84,'DRE1'!$B85)</f>
        <v>465</v>
      </c>
      <c r="N85" s="26">
        <f>SUMIFS(DEZEMBRO!$H$7:$H$84,DEZEMBRO!$E$7:$E$84,'DRE1'!$B85)</f>
        <v>1527</v>
      </c>
      <c r="O85" s="26">
        <f t="shared" si="24"/>
        <v>9960.366666666665</v>
      </c>
      <c r="P85" s="26">
        <f t="shared" si="25"/>
        <v>9960.366666666665</v>
      </c>
    </row>
    <row r="86" spans="2:16" x14ac:dyDescent="0.25">
      <c r="B86" s="24" t="str">
        <f>'plano de contas'!J18</f>
        <v>OUTRAS DESPESAS HR</v>
      </c>
      <c r="C86" s="26">
        <f>SUMIFS(JANEIRO!$H$7:$H$84,JANEIRO!$E$7:$E$84,'DRE1'!$B86)</f>
        <v>0</v>
      </c>
      <c r="D86" s="26">
        <f>SUMIFS(FEVEREIRO!$H$7:$H$84,FEVEREIRO!$E$7:$E$84,'DRE1'!$B86)</f>
        <v>0</v>
      </c>
      <c r="E86" s="26">
        <f>SUMIFS(MARÇO!$H$7:$H$84,MARÇO!$E$7:$E$84,'DRE1'!$B86)</f>
        <v>0</v>
      </c>
      <c r="F86" s="26">
        <f>SUMIFS(ABRIL!$H$7:$H$84,ABRIL!$E$7:$E$84,'DRE1'!$B86)</f>
        <v>0</v>
      </c>
      <c r="G86" s="26">
        <f>SUMIFS(MAIO!$H$7:$H$84,MAIO!$E$7:$E$84,'DRE1'!$B86)</f>
        <v>0</v>
      </c>
      <c r="H86" s="26">
        <f>SUMIFS(JUNHO!$H$7:$H$84,JUNHO!$E$7:$E$84,'DRE1'!$B86)</f>
        <v>0</v>
      </c>
      <c r="I86" s="26">
        <f>SUMIFS(JULHO!$H$7:$H$84,JULHO!$E$7:$E$84,'DRE1'!$B86)</f>
        <v>100</v>
      </c>
      <c r="J86" s="26">
        <f>SUMIFS(AGOSTO!$H$7:$H$84,AGOSTO!$E$7:$E$84,'DRE1'!$B86)</f>
        <v>0</v>
      </c>
      <c r="K86" s="26">
        <f>SUMIFS(SETEMBRO!$H$7:$H$84,SETEMBRO!$E$7:$E$84,'DRE1'!$B86)</f>
        <v>0</v>
      </c>
      <c r="L86" s="26">
        <f>SUMIFS(OUTUBRO!$H$7:$H$84,OUTUBRO!$E$7:$E$84,'DRE1'!$B86)</f>
        <v>0</v>
      </c>
      <c r="M86" s="26">
        <f>SUMIFS(NOVEMBRO!$H$7:$H$84,NOVEMBRO!$E$7:$E$84,'DRE1'!$B86)</f>
        <v>0</v>
      </c>
      <c r="N86" s="26">
        <f>SUMIFS(DEZEMBRO!$H$7:$H$84,DEZEMBRO!$E$7:$E$84,'DRE1'!$B86)</f>
        <v>0</v>
      </c>
      <c r="O86" s="26">
        <f t="shared" si="24"/>
        <v>100</v>
      </c>
      <c r="P86" s="26">
        <f t="shared" si="25"/>
        <v>100</v>
      </c>
    </row>
    <row r="88" spans="2:16" x14ac:dyDescent="0.25">
      <c r="B88" s="24" t="str">
        <f>'plano de contas'!L7</f>
        <v>DESPESAS OPERACIONAIS</v>
      </c>
      <c r="C88" s="22">
        <f t="shared" ref="C88:P88" si="26">SUM(C89:C99)</f>
        <v>20601</v>
      </c>
      <c r="D88" s="22">
        <f t="shared" si="26"/>
        <v>3535</v>
      </c>
      <c r="E88" s="22">
        <f t="shared" si="26"/>
        <v>0</v>
      </c>
      <c r="F88" s="22">
        <f t="shared" si="26"/>
        <v>169.39999999999998</v>
      </c>
      <c r="G88" s="22">
        <f t="shared" si="26"/>
        <v>8078</v>
      </c>
      <c r="H88" s="22">
        <f t="shared" si="26"/>
        <v>5041.1666666666615</v>
      </c>
      <c r="I88" s="22">
        <f t="shared" si="26"/>
        <v>3276</v>
      </c>
      <c r="J88" s="22">
        <f t="shared" si="26"/>
        <v>238</v>
      </c>
      <c r="K88" s="22">
        <f t="shared" si="26"/>
        <v>11466</v>
      </c>
      <c r="L88" s="22">
        <f t="shared" si="26"/>
        <v>3374</v>
      </c>
      <c r="M88" s="22">
        <f t="shared" si="26"/>
        <v>3255</v>
      </c>
      <c r="N88" s="22">
        <f t="shared" si="26"/>
        <v>10697</v>
      </c>
      <c r="O88" s="22">
        <f t="shared" si="26"/>
        <v>69730.566666666666</v>
      </c>
      <c r="P88" s="22">
        <f t="shared" si="26"/>
        <v>69730.566666666666</v>
      </c>
    </row>
    <row r="89" spans="2:16" x14ac:dyDescent="0.25">
      <c r="B89" s="24" t="str">
        <f>'plano de contas'!L8</f>
        <v>ALUGUEL</v>
      </c>
      <c r="C89" s="23">
        <f>SUMIFS(JANEIRO!$H$7:$H$84,JANEIRO!$E$7:$E$84,'DRE1'!$B89)</f>
        <v>0</v>
      </c>
      <c r="D89" s="23">
        <f>SUMIFS(FEVEREIRO!$H$7:$H$84,FEVEREIRO!$E$7:$E$84,'DRE1'!$B89)</f>
        <v>0</v>
      </c>
      <c r="E89" s="23">
        <f>SUMIFS(MARÇO!$H$7:$H$84,MARÇO!$E$7:$E$84,'DRE1'!$B89)</f>
        <v>0</v>
      </c>
      <c r="F89" s="23">
        <f>SUMIFS(ABRIL!$H$7:$H$84,ABRIL!$E$7:$E$84,'DRE1'!$B89)</f>
        <v>0</v>
      </c>
      <c r="G89" s="23">
        <f>SUMIFS(MAIO!$H$7:$H$84,MAIO!$E$7:$E$84,'DRE1'!$B89)</f>
        <v>0</v>
      </c>
      <c r="H89" s="23">
        <f>SUMIFS(JUNHO!$H$7:$H$84,JUNHO!$E$7:$E$84,'DRE1'!$B89)</f>
        <v>0</v>
      </c>
      <c r="I89" s="23">
        <f>SUMIFS(JULHO!$H$7:$H$84,JULHO!$E$7:$E$84,'DRE1'!$B89)</f>
        <v>0</v>
      </c>
      <c r="J89" s="23">
        <f>SUMIFS(AGOSTO!$H$7:$H$84,AGOSTO!$E$7:$E$84,'DRE1'!$B89)</f>
        <v>0</v>
      </c>
      <c r="K89" s="23">
        <f>SUMIFS(SETEMBRO!$H$7:$H$84,SETEMBRO!$E$7:$E$84,'DRE1'!$B89)</f>
        <v>0</v>
      </c>
      <c r="L89" s="23">
        <f>SUMIFS(OUTUBRO!$H$7:$H$84,OUTUBRO!$E$7:$E$84,'DRE1'!$B89)</f>
        <v>0</v>
      </c>
      <c r="M89" s="23">
        <f>SUMIFS(NOVEMBRO!$H$7:$H$84,NOVEMBRO!$E$7:$E$84,'DRE1'!$B89)</f>
        <v>0</v>
      </c>
      <c r="N89" s="23">
        <f>SUMIFS(DEZEMBRO!$H$7:$H$84,DEZEMBRO!$E$7:$E$84,'DRE1'!$B89)</f>
        <v>8</v>
      </c>
      <c r="O89" s="23">
        <f>SUM(C89:N89)</f>
        <v>8</v>
      </c>
      <c r="P89" s="23">
        <f>SUM(C89:N89)</f>
        <v>8</v>
      </c>
    </row>
    <row r="90" spans="2:16" x14ac:dyDescent="0.25">
      <c r="B90" s="24" t="str">
        <f>'plano de contas'!L9</f>
        <v>CONTABILIDADE</v>
      </c>
      <c r="C90" s="23">
        <f>SUMIFS(JANEIRO!$H$7:$H$84,JANEIRO!$E$7:$E$84,'DRE1'!$B90)</f>
        <v>0</v>
      </c>
      <c r="D90" s="23">
        <f>SUMIFS(FEVEREIRO!$H$7:$H$84,FEVEREIRO!$E$7:$E$84,'DRE1'!$B90)</f>
        <v>0</v>
      </c>
      <c r="E90" s="23">
        <f>SUMIFS(MARÇO!$H$7:$H$84,MARÇO!$E$7:$E$84,'DRE1'!$B90)</f>
        <v>0</v>
      </c>
      <c r="F90" s="23">
        <f>SUMIFS(ABRIL!$H$7:$H$84,ABRIL!$E$7:$E$84,'DRE1'!$B90)</f>
        <v>0</v>
      </c>
      <c r="G90" s="23">
        <f>SUMIFS(MAIO!$H$7:$H$84,MAIO!$E$7:$E$84,'DRE1'!$B90)</f>
        <v>0</v>
      </c>
      <c r="H90" s="23">
        <f>SUMIFS(JUNHO!$H$7:$H$84,JUNHO!$E$7:$E$84,'DRE1'!$B90)</f>
        <v>0</v>
      </c>
      <c r="I90" s="23">
        <f>SUMIFS(JULHO!$H$7:$H$84,JULHO!$E$7:$E$84,'DRE1'!$B90)</f>
        <v>0</v>
      </c>
      <c r="J90" s="23">
        <f>SUMIFS(AGOSTO!$H$7:$H$84,AGOSTO!$E$7:$E$84,'DRE1'!$B90)</f>
        <v>0</v>
      </c>
      <c r="K90" s="23">
        <f>SUMIFS(SETEMBRO!$H$7:$H$84,SETEMBRO!$E$7:$E$84,'DRE1'!$B90)</f>
        <v>0</v>
      </c>
      <c r="L90" s="23">
        <f>SUMIFS(OUTUBRO!$H$7:$H$84,OUTUBRO!$E$7:$E$84,'DRE1'!$B90)</f>
        <v>0</v>
      </c>
      <c r="M90" s="23">
        <f>SUMIFS(NOVEMBRO!$H$7:$H$84,NOVEMBRO!$E$7:$E$84,'DRE1'!$B90)</f>
        <v>0</v>
      </c>
      <c r="N90" s="23">
        <f>SUMIFS(DEZEMBRO!$H$7:$H$84,DEZEMBRO!$E$7:$E$84,'DRE1'!$B90)</f>
        <v>0</v>
      </c>
      <c r="O90" s="23">
        <f t="shared" ref="O90:O99" si="27">SUM(C90:N90)</f>
        <v>0</v>
      </c>
      <c r="P90" s="23">
        <f t="shared" ref="P90:P99" si="28">SUM(C90:N90)</f>
        <v>0</v>
      </c>
    </row>
    <row r="91" spans="2:16" x14ac:dyDescent="0.25">
      <c r="B91" s="24" t="str">
        <f>'plano de contas'!L10</f>
        <v>CONTAS A PAGAR</v>
      </c>
      <c r="C91" s="23">
        <f>SUMIFS(JANEIRO!$H$7:$H$84,JANEIRO!$E$7:$E$84,'DRE1'!$B91)</f>
        <v>0</v>
      </c>
      <c r="D91" s="23">
        <f>SUMIFS(FEVEREIRO!$H$7:$H$84,FEVEREIRO!$E$7:$E$84,'DRE1'!$B91)</f>
        <v>0</v>
      </c>
      <c r="E91" s="23">
        <f>SUMIFS(MARÇO!$H$7:$H$84,MARÇO!$E$7:$E$84,'DRE1'!$B91)</f>
        <v>0</v>
      </c>
      <c r="F91" s="23">
        <f>SUMIFS(ABRIL!$H$7:$H$84,ABRIL!$E$7:$E$84,'DRE1'!$B91)</f>
        <v>0</v>
      </c>
      <c r="G91" s="23">
        <f>SUMIFS(MAIO!$H$7:$H$84,MAIO!$E$7:$E$84,'DRE1'!$B91)</f>
        <v>0</v>
      </c>
      <c r="H91" s="23">
        <f>SUMIFS(JUNHO!$H$7:$H$84,JUNHO!$E$7:$E$84,'DRE1'!$B91)</f>
        <v>0</v>
      </c>
      <c r="I91" s="23">
        <f>SUMIFS(JULHO!$H$7:$H$84,JULHO!$E$7:$E$84,'DRE1'!$B91)</f>
        <v>0</v>
      </c>
      <c r="J91" s="23">
        <f>SUMIFS(AGOSTO!$H$7:$H$84,AGOSTO!$E$7:$E$84,'DRE1'!$B91)</f>
        <v>0</v>
      </c>
      <c r="K91" s="23">
        <f>SUMIFS(SETEMBRO!$H$7:$H$84,SETEMBRO!$E$7:$E$84,'DRE1'!$B91)</f>
        <v>0</v>
      </c>
      <c r="L91" s="23">
        <f>SUMIFS(OUTUBRO!$H$7:$H$84,OUTUBRO!$E$7:$E$84,'DRE1'!$B91)</f>
        <v>0</v>
      </c>
      <c r="M91" s="23">
        <f>SUMIFS(NOVEMBRO!$H$7:$H$84,NOVEMBRO!$E$7:$E$84,'DRE1'!$B91)</f>
        <v>0</v>
      </c>
      <c r="N91" s="23">
        <f>SUMIFS(DEZEMBRO!$H$7:$H$84,DEZEMBRO!$E$7:$E$84,'DRE1'!$B91)</f>
        <v>0</v>
      </c>
      <c r="O91" s="23">
        <f t="shared" si="27"/>
        <v>0</v>
      </c>
      <c r="P91" s="23">
        <f t="shared" si="28"/>
        <v>0</v>
      </c>
    </row>
    <row r="92" spans="2:16" x14ac:dyDescent="0.25">
      <c r="B92" s="24" t="str">
        <f>'plano de contas'!L11</f>
        <v>-</v>
      </c>
      <c r="C92" s="23">
        <f>SUMIFS(JANEIRO!$H$7:$H$84,JANEIRO!$E$7:$E$84,'DRE1'!$B92)</f>
        <v>2943</v>
      </c>
      <c r="D92" s="23">
        <f>SUMIFS(FEVEREIRO!$H$7:$H$84,FEVEREIRO!$E$7:$E$84,'DRE1'!$B92)</f>
        <v>505</v>
      </c>
      <c r="E92" s="23">
        <f>SUMIFS(MARÇO!$H$7:$H$84,MARÇO!$E$7:$E$84,'DRE1'!$B92)</f>
        <v>0</v>
      </c>
      <c r="F92" s="23">
        <f>SUMIFS(ABRIL!$H$7:$H$84,ABRIL!$E$7:$E$84,'DRE1'!$B92)</f>
        <v>24.2</v>
      </c>
      <c r="G92" s="23">
        <f>SUMIFS(MAIO!$H$7:$H$84,MAIO!$E$7:$E$84,'DRE1'!$B92)</f>
        <v>1154</v>
      </c>
      <c r="H92" s="23">
        <f>SUMIFS(JUNHO!$H$7:$H$84,JUNHO!$E$7:$E$84,'DRE1'!$B92)</f>
        <v>720.16666666666583</v>
      </c>
      <c r="I92" s="23">
        <f>SUMIFS(JULHO!$H$7:$H$84,JULHO!$E$7:$E$84,'DRE1'!$B92)</f>
        <v>468</v>
      </c>
      <c r="J92" s="23">
        <f>SUMIFS(AGOSTO!$H$7:$H$84,AGOSTO!$E$7:$E$84,'DRE1'!$B92)</f>
        <v>34</v>
      </c>
      <c r="K92" s="23">
        <f>SUMIFS(SETEMBRO!$H$7:$H$84,SETEMBRO!$E$7:$E$84,'DRE1'!$B92)</f>
        <v>1638</v>
      </c>
      <c r="L92" s="23">
        <f>SUMIFS(OUTUBRO!$H$7:$H$84,OUTUBRO!$E$7:$E$84,'DRE1'!$B92)</f>
        <v>482</v>
      </c>
      <c r="M92" s="23">
        <f>SUMIFS(NOVEMBRO!$H$7:$H$84,NOVEMBRO!$E$7:$E$84,'DRE1'!$B92)</f>
        <v>465</v>
      </c>
      <c r="N92" s="23">
        <f>SUMIFS(DEZEMBRO!$H$7:$H$84,DEZEMBRO!$E$7:$E$84,'DRE1'!$B92)</f>
        <v>1527</v>
      </c>
      <c r="O92" s="23">
        <f t="shared" si="27"/>
        <v>9960.366666666665</v>
      </c>
      <c r="P92" s="23">
        <f t="shared" si="28"/>
        <v>9960.366666666665</v>
      </c>
    </row>
    <row r="93" spans="2:16" x14ac:dyDescent="0.25">
      <c r="B93" s="24" t="str">
        <f>'plano de contas'!L12</f>
        <v>-</v>
      </c>
      <c r="C93" s="23">
        <f>SUMIFS(JANEIRO!$H$7:$H$84,JANEIRO!$E$7:$E$84,'DRE1'!$B93)</f>
        <v>2943</v>
      </c>
      <c r="D93" s="23">
        <f>SUMIFS(FEVEREIRO!$H$7:$H$84,FEVEREIRO!$E$7:$E$84,'DRE1'!$B93)</f>
        <v>505</v>
      </c>
      <c r="E93" s="23">
        <f>SUMIFS(MARÇO!$H$7:$H$84,MARÇO!$E$7:$E$84,'DRE1'!$B93)</f>
        <v>0</v>
      </c>
      <c r="F93" s="23">
        <f>SUMIFS(ABRIL!$H$7:$H$84,ABRIL!$E$7:$E$84,'DRE1'!$B93)</f>
        <v>24.2</v>
      </c>
      <c r="G93" s="23">
        <f>SUMIFS(MAIO!$H$7:$H$84,MAIO!$E$7:$E$84,'DRE1'!$B93)</f>
        <v>1154</v>
      </c>
      <c r="H93" s="23">
        <f>SUMIFS(JUNHO!$H$7:$H$84,JUNHO!$E$7:$E$84,'DRE1'!$B93)</f>
        <v>720.16666666666583</v>
      </c>
      <c r="I93" s="23">
        <f>SUMIFS(JULHO!$H$7:$H$84,JULHO!$E$7:$E$84,'DRE1'!$B93)</f>
        <v>468</v>
      </c>
      <c r="J93" s="23">
        <f>SUMIFS(AGOSTO!$H$7:$H$84,AGOSTO!$E$7:$E$84,'DRE1'!$B93)</f>
        <v>34</v>
      </c>
      <c r="K93" s="23">
        <f>SUMIFS(SETEMBRO!$H$7:$H$84,SETEMBRO!$E$7:$E$84,'DRE1'!$B93)</f>
        <v>1638</v>
      </c>
      <c r="L93" s="23">
        <f>SUMIFS(OUTUBRO!$H$7:$H$84,OUTUBRO!$E$7:$E$84,'DRE1'!$B93)</f>
        <v>482</v>
      </c>
      <c r="M93" s="23">
        <f>SUMIFS(NOVEMBRO!$H$7:$H$84,NOVEMBRO!$E$7:$E$84,'DRE1'!$B93)</f>
        <v>465</v>
      </c>
      <c r="N93" s="23">
        <f>SUMIFS(DEZEMBRO!$H$7:$H$84,DEZEMBRO!$E$7:$E$84,'DRE1'!$B93)</f>
        <v>1527</v>
      </c>
      <c r="O93" s="23">
        <f t="shared" si="27"/>
        <v>9960.366666666665</v>
      </c>
      <c r="P93" s="23">
        <f t="shared" si="28"/>
        <v>9960.366666666665</v>
      </c>
    </row>
    <row r="94" spans="2:16" x14ac:dyDescent="0.25">
      <c r="B94" s="24" t="str">
        <f>'plano de contas'!L13</f>
        <v>-</v>
      </c>
      <c r="C94" s="23">
        <f>SUMIFS(JANEIRO!$H$7:$H$84,JANEIRO!$E$7:$E$84,'DRE1'!$B94)</f>
        <v>2943</v>
      </c>
      <c r="D94" s="23">
        <f>SUMIFS(FEVEREIRO!$H$7:$H$84,FEVEREIRO!$E$7:$E$84,'DRE1'!$B94)</f>
        <v>505</v>
      </c>
      <c r="E94" s="23">
        <f>SUMIFS(MARÇO!$H$7:$H$84,MARÇO!$E$7:$E$84,'DRE1'!$B94)</f>
        <v>0</v>
      </c>
      <c r="F94" s="23">
        <f>SUMIFS(ABRIL!$H$7:$H$84,ABRIL!$E$7:$E$84,'DRE1'!$B94)</f>
        <v>24.2</v>
      </c>
      <c r="G94" s="23">
        <f>SUMIFS(MAIO!$H$7:$H$84,MAIO!$E$7:$E$84,'DRE1'!$B94)</f>
        <v>1154</v>
      </c>
      <c r="H94" s="23">
        <f>SUMIFS(JUNHO!$H$7:$H$84,JUNHO!$E$7:$E$84,'DRE1'!$B94)</f>
        <v>720.16666666666583</v>
      </c>
      <c r="I94" s="23">
        <f>SUMIFS(JULHO!$H$7:$H$84,JULHO!$E$7:$E$84,'DRE1'!$B94)</f>
        <v>468</v>
      </c>
      <c r="J94" s="23">
        <f>SUMIFS(AGOSTO!$H$7:$H$84,AGOSTO!$E$7:$E$84,'DRE1'!$B94)</f>
        <v>34</v>
      </c>
      <c r="K94" s="23">
        <f>SUMIFS(SETEMBRO!$H$7:$H$84,SETEMBRO!$E$7:$E$84,'DRE1'!$B94)</f>
        <v>1638</v>
      </c>
      <c r="L94" s="23">
        <f>SUMIFS(OUTUBRO!$H$7:$H$84,OUTUBRO!$E$7:$E$84,'DRE1'!$B94)</f>
        <v>482</v>
      </c>
      <c r="M94" s="23">
        <f>SUMIFS(NOVEMBRO!$H$7:$H$84,NOVEMBRO!$E$7:$E$84,'DRE1'!$B94)</f>
        <v>465</v>
      </c>
      <c r="N94" s="23">
        <f>SUMIFS(DEZEMBRO!$H$7:$H$84,DEZEMBRO!$E$7:$E$84,'DRE1'!$B94)</f>
        <v>1527</v>
      </c>
      <c r="O94" s="23">
        <f t="shared" si="27"/>
        <v>9960.366666666665</v>
      </c>
      <c r="P94" s="23">
        <f t="shared" si="28"/>
        <v>9960.366666666665</v>
      </c>
    </row>
    <row r="95" spans="2:16" x14ac:dyDescent="0.25">
      <c r="B95" s="24" t="str">
        <f>'plano de contas'!L14</f>
        <v>-</v>
      </c>
      <c r="C95" s="23">
        <f>SUMIFS(JANEIRO!$H$7:$H$84,JANEIRO!$E$7:$E$84,'DRE1'!$B95)</f>
        <v>2943</v>
      </c>
      <c r="D95" s="23">
        <f>SUMIFS(FEVEREIRO!$H$7:$H$84,FEVEREIRO!$E$7:$E$84,'DRE1'!$B95)</f>
        <v>505</v>
      </c>
      <c r="E95" s="23">
        <f>SUMIFS(MARÇO!$H$7:$H$84,MARÇO!$E$7:$E$84,'DRE1'!$B95)</f>
        <v>0</v>
      </c>
      <c r="F95" s="23">
        <f>SUMIFS(ABRIL!$H$7:$H$84,ABRIL!$E$7:$E$84,'DRE1'!$B95)</f>
        <v>24.2</v>
      </c>
      <c r="G95" s="23">
        <f>SUMIFS(MAIO!$H$7:$H$84,MAIO!$E$7:$E$84,'DRE1'!$B95)</f>
        <v>1154</v>
      </c>
      <c r="H95" s="23">
        <f>SUMIFS(JUNHO!$H$7:$H$84,JUNHO!$E$7:$E$84,'DRE1'!$B95)</f>
        <v>720.16666666666583</v>
      </c>
      <c r="I95" s="23">
        <f>SUMIFS(JULHO!$H$7:$H$84,JULHO!$E$7:$E$84,'DRE1'!$B95)</f>
        <v>468</v>
      </c>
      <c r="J95" s="23">
        <f>SUMIFS(AGOSTO!$H$7:$H$84,AGOSTO!$E$7:$E$84,'DRE1'!$B95)</f>
        <v>34</v>
      </c>
      <c r="K95" s="23">
        <f>SUMIFS(SETEMBRO!$H$7:$H$84,SETEMBRO!$E$7:$E$84,'DRE1'!$B95)</f>
        <v>1638</v>
      </c>
      <c r="L95" s="23">
        <f>SUMIFS(OUTUBRO!$H$7:$H$84,OUTUBRO!$E$7:$E$84,'DRE1'!$B95)</f>
        <v>482</v>
      </c>
      <c r="M95" s="23">
        <f>SUMIFS(NOVEMBRO!$H$7:$H$84,NOVEMBRO!$E$7:$E$84,'DRE1'!$B95)</f>
        <v>465</v>
      </c>
      <c r="N95" s="23">
        <f>SUMIFS(DEZEMBRO!$H$7:$H$84,DEZEMBRO!$E$7:$E$84,'DRE1'!$B95)</f>
        <v>1527</v>
      </c>
      <c r="O95" s="23">
        <f t="shared" si="27"/>
        <v>9960.366666666665</v>
      </c>
      <c r="P95" s="23">
        <f t="shared" si="28"/>
        <v>9960.366666666665</v>
      </c>
    </row>
    <row r="96" spans="2:16" x14ac:dyDescent="0.25">
      <c r="B96" s="24" t="str">
        <f>'plano de contas'!L15</f>
        <v>-</v>
      </c>
      <c r="C96" s="23">
        <f>SUMIFS(JANEIRO!$H$7:$H$84,JANEIRO!$E$7:$E$84,'DRE1'!$B96)</f>
        <v>2943</v>
      </c>
      <c r="D96" s="23">
        <f>SUMIFS(FEVEREIRO!$H$7:$H$84,FEVEREIRO!$E$7:$E$84,'DRE1'!$B96)</f>
        <v>505</v>
      </c>
      <c r="E96" s="23">
        <f>SUMIFS(MARÇO!$H$7:$H$84,MARÇO!$E$7:$E$84,'DRE1'!$B96)</f>
        <v>0</v>
      </c>
      <c r="F96" s="23">
        <f>SUMIFS(ABRIL!$H$7:$H$84,ABRIL!$E$7:$E$84,'DRE1'!$B96)</f>
        <v>24.2</v>
      </c>
      <c r="G96" s="23">
        <f>SUMIFS(MAIO!$H$7:$H$84,MAIO!$E$7:$E$84,'DRE1'!$B96)</f>
        <v>1154</v>
      </c>
      <c r="H96" s="23">
        <f>SUMIFS(JUNHO!$H$7:$H$84,JUNHO!$E$7:$E$84,'DRE1'!$B96)</f>
        <v>720.16666666666583</v>
      </c>
      <c r="I96" s="23">
        <f>SUMIFS(JULHO!$H$7:$H$84,JULHO!$E$7:$E$84,'DRE1'!$B96)</f>
        <v>468</v>
      </c>
      <c r="J96" s="23">
        <f>SUMIFS(AGOSTO!$H$7:$H$84,AGOSTO!$E$7:$E$84,'DRE1'!$B96)</f>
        <v>34</v>
      </c>
      <c r="K96" s="23">
        <f>SUMIFS(SETEMBRO!$H$7:$H$84,SETEMBRO!$E$7:$E$84,'DRE1'!$B96)</f>
        <v>1638</v>
      </c>
      <c r="L96" s="23">
        <f>SUMIFS(OUTUBRO!$H$7:$H$84,OUTUBRO!$E$7:$E$84,'DRE1'!$B96)</f>
        <v>482</v>
      </c>
      <c r="M96" s="23">
        <f>SUMIFS(NOVEMBRO!$H$7:$H$84,NOVEMBRO!$E$7:$E$84,'DRE1'!$B96)</f>
        <v>465</v>
      </c>
      <c r="N96" s="23">
        <f>SUMIFS(DEZEMBRO!$H$7:$H$84,DEZEMBRO!$E$7:$E$84,'DRE1'!$B96)</f>
        <v>1527</v>
      </c>
      <c r="O96" s="23">
        <f t="shared" si="27"/>
        <v>9960.366666666665</v>
      </c>
      <c r="P96" s="23">
        <f t="shared" si="28"/>
        <v>9960.366666666665</v>
      </c>
    </row>
    <row r="97" spans="2:16" x14ac:dyDescent="0.25">
      <c r="B97" s="24" t="str">
        <f>'plano de contas'!L16</f>
        <v>-</v>
      </c>
      <c r="C97" s="23">
        <f>SUMIFS(JANEIRO!$H$7:$H$84,JANEIRO!$E$7:$E$84,'DRE1'!$B97)</f>
        <v>2943</v>
      </c>
      <c r="D97" s="23">
        <f>SUMIFS(FEVEREIRO!$H$7:$H$84,FEVEREIRO!$E$7:$E$84,'DRE1'!$B97)</f>
        <v>505</v>
      </c>
      <c r="E97" s="23">
        <f>SUMIFS(MARÇO!$H$7:$H$84,MARÇO!$E$7:$E$84,'DRE1'!$B97)</f>
        <v>0</v>
      </c>
      <c r="F97" s="23">
        <f>SUMIFS(ABRIL!$H$7:$H$84,ABRIL!$E$7:$E$84,'DRE1'!$B97)</f>
        <v>24.2</v>
      </c>
      <c r="G97" s="23">
        <f>SUMIFS(MAIO!$H$7:$H$84,MAIO!$E$7:$E$84,'DRE1'!$B97)</f>
        <v>1154</v>
      </c>
      <c r="H97" s="23">
        <f>SUMIFS(JUNHO!$H$7:$H$84,JUNHO!$E$7:$E$84,'DRE1'!$B97)</f>
        <v>720.16666666666583</v>
      </c>
      <c r="I97" s="23">
        <f>SUMIFS(JULHO!$H$7:$H$84,JULHO!$E$7:$E$84,'DRE1'!$B97)</f>
        <v>468</v>
      </c>
      <c r="J97" s="23">
        <f>SUMIFS(AGOSTO!$H$7:$H$84,AGOSTO!$E$7:$E$84,'DRE1'!$B97)</f>
        <v>34</v>
      </c>
      <c r="K97" s="23">
        <f>SUMIFS(SETEMBRO!$H$7:$H$84,SETEMBRO!$E$7:$E$84,'DRE1'!$B97)</f>
        <v>1638</v>
      </c>
      <c r="L97" s="23">
        <f>SUMIFS(OUTUBRO!$H$7:$H$84,OUTUBRO!$E$7:$E$84,'DRE1'!$B97)</f>
        <v>482</v>
      </c>
      <c r="M97" s="23">
        <f>SUMIFS(NOVEMBRO!$H$7:$H$84,NOVEMBRO!$E$7:$E$84,'DRE1'!$B97)</f>
        <v>465</v>
      </c>
      <c r="N97" s="23">
        <f>SUMIFS(DEZEMBRO!$H$7:$H$84,DEZEMBRO!$E$7:$E$84,'DRE1'!$B97)</f>
        <v>1527</v>
      </c>
      <c r="O97" s="23">
        <f t="shared" si="27"/>
        <v>9960.366666666665</v>
      </c>
      <c r="P97" s="23">
        <f t="shared" si="28"/>
        <v>9960.366666666665</v>
      </c>
    </row>
    <row r="98" spans="2:16" x14ac:dyDescent="0.25">
      <c r="B98" s="24" t="str">
        <f>'plano de contas'!L17</f>
        <v>-</v>
      </c>
      <c r="C98" s="23">
        <f>SUMIFS(JANEIRO!$H$7:$H$84,JANEIRO!$E$7:$E$84,'DRE1'!$B98)</f>
        <v>2943</v>
      </c>
      <c r="D98" s="23">
        <f>SUMIFS(FEVEREIRO!$H$7:$H$84,FEVEREIRO!$E$7:$E$84,'DRE1'!$B98)</f>
        <v>505</v>
      </c>
      <c r="E98" s="23">
        <f>SUMIFS(MARÇO!$H$7:$H$84,MARÇO!$E$7:$E$84,'DRE1'!$B98)</f>
        <v>0</v>
      </c>
      <c r="F98" s="23">
        <f>SUMIFS(ABRIL!$H$7:$H$84,ABRIL!$E$7:$E$84,'DRE1'!$B98)</f>
        <v>24.2</v>
      </c>
      <c r="G98" s="23">
        <f>SUMIFS(MAIO!$H$7:$H$84,MAIO!$E$7:$E$84,'DRE1'!$B98)</f>
        <v>1154</v>
      </c>
      <c r="H98" s="23">
        <f>SUMIFS(JUNHO!$H$7:$H$84,JUNHO!$E$7:$E$84,'DRE1'!$B98)</f>
        <v>720.16666666666583</v>
      </c>
      <c r="I98" s="23">
        <f>SUMIFS(JULHO!$H$7:$H$84,JULHO!$E$7:$E$84,'DRE1'!$B98)</f>
        <v>468</v>
      </c>
      <c r="J98" s="23">
        <f>SUMIFS(AGOSTO!$H$7:$H$84,AGOSTO!$E$7:$E$84,'DRE1'!$B98)</f>
        <v>34</v>
      </c>
      <c r="K98" s="23">
        <f>SUMIFS(SETEMBRO!$H$7:$H$84,SETEMBRO!$E$7:$E$84,'DRE1'!$B98)</f>
        <v>1638</v>
      </c>
      <c r="L98" s="23">
        <f>SUMIFS(OUTUBRO!$H$7:$H$84,OUTUBRO!$E$7:$E$84,'DRE1'!$B98)</f>
        <v>482</v>
      </c>
      <c r="M98" s="23">
        <f>SUMIFS(NOVEMBRO!$H$7:$H$84,NOVEMBRO!$E$7:$E$84,'DRE1'!$B98)</f>
        <v>465</v>
      </c>
      <c r="N98" s="23">
        <f>SUMIFS(DEZEMBRO!$H$7:$H$84,DEZEMBRO!$E$7:$E$84,'DRE1'!$B98)</f>
        <v>1527</v>
      </c>
      <c r="O98" s="23">
        <f t="shared" si="27"/>
        <v>9960.366666666665</v>
      </c>
      <c r="P98" s="23">
        <f t="shared" si="28"/>
        <v>9960.366666666665</v>
      </c>
    </row>
    <row r="99" spans="2:16" x14ac:dyDescent="0.25">
      <c r="B99" s="24" t="str">
        <f>'plano de contas'!L18</f>
        <v>OUTRAS DESPESAS OPERACIONAIS</v>
      </c>
      <c r="C99" s="23">
        <f>SUMIFS(JANEIRO!$H$7:$H$84,JANEIRO!$E$7:$E$84,'DRE1'!$B99)</f>
        <v>0</v>
      </c>
      <c r="D99" s="23">
        <f>SUMIFS(FEVEREIRO!$H$7:$H$84,FEVEREIRO!$E$7:$E$84,'DRE1'!$B99)</f>
        <v>0</v>
      </c>
      <c r="E99" s="23">
        <f>SUMIFS(MARÇO!$H$7:$H$84,MARÇO!$E$7:$E$84,'DRE1'!$B99)</f>
        <v>0</v>
      </c>
      <c r="F99" s="23">
        <f>SUMIFS(ABRIL!$H$7:$H$84,ABRIL!$E$7:$E$84,'DRE1'!$B99)</f>
        <v>0</v>
      </c>
      <c r="G99" s="23">
        <f>SUMIFS(MAIO!$H$7:$H$84,MAIO!$E$7:$E$84,'DRE1'!$B99)</f>
        <v>0</v>
      </c>
      <c r="H99" s="23">
        <f>SUMIFS(JUNHO!$H$7:$H$84,JUNHO!$E$7:$E$84,'DRE1'!$B99)</f>
        <v>0</v>
      </c>
      <c r="I99" s="23">
        <f>SUMIFS(JULHO!$H$7:$H$84,JULHO!$E$7:$E$84,'DRE1'!$B99)</f>
        <v>0</v>
      </c>
      <c r="J99" s="23">
        <f>SUMIFS(AGOSTO!$H$7:$H$84,AGOSTO!$E$7:$E$84,'DRE1'!$B99)</f>
        <v>0</v>
      </c>
      <c r="K99" s="23">
        <f>SUMIFS(SETEMBRO!$H$7:$H$84,SETEMBRO!$E$7:$E$84,'DRE1'!$B99)</f>
        <v>0</v>
      </c>
      <c r="L99" s="23">
        <f>SUMIFS(OUTUBRO!$H$7:$H$84,OUTUBRO!$E$7:$E$84,'DRE1'!$B99)</f>
        <v>0</v>
      </c>
      <c r="M99" s="23">
        <f>SUMIFS(NOVEMBRO!$H$7:$H$84,NOVEMBRO!$E$7:$E$84,'DRE1'!$B99)</f>
        <v>0</v>
      </c>
      <c r="N99" s="23">
        <f>SUMIFS(DEZEMBRO!$H$7:$H$84,DEZEMBRO!$E$7:$E$84,'DRE1'!$B99)</f>
        <v>0</v>
      </c>
      <c r="O99" s="23">
        <f t="shared" si="27"/>
        <v>0</v>
      </c>
      <c r="P99" s="23">
        <f t="shared" si="28"/>
        <v>0</v>
      </c>
    </row>
    <row r="100" spans="2:16" x14ac:dyDescent="0.25"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</row>
  </sheetData>
  <conditionalFormatting sqref="B8:B10">
    <cfRule type="cellIs" dxfId="69" priority="92" operator="equal">
      <formula>"RECEITA"</formula>
    </cfRule>
    <cfRule type="cellIs" dxfId="68" priority="93" operator="equal">
      <formula>"DESPESA"</formula>
    </cfRule>
    <cfRule type="cellIs" dxfId="67" priority="94" operator="equal">
      <formula>"RECEITA"</formula>
    </cfRule>
    <cfRule type="cellIs" dxfId="66" priority="95" operator="equal">
      <formula>"DESPESA"</formula>
    </cfRule>
    <cfRule type="cellIs" dxfId="65" priority="96" operator="equal">
      <formula>"RECEITA"</formula>
    </cfRule>
    <cfRule type="cellIs" dxfId="64" priority="97" operator="equal">
      <formula>"DESPESA"</formula>
    </cfRule>
  </conditionalFormatting>
  <conditionalFormatting sqref="B11:B15">
    <cfRule type="cellIs" dxfId="63" priority="86" operator="equal">
      <formula>"RECEITA"</formula>
    </cfRule>
    <cfRule type="cellIs" dxfId="62" priority="87" operator="equal">
      <formula>"DESPESA"</formula>
    </cfRule>
    <cfRule type="cellIs" dxfId="61" priority="88" operator="equal">
      <formula>"RECEITA"</formula>
    </cfRule>
    <cfRule type="cellIs" dxfId="60" priority="89" operator="equal">
      <formula>"DESPESA"</formula>
    </cfRule>
    <cfRule type="cellIs" dxfId="59" priority="90" operator="equal">
      <formula>"RECEITA"</formula>
    </cfRule>
    <cfRule type="cellIs" dxfId="58" priority="91" operator="equal">
      <formula>"DESPESA"</formula>
    </cfRule>
  </conditionalFormatting>
  <conditionalFormatting sqref="C17:E18">
    <cfRule type="cellIs" dxfId="57" priority="84" operator="lessThan">
      <formula>0</formula>
    </cfRule>
    <cfRule type="cellIs" dxfId="56" priority="85" operator="greaterThan">
      <formula>0</formula>
    </cfRule>
  </conditionalFormatting>
  <conditionalFormatting sqref="C18:E18">
    <cfRule type="cellIs" dxfId="55" priority="82" operator="lessThan">
      <formula>0</formula>
    </cfRule>
    <cfRule type="cellIs" dxfId="54" priority="83" operator="greaterThan">
      <formula>0</formula>
    </cfRule>
  </conditionalFormatting>
  <conditionalFormatting sqref="B21">
    <cfRule type="cellIs" dxfId="53" priority="60" operator="equal">
      <formula>"RECEITA"</formula>
    </cfRule>
    <cfRule type="cellIs" dxfId="52" priority="61" operator="equal">
      <formula>"DESPESA"</formula>
    </cfRule>
    <cfRule type="cellIs" dxfId="51" priority="62" operator="equal">
      <formula>"RECEITA"</formula>
    </cfRule>
    <cfRule type="cellIs" dxfId="50" priority="63" operator="equal">
      <formula>"DESPESA"</formula>
    </cfRule>
    <cfRule type="cellIs" dxfId="49" priority="64" operator="equal">
      <formula>"RECEITA"</formula>
    </cfRule>
    <cfRule type="cellIs" dxfId="48" priority="65" operator="equal">
      <formula>"DESPESA"</formula>
    </cfRule>
  </conditionalFormatting>
  <conditionalFormatting sqref="B22:B33">
    <cfRule type="cellIs" dxfId="47" priority="54" operator="equal">
      <formula>"RECEITA"</formula>
    </cfRule>
    <cfRule type="cellIs" dxfId="46" priority="55" operator="equal">
      <formula>"DESPESA"</formula>
    </cfRule>
    <cfRule type="cellIs" dxfId="45" priority="56" operator="equal">
      <formula>"RECEITA"</formula>
    </cfRule>
    <cfRule type="cellIs" dxfId="44" priority="57" operator="equal">
      <formula>"DESPESA"</formula>
    </cfRule>
    <cfRule type="cellIs" dxfId="43" priority="58" operator="equal">
      <formula>"RECEITA"</formula>
    </cfRule>
    <cfRule type="cellIs" dxfId="42" priority="59" operator="equal">
      <formula>"DESPESA"</formula>
    </cfRule>
  </conditionalFormatting>
  <conditionalFormatting sqref="B36">
    <cfRule type="cellIs" dxfId="41" priority="48" operator="equal">
      <formula>"RECEITA"</formula>
    </cfRule>
    <cfRule type="cellIs" dxfId="40" priority="49" operator="equal">
      <formula>"DESPESA"</formula>
    </cfRule>
    <cfRule type="cellIs" dxfId="39" priority="50" operator="equal">
      <formula>"RECEITA"</formula>
    </cfRule>
    <cfRule type="cellIs" dxfId="38" priority="51" operator="equal">
      <formula>"DESPESA"</formula>
    </cfRule>
    <cfRule type="cellIs" dxfId="37" priority="52" operator="equal">
      <formula>"RECEITA"</formula>
    </cfRule>
    <cfRule type="cellIs" dxfId="36" priority="53" operator="equal">
      <formula>"DESPESA"</formula>
    </cfRule>
  </conditionalFormatting>
  <conditionalFormatting sqref="B37:B47">
    <cfRule type="cellIs" dxfId="35" priority="42" operator="equal">
      <formula>"RECEITA"</formula>
    </cfRule>
    <cfRule type="cellIs" dxfId="34" priority="43" operator="equal">
      <formula>"DESPESA"</formula>
    </cfRule>
    <cfRule type="cellIs" dxfId="33" priority="44" operator="equal">
      <formula>"RECEITA"</formula>
    </cfRule>
    <cfRule type="cellIs" dxfId="32" priority="45" operator="equal">
      <formula>"DESPESA"</formula>
    </cfRule>
    <cfRule type="cellIs" dxfId="31" priority="46" operator="equal">
      <formula>"RECEITA"</formula>
    </cfRule>
    <cfRule type="cellIs" dxfId="30" priority="47" operator="equal">
      <formula>"DESPESA"</formula>
    </cfRule>
  </conditionalFormatting>
  <conditionalFormatting sqref="B49:B60">
    <cfRule type="cellIs" dxfId="29" priority="36" operator="equal">
      <formula>"RECEITA"</formula>
    </cfRule>
    <cfRule type="cellIs" dxfId="28" priority="37" operator="equal">
      <formula>"DESPESA"</formula>
    </cfRule>
    <cfRule type="cellIs" dxfId="27" priority="38" operator="equal">
      <formula>"RECEITA"</formula>
    </cfRule>
    <cfRule type="cellIs" dxfId="26" priority="39" operator="equal">
      <formula>"DESPESA"</formula>
    </cfRule>
    <cfRule type="cellIs" dxfId="25" priority="40" operator="equal">
      <formula>"RECEITA"</formula>
    </cfRule>
    <cfRule type="cellIs" dxfId="24" priority="41" operator="equal">
      <formula>"DESPESA"</formula>
    </cfRule>
  </conditionalFormatting>
  <conditionalFormatting sqref="B88:B99">
    <cfRule type="cellIs" dxfId="23" priority="12" operator="equal">
      <formula>"RECEITA"</formula>
    </cfRule>
    <cfRule type="cellIs" dxfId="22" priority="13" operator="equal">
      <formula>"DESPESA"</formula>
    </cfRule>
    <cfRule type="cellIs" dxfId="21" priority="14" operator="equal">
      <formula>"RECEITA"</formula>
    </cfRule>
    <cfRule type="cellIs" dxfId="20" priority="15" operator="equal">
      <formula>"DESPESA"</formula>
    </cfRule>
    <cfRule type="cellIs" dxfId="19" priority="16" operator="equal">
      <formula>"RECEITA"</formula>
    </cfRule>
    <cfRule type="cellIs" dxfId="18" priority="17" operator="equal">
      <formula>"DESPESA"</formula>
    </cfRule>
  </conditionalFormatting>
  <conditionalFormatting sqref="B62:B73">
    <cfRule type="cellIs" dxfId="17" priority="24" operator="equal">
      <formula>"RECEITA"</formula>
    </cfRule>
    <cfRule type="cellIs" dxfId="16" priority="25" operator="equal">
      <formula>"DESPESA"</formula>
    </cfRule>
    <cfRule type="cellIs" dxfId="15" priority="26" operator="equal">
      <formula>"RECEITA"</formula>
    </cfRule>
    <cfRule type="cellIs" dxfId="14" priority="27" operator="equal">
      <formula>"DESPESA"</formula>
    </cfRule>
    <cfRule type="cellIs" dxfId="13" priority="28" operator="equal">
      <formula>"RECEITA"</formula>
    </cfRule>
    <cfRule type="cellIs" dxfId="12" priority="29" operator="equal">
      <formula>"DESPESA"</formula>
    </cfRule>
  </conditionalFormatting>
  <conditionalFormatting sqref="B75:B86">
    <cfRule type="cellIs" dxfId="11" priority="18" operator="equal">
      <formula>"RECEITA"</formula>
    </cfRule>
    <cfRule type="cellIs" dxfId="10" priority="19" operator="equal">
      <formula>"DESPESA"</formula>
    </cfRule>
    <cfRule type="cellIs" dxfId="9" priority="20" operator="equal">
      <formula>"RECEITA"</formula>
    </cfRule>
    <cfRule type="cellIs" dxfId="8" priority="21" operator="equal">
      <formula>"DESPESA"</formula>
    </cfRule>
    <cfRule type="cellIs" dxfId="7" priority="22" operator="equal">
      <formula>"RECEITA"</formula>
    </cfRule>
    <cfRule type="cellIs" dxfId="6" priority="23" operator="equal">
      <formula>"DESPESA"</formula>
    </cfRule>
  </conditionalFormatting>
  <conditionalFormatting sqref="C17:E18">
    <cfRule type="cellIs" dxfId="5" priority="11" operator="equal">
      <formula>0</formula>
    </cfRule>
  </conditionalFormatting>
  <conditionalFormatting sqref="F17:P18">
    <cfRule type="cellIs" dxfId="4" priority="4" operator="lessThan">
      <formula>0</formula>
    </cfRule>
    <cfRule type="cellIs" dxfId="3" priority="5" operator="greaterThan">
      <formula>0</formula>
    </cfRule>
  </conditionalFormatting>
  <conditionalFormatting sqref="F17:P18">
    <cfRule type="cellIs" dxfId="2" priority="2" operator="lessThan">
      <formula>0</formula>
    </cfRule>
    <cfRule type="cellIs" dxfId="1" priority="3" operator="greaterThan">
      <formula>0</formula>
    </cfRule>
  </conditionalFormatting>
  <conditionalFormatting sqref="F17:P18">
    <cfRule type="cellIs" dxfId="0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B1:S946"/>
  <sheetViews>
    <sheetView showGridLines="0" zoomScale="60" zoomScaleNormal="60" workbookViewId="0"/>
  </sheetViews>
  <sheetFormatPr defaultRowHeight="15" x14ac:dyDescent="0.25"/>
  <cols>
    <col min="2" max="2" width="11.5703125" bestFit="1" customWidth="1"/>
    <col min="3" max="3" width="10.7109375" customWidth="1"/>
    <col min="4" max="4" width="23.28515625" customWidth="1"/>
    <col min="5" max="6" width="19.5703125" customWidth="1"/>
    <col min="7" max="7" width="16.140625" bestFit="1" customWidth="1"/>
    <col min="8" max="8" width="10.7109375" style="36" customWidth="1"/>
    <col min="9" max="9" width="11.42578125" customWidth="1"/>
    <col min="10" max="10" width="4.140625" bestFit="1" customWidth="1"/>
    <col min="11" max="11" width="8.7109375" bestFit="1" customWidth="1"/>
    <col min="12" max="12" width="26.42578125" bestFit="1" customWidth="1"/>
    <col min="13" max="13" width="16.28515625" bestFit="1" customWidth="1"/>
    <col min="14" max="14" width="16.85546875" bestFit="1" customWidth="1"/>
    <col min="15" max="15" width="18.85546875" bestFit="1" customWidth="1"/>
    <col min="16" max="16" width="17.85546875" bestFit="1" customWidth="1"/>
    <col min="18" max="18" width="3" customWidth="1"/>
    <col min="19" max="19" width="10.5703125" customWidth="1"/>
  </cols>
  <sheetData>
    <row r="1" spans="2:19" s="60" customFormat="1" ht="31.5" customHeight="1" x14ac:dyDescent="0.25">
      <c r="H1" s="61"/>
    </row>
    <row r="2" spans="2:19" s="60" customFormat="1" ht="36" customHeight="1" x14ac:dyDescent="0.25">
      <c r="H2" s="61"/>
    </row>
    <row r="5" spans="2:19" s="32" customFormat="1" ht="45" x14ac:dyDescent="0.25">
      <c r="C5" s="38" t="str">
        <f>JANEIRO!C6</f>
        <v>DATA DE LANÇAMENTO</v>
      </c>
      <c r="D5" s="39" t="str">
        <f>JANEIRO!D6</f>
        <v>CLASSIFICAÇÃO</v>
      </c>
      <c r="E5" s="40" t="str">
        <f>JANEIRO!E6</f>
        <v>PLANO DE CONTAS</v>
      </c>
      <c r="F5" s="40" t="s">
        <v>122</v>
      </c>
      <c r="G5" s="40" t="str">
        <f>JANEIRO!H6</f>
        <v>VALOR</v>
      </c>
      <c r="H5" s="41" t="str">
        <f>JANEIRO!I6</f>
        <v>DATA DE PAGAMENTO</v>
      </c>
      <c r="I5" s="40" t="str">
        <f>JANEIRO!O6</f>
        <v>RECEITA / DESPESA</v>
      </c>
      <c r="J5" s="40" t="s">
        <v>82</v>
      </c>
      <c r="K5" s="40" t="s">
        <v>83</v>
      </c>
      <c r="L5" s="42" t="s">
        <v>84</v>
      </c>
      <c r="M5" s="40" t="s">
        <v>85</v>
      </c>
      <c r="N5" s="39" t="s">
        <v>86</v>
      </c>
      <c r="O5" s="39" t="s">
        <v>87</v>
      </c>
      <c r="P5" s="40" t="s">
        <v>88</v>
      </c>
      <c r="R5" s="93" t="s">
        <v>101</v>
      </c>
      <c r="S5" s="93"/>
    </row>
    <row r="6" spans="2:19" ht="30" x14ac:dyDescent="0.25">
      <c r="B6" s="43" t="s">
        <v>99</v>
      </c>
      <c r="C6" s="35">
        <f>JANEIRO!C7</f>
        <v>46023</v>
      </c>
      <c r="D6" s="33" t="str">
        <f>JANEIRO!D7</f>
        <v>RECEITAS COM PRODUTOS</v>
      </c>
      <c r="E6" s="33" t="str">
        <f>JANEIRO!E7</f>
        <v>PLANILHAS EMPRESARIAS</v>
      </c>
      <c r="F6" s="67" t="str">
        <f>JANEIRO!G7</f>
        <v>CALEMBA 2</v>
      </c>
      <c r="G6" s="68">
        <f>JANEIRO!H7</f>
        <v>19</v>
      </c>
      <c r="H6" s="37">
        <f>JANEIRO!I7</f>
        <v>46023</v>
      </c>
      <c r="I6" s="34" t="str">
        <f>JANEIRO!O7</f>
        <v>RECEITAS</v>
      </c>
      <c r="J6">
        <f>DAY(C6)</f>
        <v>1</v>
      </c>
      <c r="K6">
        <f>IF(C6 =0, " ",MONTH(C6))</f>
        <v>1</v>
      </c>
      <c r="L6" t="str">
        <f>IFERROR(VLOOKUP(K6,$R$6:$S$17,2),"")</f>
        <v>JAN</v>
      </c>
      <c r="M6">
        <f>DAY(H6)</f>
        <v>1</v>
      </c>
      <c r="N6">
        <f>IF(H6 = 0, " ",MONTH(H6))</f>
        <v>1</v>
      </c>
      <c r="O6" t="str">
        <f t="shared" ref="O6:O69" si="0">IFERROR(VLOOKUP(N6,$R$6:$S$17,2),"")</f>
        <v>JAN</v>
      </c>
      <c r="P6" t="str">
        <f>IF(H6=0,"NAO PAGO","PAGO")</f>
        <v>PAGO</v>
      </c>
      <c r="R6" s="45">
        <v>1</v>
      </c>
      <c r="S6" s="45" t="s">
        <v>20</v>
      </c>
    </row>
    <row r="7" spans="2:19" x14ac:dyDescent="0.25">
      <c r="C7" s="35">
        <f>JANEIRO!C8</f>
        <v>46024</v>
      </c>
      <c r="D7" s="33" t="str">
        <f>JANEIRO!D8</f>
        <v>RECEITAS COM SERVIÇOS</v>
      </c>
      <c r="E7" s="33" t="str">
        <f>JANEIRO!E8</f>
        <v>CONSULTORIA</v>
      </c>
      <c r="F7" s="67">
        <f>JANEIRO!G8</f>
        <v>0</v>
      </c>
      <c r="G7" s="68">
        <f>JANEIRO!H8</f>
        <v>2</v>
      </c>
      <c r="H7" s="37">
        <f>JANEIRO!I8</f>
        <v>46024</v>
      </c>
      <c r="I7" s="34" t="str">
        <f>JANEIRO!O8</f>
        <v>RECEITAS</v>
      </c>
      <c r="J7">
        <f t="shared" ref="J7:J70" si="1">DAY(C7)</f>
        <v>2</v>
      </c>
      <c r="K7">
        <f>IF(C7=0," ",MONTH(C7))</f>
        <v>1</v>
      </c>
      <c r="L7" t="str">
        <f>IFERROR(VLOOKUP(K7,$R$6:$S$17,2),"")</f>
        <v>JAN</v>
      </c>
      <c r="M7">
        <f t="shared" ref="M7:M70" si="2">DAY(H7)</f>
        <v>2</v>
      </c>
      <c r="N7">
        <f t="shared" ref="N7:N70" si="3">IF(H7 = 0, " ",MONTH(H7))</f>
        <v>1</v>
      </c>
      <c r="O7" t="str">
        <f t="shared" si="0"/>
        <v>JAN</v>
      </c>
      <c r="P7" t="str">
        <f t="shared" ref="P7:P70" si="4">IF(H7=0,"NAO PAGO","PAGO")</f>
        <v>PAGO</v>
      </c>
      <c r="R7" s="45">
        <v>2</v>
      </c>
      <c r="S7" s="45" t="s">
        <v>21</v>
      </c>
    </row>
    <row r="8" spans="2:19" ht="30" x14ac:dyDescent="0.25">
      <c r="C8" s="35">
        <f>JANEIRO!C9</f>
        <v>46025</v>
      </c>
      <c r="D8" s="33" t="str">
        <f>JANEIRO!D9</f>
        <v>DESPESAS OPERACIONAIS</v>
      </c>
      <c r="E8" s="33" t="str">
        <f>JANEIRO!E9</f>
        <v>CURSOS ONLINE</v>
      </c>
      <c r="F8" s="67" t="str">
        <f>JANEIRO!G9</f>
        <v>CALEMBA 2</v>
      </c>
      <c r="G8" s="68">
        <f>JANEIRO!H9</f>
        <v>100</v>
      </c>
      <c r="H8" s="37">
        <f>JANEIRO!I9</f>
        <v>46025</v>
      </c>
      <c r="I8" s="34" t="str">
        <f>JANEIRO!O9</f>
        <v>DESPESAS</v>
      </c>
      <c r="J8">
        <f t="shared" si="1"/>
        <v>3</v>
      </c>
      <c r="K8">
        <f t="shared" ref="K8:K70" si="5">IF(C8 = 0, " ",MONTH(C8))</f>
        <v>1</v>
      </c>
      <c r="L8" t="str">
        <f t="shared" ref="L8:L70" si="6">IFERROR(VLOOKUP(K8,$R$6:$S$17,2),"")</f>
        <v>JAN</v>
      </c>
      <c r="M8">
        <f t="shared" si="2"/>
        <v>3</v>
      </c>
      <c r="N8">
        <f t="shared" si="3"/>
        <v>1</v>
      </c>
      <c r="O8" t="str">
        <f t="shared" si="0"/>
        <v>JAN</v>
      </c>
      <c r="P8" t="str">
        <f t="shared" si="4"/>
        <v>PAGO</v>
      </c>
      <c r="R8" s="45">
        <v>3</v>
      </c>
      <c r="S8" s="45" t="s">
        <v>22</v>
      </c>
    </row>
    <row r="9" spans="2:19" x14ac:dyDescent="0.25">
      <c r="C9" s="35">
        <f>JANEIRO!C10</f>
        <v>46026</v>
      </c>
      <c r="D9" s="33" t="str">
        <f>JANEIRO!D10</f>
        <v>RECEITAS COM SERVIÇOS</v>
      </c>
      <c r="E9" s="33" t="str">
        <f>JANEIRO!E10</f>
        <v>-</v>
      </c>
      <c r="F9" s="67">
        <f>JANEIRO!G10</f>
        <v>0</v>
      </c>
      <c r="G9" s="68">
        <f>JANEIRO!H10</f>
        <v>4</v>
      </c>
      <c r="H9" s="37">
        <f>JANEIRO!I10</f>
        <v>46026</v>
      </c>
      <c r="I9" s="34" t="str">
        <f>JANEIRO!O10</f>
        <v>RECEITAS</v>
      </c>
      <c r="J9">
        <f t="shared" si="1"/>
        <v>4</v>
      </c>
      <c r="K9">
        <f t="shared" si="5"/>
        <v>1</v>
      </c>
      <c r="L9" t="str">
        <f t="shared" si="6"/>
        <v>JAN</v>
      </c>
      <c r="M9">
        <f t="shared" si="2"/>
        <v>4</v>
      </c>
      <c r="N9">
        <f t="shared" si="3"/>
        <v>1</v>
      </c>
      <c r="O9" t="str">
        <f t="shared" si="0"/>
        <v>JAN</v>
      </c>
      <c r="P9" t="str">
        <f t="shared" si="4"/>
        <v>PAGO</v>
      </c>
      <c r="R9" s="45">
        <v>4</v>
      </c>
      <c r="S9" s="45" t="s">
        <v>23</v>
      </c>
    </row>
    <row r="10" spans="2:19" x14ac:dyDescent="0.25">
      <c r="C10" s="35">
        <f>JANEIRO!C11</f>
        <v>46027</v>
      </c>
      <c r="D10" s="33" t="str">
        <f>JANEIRO!D11</f>
        <v>RECEITAS COM SERVIÇOS</v>
      </c>
      <c r="E10" s="33" t="str">
        <f>JANEIRO!E11</f>
        <v>CONSULTORIA</v>
      </c>
      <c r="F10" s="67">
        <f>JANEIRO!G11</f>
        <v>0</v>
      </c>
      <c r="G10" s="68">
        <f>JANEIRO!H11</f>
        <v>5</v>
      </c>
      <c r="H10" s="37">
        <f>JANEIRO!I11</f>
        <v>0</v>
      </c>
      <c r="I10" s="34" t="str">
        <f>JANEIRO!O11</f>
        <v>RECEITAS</v>
      </c>
      <c r="J10">
        <f t="shared" si="1"/>
        <v>5</v>
      </c>
      <c r="K10">
        <f t="shared" si="5"/>
        <v>1</v>
      </c>
      <c r="L10" t="str">
        <f t="shared" si="6"/>
        <v>JAN</v>
      </c>
      <c r="M10">
        <f t="shared" si="2"/>
        <v>0</v>
      </c>
      <c r="N10" t="str">
        <f t="shared" si="3"/>
        <v xml:space="preserve"> </v>
      </c>
      <c r="O10" t="str">
        <f t="shared" si="0"/>
        <v/>
      </c>
      <c r="P10" t="str">
        <f t="shared" si="4"/>
        <v>NAO PAGO</v>
      </c>
      <c r="R10" s="45">
        <v>5</v>
      </c>
      <c r="S10" s="45" t="s">
        <v>24</v>
      </c>
    </row>
    <row r="11" spans="2:19" x14ac:dyDescent="0.25">
      <c r="C11" s="35">
        <f>JANEIRO!C12</f>
        <v>46028</v>
      </c>
      <c r="D11" s="33" t="str">
        <f>JANEIRO!D12</f>
        <v>RECEITAS COM SERVIÇOS</v>
      </c>
      <c r="E11" s="33" t="str">
        <f>JANEIRO!E12</f>
        <v>-</v>
      </c>
      <c r="F11" s="67" t="str">
        <f>JANEIRO!G12</f>
        <v>BENFICA</v>
      </c>
      <c r="G11" s="68">
        <f>JANEIRO!H12</f>
        <v>6</v>
      </c>
      <c r="H11" s="37">
        <f>JANEIRO!I12</f>
        <v>0</v>
      </c>
      <c r="I11" s="34" t="str">
        <f>JANEIRO!O12</f>
        <v>RECEITAS</v>
      </c>
      <c r="J11">
        <f t="shared" si="1"/>
        <v>6</v>
      </c>
      <c r="K11">
        <f t="shared" si="5"/>
        <v>1</v>
      </c>
      <c r="L11" t="str">
        <f t="shared" si="6"/>
        <v>JAN</v>
      </c>
      <c r="M11">
        <f t="shared" si="2"/>
        <v>0</v>
      </c>
      <c r="N11" t="str">
        <f t="shared" si="3"/>
        <v xml:space="preserve"> </v>
      </c>
      <c r="O11" t="str">
        <f t="shared" si="0"/>
        <v/>
      </c>
      <c r="P11" t="str">
        <f t="shared" si="4"/>
        <v>NAO PAGO</v>
      </c>
      <c r="R11" s="45">
        <v>6</v>
      </c>
      <c r="S11" s="45" t="s">
        <v>25</v>
      </c>
    </row>
    <row r="12" spans="2:19" x14ac:dyDescent="0.25">
      <c r="C12" s="35">
        <f>JANEIRO!C13</f>
        <v>46029</v>
      </c>
      <c r="D12" s="33" t="str">
        <f>JANEIRO!D13</f>
        <v>RECEITAS COM SERVIÇOS</v>
      </c>
      <c r="E12" s="33" t="str">
        <f>JANEIRO!E13</f>
        <v>-</v>
      </c>
      <c r="F12" s="67">
        <f>JANEIRO!G13</f>
        <v>0</v>
      </c>
      <c r="G12" s="68">
        <f>JANEIRO!H13</f>
        <v>7</v>
      </c>
      <c r="H12" s="37">
        <f>JANEIRO!I13</f>
        <v>0</v>
      </c>
      <c r="I12" s="34" t="str">
        <f>JANEIRO!O13</f>
        <v>RECEITAS</v>
      </c>
      <c r="J12">
        <f t="shared" si="1"/>
        <v>7</v>
      </c>
      <c r="K12">
        <f t="shared" si="5"/>
        <v>1</v>
      </c>
      <c r="L12" t="str">
        <f t="shared" si="6"/>
        <v>JAN</v>
      </c>
      <c r="M12">
        <f t="shared" si="2"/>
        <v>0</v>
      </c>
      <c r="N12" t="str">
        <f t="shared" si="3"/>
        <v xml:space="preserve"> </v>
      </c>
      <c r="O12" t="str">
        <f t="shared" si="0"/>
        <v/>
      </c>
      <c r="P12" t="str">
        <f t="shared" si="4"/>
        <v>NAO PAGO</v>
      </c>
      <c r="R12" s="45">
        <v>7</v>
      </c>
      <c r="S12" s="45" t="s">
        <v>26</v>
      </c>
    </row>
    <row r="13" spans="2:19" x14ac:dyDescent="0.25">
      <c r="C13" s="35">
        <f>JANEIRO!C14</f>
        <v>46030</v>
      </c>
      <c r="D13" s="33" t="str">
        <f>JANEIRO!D14</f>
        <v>DESPESAS COM RH</v>
      </c>
      <c r="E13" s="33" t="str">
        <f>JANEIRO!E14</f>
        <v>SALARIO</v>
      </c>
      <c r="F13" s="67">
        <f>JANEIRO!G14</f>
        <v>0</v>
      </c>
      <c r="G13" s="68">
        <f>JANEIRO!H14</f>
        <v>8</v>
      </c>
      <c r="H13" s="37">
        <f>JANEIRO!I14</f>
        <v>46030</v>
      </c>
      <c r="I13" s="34" t="str">
        <f>JANEIRO!O14</f>
        <v>DESPESAS</v>
      </c>
      <c r="J13">
        <f t="shared" si="1"/>
        <v>8</v>
      </c>
      <c r="K13">
        <f t="shared" si="5"/>
        <v>1</v>
      </c>
      <c r="L13" t="str">
        <f t="shared" si="6"/>
        <v>JAN</v>
      </c>
      <c r="M13">
        <f t="shared" si="2"/>
        <v>8</v>
      </c>
      <c r="N13">
        <f t="shared" si="3"/>
        <v>1</v>
      </c>
      <c r="O13" t="str">
        <f t="shared" si="0"/>
        <v>JAN</v>
      </c>
      <c r="P13" t="str">
        <f t="shared" si="4"/>
        <v>PAGO</v>
      </c>
      <c r="R13" s="45">
        <v>8</v>
      </c>
      <c r="S13" s="45" t="s">
        <v>27</v>
      </c>
    </row>
    <row r="14" spans="2:19" x14ac:dyDescent="0.25">
      <c r="C14" s="35">
        <f>JANEIRO!C15</f>
        <v>46031</v>
      </c>
      <c r="D14" s="33" t="str">
        <f>JANEIRO!D15</f>
        <v>RECEITAS COM SERVIÇOS</v>
      </c>
      <c r="E14" s="33" t="str">
        <f>JANEIRO!E15</f>
        <v>-</v>
      </c>
      <c r="F14" s="67">
        <f>JANEIRO!G15</f>
        <v>0</v>
      </c>
      <c r="G14" s="68">
        <f>JANEIRO!H15</f>
        <v>9</v>
      </c>
      <c r="H14" s="37">
        <f>JANEIRO!I15</f>
        <v>46031</v>
      </c>
      <c r="I14" s="34" t="str">
        <f>JANEIRO!O15</f>
        <v>RECEITAS</v>
      </c>
      <c r="J14">
        <f t="shared" si="1"/>
        <v>9</v>
      </c>
      <c r="K14">
        <f t="shared" si="5"/>
        <v>1</v>
      </c>
      <c r="L14" t="str">
        <f t="shared" si="6"/>
        <v>JAN</v>
      </c>
      <c r="M14">
        <f t="shared" si="2"/>
        <v>9</v>
      </c>
      <c r="N14">
        <f t="shared" si="3"/>
        <v>1</v>
      </c>
      <c r="O14" t="str">
        <f t="shared" si="0"/>
        <v>JAN</v>
      </c>
      <c r="P14" t="str">
        <f t="shared" si="4"/>
        <v>PAGO</v>
      </c>
      <c r="R14" s="45">
        <v>9</v>
      </c>
      <c r="S14" s="45" t="s">
        <v>28</v>
      </c>
    </row>
    <row r="15" spans="2:19" ht="30" x14ac:dyDescent="0.25">
      <c r="C15" s="35">
        <f>JANEIRO!C16</f>
        <v>46032</v>
      </c>
      <c r="D15" s="33" t="str">
        <f>JANEIRO!D16</f>
        <v>DESPESAS COM MARKETING</v>
      </c>
      <c r="E15" s="33" t="str">
        <f>JANEIRO!E16</f>
        <v>-</v>
      </c>
      <c r="F15" s="67" t="str">
        <f>JANEIRO!G16</f>
        <v>CACUACO</v>
      </c>
      <c r="G15" s="68">
        <f>JANEIRO!H16</f>
        <v>10</v>
      </c>
      <c r="H15" s="37">
        <f>JANEIRO!I16</f>
        <v>46032</v>
      </c>
      <c r="I15" s="34" t="str">
        <f>JANEIRO!O16</f>
        <v>DESPESAS</v>
      </c>
      <c r="J15">
        <f t="shared" si="1"/>
        <v>10</v>
      </c>
      <c r="K15">
        <f t="shared" si="5"/>
        <v>1</v>
      </c>
      <c r="L15" t="str">
        <f t="shared" si="6"/>
        <v>JAN</v>
      </c>
      <c r="M15">
        <f t="shared" si="2"/>
        <v>10</v>
      </c>
      <c r="N15">
        <f t="shared" si="3"/>
        <v>1</v>
      </c>
      <c r="O15" t="str">
        <f t="shared" si="0"/>
        <v>JAN</v>
      </c>
      <c r="P15" t="str">
        <f t="shared" si="4"/>
        <v>PAGO</v>
      </c>
      <c r="R15" s="45">
        <v>10</v>
      </c>
      <c r="S15" s="45" t="s">
        <v>29</v>
      </c>
    </row>
    <row r="16" spans="2:19" ht="30" x14ac:dyDescent="0.25">
      <c r="C16" s="35">
        <f>JANEIRO!C17</f>
        <v>46033</v>
      </c>
      <c r="D16" s="33" t="str">
        <f>JANEIRO!D17</f>
        <v>DESPESAS COM RH</v>
      </c>
      <c r="E16" s="33" t="str">
        <f>JANEIRO!E17</f>
        <v>ESTUDIOS GRAVAÇÃO</v>
      </c>
      <c r="F16" s="67" t="str">
        <f>JANEIRO!G17</f>
        <v>CACUACO</v>
      </c>
      <c r="G16" s="68">
        <f>JANEIRO!H17</f>
        <v>1000</v>
      </c>
      <c r="H16" s="37">
        <f>JANEIRO!I17</f>
        <v>46033</v>
      </c>
      <c r="I16" s="34" t="str">
        <f>JANEIRO!O17</f>
        <v>DESPESAS</v>
      </c>
      <c r="J16">
        <f t="shared" si="1"/>
        <v>11</v>
      </c>
      <c r="K16">
        <f t="shared" si="5"/>
        <v>1</v>
      </c>
      <c r="L16" t="str">
        <f t="shared" si="6"/>
        <v>JAN</v>
      </c>
      <c r="M16">
        <f t="shared" si="2"/>
        <v>11</v>
      </c>
      <c r="N16">
        <f t="shared" si="3"/>
        <v>1</v>
      </c>
      <c r="O16" t="str">
        <f t="shared" si="0"/>
        <v>JAN</v>
      </c>
      <c r="P16" t="str">
        <f t="shared" si="4"/>
        <v>PAGO</v>
      </c>
      <c r="R16" s="45">
        <v>11</v>
      </c>
      <c r="S16" s="45" t="s">
        <v>30</v>
      </c>
    </row>
    <row r="17" spans="3:19" ht="30" x14ac:dyDescent="0.25">
      <c r="C17" s="35">
        <f>JANEIRO!C18</f>
        <v>46034</v>
      </c>
      <c r="D17" s="33" t="str">
        <f>JANEIRO!D18</f>
        <v>DESPESAS COM MARKETING</v>
      </c>
      <c r="E17" s="33" t="str">
        <f>JANEIRO!E18</f>
        <v>-</v>
      </c>
      <c r="F17" s="67" t="str">
        <f>JANEIRO!G18</f>
        <v>CACUACO</v>
      </c>
      <c r="G17" s="68">
        <f>JANEIRO!H18</f>
        <v>12</v>
      </c>
      <c r="H17" s="37">
        <f>JANEIRO!I18</f>
        <v>46034</v>
      </c>
      <c r="I17" s="34" t="str">
        <f>JANEIRO!O18</f>
        <v>DESPESAS</v>
      </c>
      <c r="J17">
        <f t="shared" si="1"/>
        <v>12</v>
      </c>
      <c r="K17">
        <f t="shared" si="5"/>
        <v>1</v>
      </c>
      <c r="L17" t="str">
        <f t="shared" si="6"/>
        <v>JAN</v>
      </c>
      <c r="M17">
        <f t="shared" si="2"/>
        <v>12</v>
      </c>
      <c r="N17">
        <f t="shared" si="3"/>
        <v>1</v>
      </c>
      <c r="O17" t="str">
        <f t="shared" si="0"/>
        <v>JAN</v>
      </c>
      <c r="P17" t="str">
        <f t="shared" si="4"/>
        <v>PAGO</v>
      </c>
      <c r="R17" s="45">
        <v>12</v>
      </c>
      <c r="S17" s="45" t="s">
        <v>31</v>
      </c>
    </row>
    <row r="18" spans="3:19" x14ac:dyDescent="0.25">
      <c r="C18" s="35">
        <f>JANEIRO!C19</f>
        <v>46035</v>
      </c>
      <c r="D18" s="33" t="str">
        <f>JANEIRO!D19</f>
        <v>RECEITAS COM SERVIÇOS</v>
      </c>
      <c r="E18" s="33" t="str">
        <f>JANEIRO!E19</f>
        <v>-</v>
      </c>
      <c r="F18" s="67">
        <f>JANEIRO!G19</f>
        <v>0</v>
      </c>
      <c r="G18" s="68">
        <f>JANEIRO!H19</f>
        <v>13</v>
      </c>
      <c r="H18" s="37">
        <f>JANEIRO!I19</f>
        <v>46035</v>
      </c>
      <c r="I18" s="34" t="str">
        <f>JANEIRO!O19</f>
        <v>RECEITAS</v>
      </c>
      <c r="J18">
        <f t="shared" si="1"/>
        <v>13</v>
      </c>
      <c r="K18">
        <f t="shared" si="5"/>
        <v>1</v>
      </c>
      <c r="L18" t="str">
        <f t="shared" si="6"/>
        <v>JAN</v>
      </c>
      <c r="M18">
        <f t="shared" si="2"/>
        <v>13</v>
      </c>
      <c r="N18">
        <f t="shared" si="3"/>
        <v>1</v>
      </c>
      <c r="O18" t="str">
        <f t="shared" si="0"/>
        <v>JAN</v>
      </c>
      <c r="P18" t="str">
        <f t="shared" si="4"/>
        <v>PAGO</v>
      </c>
    </row>
    <row r="19" spans="3:19" x14ac:dyDescent="0.25">
      <c r="C19" s="35">
        <f>JANEIRO!C20</f>
        <v>46036</v>
      </c>
      <c r="D19" s="33" t="str">
        <f>JANEIRO!D20</f>
        <v>RECEITAS COM SERVIÇOS</v>
      </c>
      <c r="E19" s="33" t="str">
        <f>JANEIRO!E20</f>
        <v>-</v>
      </c>
      <c r="F19" s="67" t="str">
        <f>JANEIRO!G20</f>
        <v>VILA ALICE</v>
      </c>
      <c r="G19" s="68">
        <f>JANEIRO!H20</f>
        <v>14</v>
      </c>
      <c r="H19" s="37">
        <f>JANEIRO!I20</f>
        <v>46036</v>
      </c>
      <c r="I19" s="34" t="str">
        <f>JANEIRO!O20</f>
        <v>RECEITAS</v>
      </c>
      <c r="J19">
        <f t="shared" si="1"/>
        <v>14</v>
      </c>
      <c r="K19">
        <f t="shared" si="5"/>
        <v>1</v>
      </c>
      <c r="L19" t="str">
        <f t="shared" si="6"/>
        <v>JAN</v>
      </c>
      <c r="M19">
        <f t="shared" si="2"/>
        <v>14</v>
      </c>
      <c r="N19">
        <f t="shared" si="3"/>
        <v>1</v>
      </c>
      <c r="O19" t="str">
        <f t="shared" si="0"/>
        <v>JAN</v>
      </c>
      <c r="P19" t="str">
        <f t="shared" si="4"/>
        <v>PAGO</v>
      </c>
    </row>
    <row r="20" spans="3:19" x14ac:dyDescent="0.25">
      <c r="C20" s="35">
        <f>JANEIRO!C21</f>
        <v>46037</v>
      </c>
      <c r="D20" s="33" t="str">
        <f>JANEIRO!D21</f>
        <v>RECEITAS COM SERVIÇOS</v>
      </c>
      <c r="E20" s="33" t="str">
        <f>JANEIRO!E21</f>
        <v>-</v>
      </c>
      <c r="F20" s="67">
        <f>JANEIRO!G21</f>
        <v>0</v>
      </c>
      <c r="G20" s="68">
        <f>JANEIRO!H21</f>
        <v>15</v>
      </c>
      <c r="H20" s="37">
        <f>JANEIRO!I21</f>
        <v>46037</v>
      </c>
      <c r="I20" s="34" t="str">
        <f>JANEIRO!O21</f>
        <v>RECEITAS</v>
      </c>
      <c r="J20">
        <f t="shared" si="1"/>
        <v>15</v>
      </c>
      <c r="K20">
        <f t="shared" si="5"/>
        <v>1</v>
      </c>
      <c r="L20" t="str">
        <f t="shared" si="6"/>
        <v>JAN</v>
      </c>
      <c r="M20">
        <f t="shared" si="2"/>
        <v>15</v>
      </c>
      <c r="N20">
        <f t="shared" si="3"/>
        <v>1</v>
      </c>
      <c r="O20" t="str">
        <f t="shared" si="0"/>
        <v>JAN</v>
      </c>
      <c r="P20" t="str">
        <f t="shared" si="4"/>
        <v>PAGO</v>
      </c>
    </row>
    <row r="21" spans="3:19" x14ac:dyDescent="0.25">
      <c r="C21" s="35">
        <f>JANEIRO!C22</f>
        <v>46038</v>
      </c>
      <c r="D21" s="33" t="str">
        <f>JANEIRO!D22</f>
        <v>RECEITAS COM SERVIÇOS</v>
      </c>
      <c r="E21" s="33" t="str">
        <f>JANEIRO!E22</f>
        <v>-</v>
      </c>
      <c r="F21" s="67">
        <f>JANEIRO!G22</f>
        <v>0</v>
      </c>
      <c r="G21" s="68">
        <f>JANEIRO!H22</f>
        <v>16</v>
      </c>
      <c r="H21" s="37">
        <f>JANEIRO!I22</f>
        <v>46038</v>
      </c>
      <c r="I21" s="34" t="str">
        <f>JANEIRO!O22</f>
        <v>RECEITAS</v>
      </c>
      <c r="J21">
        <f t="shared" si="1"/>
        <v>16</v>
      </c>
      <c r="K21">
        <f t="shared" si="5"/>
        <v>1</v>
      </c>
      <c r="L21" t="str">
        <f t="shared" si="6"/>
        <v>JAN</v>
      </c>
      <c r="M21">
        <f t="shared" si="2"/>
        <v>16</v>
      </c>
      <c r="N21">
        <f t="shared" si="3"/>
        <v>1</v>
      </c>
      <c r="O21" t="str">
        <f t="shared" si="0"/>
        <v>JAN</v>
      </c>
      <c r="P21" t="str">
        <f t="shared" si="4"/>
        <v>PAGO</v>
      </c>
    </row>
    <row r="22" spans="3:19" x14ac:dyDescent="0.25">
      <c r="C22" s="35">
        <f>JANEIRO!C23</f>
        <v>46039</v>
      </c>
      <c r="D22" s="33" t="str">
        <f>JANEIRO!D23</f>
        <v>RECEITAS COM SERVIÇOS</v>
      </c>
      <c r="E22" s="33" t="str">
        <f>JANEIRO!E23</f>
        <v>-</v>
      </c>
      <c r="F22" s="67">
        <f>JANEIRO!G23</f>
        <v>0</v>
      </c>
      <c r="G22" s="68">
        <f>JANEIRO!H23</f>
        <v>17</v>
      </c>
      <c r="H22" s="37">
        <f>JANEIRO!I23</f>
        <v>46039</v>
      </c>
      <c r="I22" s="34" t="str">
        <f>JANEIRO!O23</f>
        <v>RECEITAS</v>
      </c>
      <c r="J22">
        <f t="shared" si="1"/>
        <v>17</v>
      </c>
      <c r="K22">
        <f t="shared" si="5"/>
        <v>1</v>
      </c>
      <c r="L22" t="str">
        <f t="shared" si="6"/>
        <v>JAN</v>
      </c>
      <c r="M22">
        <f t="shared" si="2"/>
        <v>17</v>
      </c>
      <c r="N22">
        <f t="shared" si="3"/>
        <v>1</v>
      </c>
      <c r="O22" t="str">
        <f t="shared" si="0"/>
        <v>JAN</v>
      </c>
      <c r="P22" t="str">
        <f t="shared" si="4"/>
        <v>PAGO</v>
      </c>
    </row>
    <row r="23" spans="3:19" x14ac:dyDescent="0.25">
      <c r="C23" s="35">
        <f>JANEIRO!C24</f>
        <v>46040</v>
      </c>
      <c r="D23" s="33" t="str">
        <f>JANEIRO!D24</f>
        <v>RECEITAS COM SERVIÇOS</v>
      </c>
      <c r="E23" s="33" t="str">
        <f>JANEIRO!E24</f>
        <v>-</v>
      </c>
      <c r="F23" s="67">
        <f>JANEIRO!G24</f>
        <v>0</v>
      </c>
      <c r="G23" s="68">
        <f>JANEIRO!H24</f>
        <v>18</v>
      </c>
      <c r="H23" s="37">
        <f>JANEIRO!I24</f>
        <v>46040</v>
      </c>
      <c r="I23" s="34" t="str">
        <f>JANEIRO!O24</f>
        <v>RECEITAS</v>
      </c>
      <c r="J23">
        <f t="shared" si="1"/>
        <v>18</v>
      </c>
      <c r="K23">
        <f t="shared" si="5"/>
        <v>1</v>
      </c>
      <c r="L23" t="str">
        <f t="shared" si="6"/>
        <v>JAN</v>
      </c>
      <c r="M23">
        <f t="shared" si="2"/>
        <v>18</v>
      </c>
      <c r="N23">
        <f t="shared" si="3"/>
        <v>1</v>
      </c>
      <c r="O23" t="str">
        <f t="shared" si="0"/>
        <v>JAN</v>
      </c>
      <c r="P23" t="str">
        <f t="shared" si="4"/>
        <v>PAGO</v>
      </c>
    </row>
    <row r="24" spans="3:19" x14ac:dyDescent="0.25">
      <c r="C24" s="35">
        <f>JANEIRO!C25</f>
        <v>46041</v>
      </c>
      <c r="D24" s="33" t="str">
        <f>JANEIRO!D25</f>
        <v>RECEITAS COM SERVIÇOS</v>
      </c>
      <c r="E24" s="33" t="str">
        <f>JANEIRO!E25</f>
        <v>-</v>
      </c>
      <c r="F24" s="67">
        <f>JANEIRO!G25</f>
        <v>0</v>
      </c>
      <c r="G24" s="68">
        <f>JANEIRO!H25</f>
        <v>19</v>
      </c>
      <c r="H24" s="37">
        <f>JANEIRO!I25</f>
        <v>46041</v>
      </c>
      <c r="I24" s="34" t="str">
        <f>JANEIRO!O25</f>
        <v>RECEITAS</v>
      </c>
      <c r="J24">
        <f t="shared" si="1"/>
        <v>19</v>
      </c>
      <c r="K24">
        <f t="shared" si="5"/>
        <v>1</v>
      </c>
      <c r="L24" t="str">
        <f t="shared" si="6"/>
        <v>JAN</v>
      </c>
      <c r="M24">
        <f t="shared" si="2"/>
        <v>19</v>
      </c>
      <c r="N24">
        <f t="shared" si="3"/>
        <v>1</v>
      </c>
      <c r="O24" t="str">
        <f t="shared" si="0"/>
        <v>JAN</v>
      </c>
      <c r="P24" t="str">
        <f t="shared" si="4"/>
        <v>PAGO</v>
      </c>
    </row>
    <row r="25" spans="3:19" x14ac:dyDescent="0.25">
      <c r="C25" s="35">
        <f>JANEIRO!C26</f>
        <v>46042</v>
      </c>
      <c r="D25" s="33" t="str">
        <f>JANEIRO!D26</f>
        <v>RECEITAS COM SERVIÇOS</v>
      </c>
      <c r="E25" s="33" t="str">
        <f>JANEIRO!E26</f>
        <v>-</v>
      </c>
      <c r="F25" s="67">
        <f>JANEIRO!G26</f>
        <v>0</v>
      </c>
      <c r="G25" s="68">
        <f>JANEIRO!H26</f>
        <v>20</v>
      </c>
      <c r="H25" s="37">
        <f>JANEIRO!I26</f>
        <v>46042</v>
      </c>
      <c r="I25" s="34" t="str">
        <f>JANEIRO!O26</f>
        <v>RECEITAS</v>
      </c>
      <c r="J25">
        <f t="shared" si="1"/>
        <v>20</v>
      </c>
      <c r="K25">
        <f t="shared" si="5"/>
        <v>1</v>
      </c>
      <c r="L25" t="str">
        <f t="shared" si="6"/>
        <v>JAN</v>
      </c>
      <c r="M25">
        <f t="shared" si="2"/>
        <v>20</v>
      </c>
      <c r="N25">
        <f t="shared" si="3"/>
        <v>1</v>
      </c>
      <c r="O25" t="str">
        <f t="shared" si="0"/>
        <v>JAN</v>
      </c>
      <c r="P25" t="str">
        <f t="shared" si="4"/>
        <v>PAGO</v>
      </c>
    </row>
    <row r="26" spans="3:19" x14ac:dyDescent="0.25">
      <c r="C26" s="35">
        <f>JANEIRO!C27</f>
        <v>46043</v>
      </c>
      <c r="D26" s="33" t="str">
        <f>JANEIRO!D27</f>
        <v>RECEITAS COM SERVIÇOS</v>
      </c>
      <c r="E26" s="33" t="str">
        <f>JANEIRO!E27</f>
        <v>-</v>
      </c>
      <c r="F26" s="67">
        <f>JANEIRO!G27</f>
        <v>0</v>
      </c>
      <c r="G26" s="68">
        <f>JANEIRO!H27</f>
        <v>21</v>
      </c>
      <c r="H26" s="37">
        <f>JANEIRO!I27</f>
        <v>46043</v>
      </c>
      <c r="I26" s="34" t="str">
        <f>JANEIRO!O27</f>
        <v>RECEITAS</v>
      </c>
      <c r="J26">
        <f t="shared" si="1"/>
        <v>21</v>
      </c>
      <c r="K26">
        <f t="shared" si="5"/>
        <v>1</v>
      </c>
      <c r="L26" t="str">
        <f t="shared" si="6"/>
        <v>JAN</v>
      </c>
      <c r="M26">
        <f t="shared" si="2"/>
        <v>21</v>
      </c>
      <c r="N26">
        <f t="shared" si="3"/>
        <v>1</v>
      </c>
      <c r="O26" t="str">
        <f t="shared" si="0"/>
        <v>JAN</v>
      </c>
      <c r="P26" t="str">
        <f t="shared" si="4"/>
        <v>PAGO</v>
      </c>
    </row>
    <row r="27" spans="3:19" x14ac:dyDescent="0.25">
      <c r="C27" s="35">
        <f>JANEIRO!C28</f>
        <v>46044</v>
      </c>
      <c r="D27" s="33" t="str">
        <f>JANEIRO!D28</f>
        <v>RECEITAS COM SERVIÇOS</v>
      </c>
      <c r="E27" s="33" t="str">
        <f>JANEIRO!E28</f>
        <v>-</v>
      </c>
      <c r="F27" s="67">
        <f>JANEIRO!G28</f>
        <v>0</v>
      </c>
      <c r="G27" s="68">
        <f>JANEIRO!H28</f>
        <v>22</v>
      </c>
      <c r="H27" s="37">
        <f>JANEIRO!I28</f>
        <v>46044</v>
      </c>
      <c r="I27" s="34" t="str">
        <f>JANEIRO!O28</f>
        <v>RECEITAS</v>
      </c>
      <c r="J27">
        <f t="shared" si="1"/>
        <v>22</v>
      </c>
      <c r="K27">
        <f t="shared" si="5"/>
        <v>1</v>
      </c>
      <c r="L27" t="str">
        <f t="shared" si="6"/>
        <v>JAN</v>
      </c>
      <c r="M27">
        <f t="shared" si="2"/>
        <v>22</v>
      </c>
      <c r="N27">
        <f t="shared" si="3"/>
        <v>1</v>
      </c>
      <c r="O27" t="str">
        <f t="shared" si="0"/>
        <v>JAN</v>
      </c>
      <c r="P27" t="str">
        <f t="shared" si="4"/>
        <v>PAGO</v>
      </c>
    </row>
    <row r="28" spans="3:19" x14ac:dyDescent="0.25">
      <c r="C28" s="35">
        <f>JANEIRO!C29</f>
        <v>46045</v>
      </c>
      <c r="D28" s="33" t="str">
        <f>JANEIRO!D29</f>
        <v>RECEITAS COM SERVIÇOS</v>
      </c>
      <c r="E28" s="33" t="str">
        <f>JANEIRO!E29</f>
        <v>-</v>
      </c>
      <c r="F28" s="67">
        <f>JANEIRO!G29</f>
        <v>0</v>
      </c>
      <c r="G28" s="68">
        <f>JANEIRO!H29</f>
        <v>23</v>
      </c>
      <c r="H28" s="37">
        <f>JANEIRO!I29</f>
        <v>46045</v>
      </c>
      <c r="I28" s="34" t="str">
        <f>JANEIRO!O29</f>
        <v>RECEITAS</v>
      </c>
      <c r="J28">
        <f t="shared" si="1"/>
        <v>23</v>
      </c>
      <c r="K28">
        <f t="shared" si="5"/>
        <v>1</v>
      </c>
      <c r="L28" t="str">
        <f t="shared" si="6"/>
        <v>JAN</v>
      </c>
      <c r="M28">
        <f t="shared" si="2"/>
        <v>23</v>
      </c>
      <c r="N28">
        <f t="shared" si="3"/>
        <v>1</v>
      </c>
      <c r="O28" t="str">
        <f t="shared" si="0"/>
        <v>JAN</v>
      </c>
      <c r="P28" t="str">
        <f t="shared" si="4"/>
        <v>PAGO</v>
      </c>
    </row>
    <row r="29" spans="3:19" x14ac:dyDescent="0.25">
      <c r="C29" s="35">
        <f>JANEIRO!C30</f>
        <v>46046</v>
      </c>
      <c r="D29" s="33" t="str">
        <f>JANEIRO!D30</f>
        <v>RECEITAS COM SERVIÇOS</v>
      </c>
      <c r="E29" s="33" t="str">
        <f>JANEIRO!E30</f>
        <v>-</v>
      </c>
      <c r="F29" s="67">
        <f>JANEIRO!G30</f>
        <v>0</v>
      </c>
      <c r="G29" s="68">
        <f>JANEIRO!H30</f>
        <v>24</v>
      </c>
      <c r="H29" s="37">
        <f>JANEIRO!I30</f>
        <v>46046</v>
      </c>
      <c r="I29" s="34" t="str">
        <f>JANEIRO!O30</f>
        <v>RECEITAS</v>
      </c>
      <c r="J29">
        <f t="shared" si="1"/>
        <v>24</v>
      </c>
      <c r="K29">
        <f t="shared" si="5"/>
        <v>1</v>
      </c>
      <c r="L29" t="str">
        <f t="shared" si="6"/>
        <v>JAN</v>
      </c>
      <c r="M29">
        <f t="shared" si="2"/>
        <v>24</v>
      </c>
      <c r="N29">
        <f t="shared" si="3"/>
        <v>1</v>
      </c>
      <c r="O29" t="str">
        <f t="shared" si="0"/>
        <v>JAN</v>
      </c>
      <c r="P29" t="str">
        <f t="shared" si="4"/>
        <v>PAGO</v>
      </c>
    </row>
    <row r="30" spans="3:19" x14ac:dyDescent="0.25">
      <c r="C30" s="35">
        <f>JANEIRO!C31</f>
        <v>46047</v>
      </c>
      <c r="D30" s="33" t="str">
        <f>JANEIRO!D31</f>
        <v>RECEITAS COM SERVIÇOS</v>
      </c>
      <c r="E30" s="33" t="str">
        <f>JANEIRO!E31</f>
        <v>-</v>
      </c>
      <c r="F30" s="67">
        <f>JANEIRO!G31</f>
        <v>0</v>
      </c>
      <c r="G30" s="68">
        <f>JANEIRO!H31</f>
        <v>25</v>
      </c>
      <c r="H30" s="37">
        <f>JANEIRO!I31</f>
        <v>46047</v>
      </c>
      <c r="I30" s="34" t="str">
        <f>JANEIRO!O31</f>
        <v>RECEITAS</v>
      </c>
      <c r="J30">
        <f t="shared" si="1"/>
        <v>25</v>
      </c>
      <c r="K30">
        <f t="shared" si="5"/>
        <v>1</v>
      </c>
      <c r="L30" t="str">
        <f t="shared" si="6"/>
        <v>JAN</v>
      </c>
      <c r="M30">
        <f t="shared" si="2"/>
        <v>25</v>
      </c>
      <c r="N30">
        <f t="shared" si="3"/>
        <v>1</v>
      </c>
      <c r="O30" t="str">
        <f t="shared" si="0"/>
        <v>JAN</v>
      </c>
      <c r="P30" t="str">
        <f t="shared" si="4"/>
        <v>PAGO</v>
      </c>
    </row>
    <row r="31" spans="3:19" x14ac:dyDescent="0.25">
      <c r="C31" s="35">
        <f>JANEIRO!C32</f>
        <v>46048</v>
      </c>
      <c r="D31" s="33" t="str">
        <f>JANEIRO!D32</f>
        <v>RECEITAS COM SERVIÇOS</v>
      </c>
      <c r="E31" s="33" t="str">
        <f>JANEIRO!E32</f>
        <v>-</v>
      </c>
      <c r="F31" s="67">
        <f>JANEIRO!G32</f>
        <v>0</v>
      </c>
      <c r="G31" s="68">
        <f>JANEIRO!H32</f>
        <v>26</v>
      </c>
      <c r="H31" s="37">
        <f>JANEIRO!I32</f>
        <v>46048</v>
      </c>
      <c r="I31" s="34" t="str">
        <f>JANEIRO!O32</f>
        <v>RECEITAS</v>
      </c>
      <c r="J31">
        <f t="shared" si="1"/>
        <v>26</v>
      </c>
      <c r="K31">
        <f t="shared" si="5"/>
        <v>1</v>
      </c>
      <c r="L31" t="str">
        <f t="shared" si="6"/>
        <v>JAN</v>
      </c>
      <c r="M31">
        <f t="shared" si="2"/>
        <v>26</v>
      </c>
      <c r="N31">
        <f t="shared" si="3"/>
        <v>1</v>
      </c>
      <c r="O31" t="str">
        <f t="shared" si="0"/>
        <v>JAN</v>
      </c>
      <c r="P31" t="str">
        <f t="shared" si="4"/>
        <v>PAGO</v>
      </c>
    </row>
    <row r="32" spans="3:19" x14ac:dyDescent="0.25">
      <c r="C32" s="35">
        <f>JANEIRO!C33</f>
        <v>46049</v>
      </c>
      <c r="D32" s="33" t="str">
        <f>JANEIRO!D33</f>
        <v>RECEITAS COM SERVIÇOS</v>
      </c>
      <c r="E32" s="33" t="str">
        <f>JANEIRO!E33</f>
        <v>-</v>
      </c>
      <c r="F32" s="67">
        <f>JANEIRO!G33</f>
        <v>0</v>
      </c>
      <c r="G32" s="68">
        <f>JANEIRO!H33</f>
        <v>27</v>
      </c>
      <c r="H32" s="37">
        <f>JANEIRO!I33</f>
        <v>46049</v>
      </c>
      <c r="I32" s="34" t="str">
        <f>JANEIRO!O33</f>
        <v>RECEITAS</v>
      </c>
      <c r="J32">
        <f t="shared" si="1"/>
        <v>27</v>
      </c>
      <c r="K32">
        <f t="shared" si="5"/>
        <v>1</v>
      </c>
      <c r="L32" t="str">
        <f t="shared" si="6"/>
        <v>JAN</v>
      </c>
      <c r="M32">
        <f t="shared" si="2"/>
        <v>27</v>
      </c>
      <c r="N32">
        <f t="shared" si="3"/>
        <v>1</v>
      </c>
      <c r="O32" t="str">
        <f t="shared" si="0"/>
        <v>JAN</v>
      </c>
      <c r="P32" t="str">
        <f t="shared" si="4"/>
        <v>PAGO</v>
      </c>
    </row>
    <row r="33" spans="3:16" x14ac:dyDescent="0.25">
      <c r="C33" s="35">
        <f>JANEIRO!C34</f>
        <v>46050</v>
      </c>
      <c r="D33" s="33" t="str">
        <f>JANEIRO!D34</f>
        <v>RECEITAS COM SERVIÇOS</v>
      </c>
      <c r="E33" s="33" t="str">
        <f>JANEIRO!E34</f>
        <v>-</v>
      </c>
      <c r="F33" s="67">
        <f>JANEIRO!G34</f>
        <v>0</v>
      </c>
      <c r="G33" s="68">
        <f>JANEIRO!H34</f>
        <v>28</v>
      </c>
      <c r="H33" s="37">
        <f>JANEIRO!I34</f>
        <v>46050</v>
      </c>
      <c r="I33" s="34" t="str">
        <f>JANEIRO!O34</f>
        <v>RECEITAS</v>
      </c>
      <c r="J33">
        <f t="shared" si="1"/>
        <v>28</v>
      </c>
      <c r="K33">
        <f t="shared" si="5"/>
        <v>1</v>
      </c>
      <c r="L33" t="str">
        <f t="shared" si="6"/>
        <v>JAN</v>
      </c>
      <c r="M33">
        <f t="shared" si="2"/>
        <v>28</v>
      </c>
      <c r="N33">
        <f t="shared" si="3"/>
        <v>1</v>
      </c>
      <c r="O33" t="str">
        <f t="shared" si="0"/>
        <v>JAN</v>
      </c>
      <c r="P33" t="str">
        <f t="shared" si="4"/>
        <v>PAGO</v>
      </c>
    </row>
    <row r="34" spans="3:16" x14ac:dyDescent="0.25">
      <c r="C34" s="35">
        <f>JANEIRO!C35</f>
        <v>46051</v>
      </c>
      <c r="D34" s="33" t="str">
        <f>JANEIRO!D35</f>
        <v>RECEITAS COM SERVIÇOS</v>
      </c>
      <c r="E34" s="33" t="str">
        <f>JANEIRO!E35</f>
        <v>-</v>
      </c>
      <c r="F34" s="67">
        <f>JANEIRO!G35</f>
        <v>0</v>
      </c>
      <c r="G34" s="68">
        <f>JANEIRO!H35</f>
        <v>29</v>
      </c>
      <c r="H34" s="37">
        <f>JANEIRO!I35</f>
        <v>46051</v>
      </c>
      <c r="I34" s="34" t="str">
        <f>JANEIRO!O35</f>
        <v>RECEITAS</v>
      </c>
      <c r="J34">
        <f t="shared" si="1"/>
        <v>29</v>
      </c>
      <c r="K34">
        <f t="shared" si="5"/>
        <v>1</v>
      </c>
      <c r="L34" t="str">
        <f t="shared" si="6"/>
        <v>JAN</v>
      </c>
      <c r="M34">
        <f t="shared" si="2"/>
        <v>29</v>
      </c>
      <c r="N34">
        <f t="shared" si="3"/>
        <v>1</v>
      </c>
      <c r="O34" t="str">
        <f t="shared" si="0"/>
        <v>JAN</v>
      </c>
      <c r="P34" t="str">
        <f t="shared" si="4"/>
        <v>PAGO</v>
      </c>
    </row>
    <row r="35" spans="3:16" x14ac:dyDescent="0.25">
      <c r="C35" s="35">
        <f>JANEIRO!C36</f>
        <v>46052</v>
      </c>
      <c r="D35" s="33" t="str">
        <f>JANEIRO!D36</f>
        <v>RECEITAS COM SERVIÇOS</v>
      </c>
      <c r="E35" s="33" t="str">
        <f>JANEIRO!E36</f>
        <v>-</v>
      </c>
      <c r="F35" s="67">
        <f>JANEIRO!G36</f>
        <v>0</v>
      </c>
      <c r="G35" s="68">
        <f>JANEIRO!H36</f>
        <v>30</v>
      </c>
      <c r="H35" s="37">
        <f>JANEIRO!I36</f>
        <v>46052</v>
      </c>
      <c r="I35" s="34" t="str">
        <f>JANEIRO!O36</f>
        <v>RECEITAS</v>
      </c>
      <c r="J35">
        <f t="shared" si="1"/>
        <v>30</v>
      </c>
      <c r="K35">
        <f t="shared" si="5"/>
        <v>1</v>
      </c>
      <c r="L35" t="str">
        <f t="shared" si="6"/>
        <v>JAN</v>
      </c>
      <c r="M35">
        <f t="shared" si="2"/>
        <v>30</v>
      </c>
      <c r="N35">
        <f t="shared" si="3"/>
        <v>1</v>
      </c>
      <c r="O35" t="str">
        <f t="shared" si="0"/>
        <v>JAN</v>
      </c>
      <c r="P35" t="str">
        <f t="shared" si="4"/>
        <v>PAGO</v>
      </c>
    </row>
    <row r="36" spans="3:16" x14ac:dyDescent="0.25">
      <c r="C36" s="35">
        <f>JANEIRO!C37</f>
        <v>46053</v>
      </c>
      <c r="D36" s="33" t="str">
        <f>JANEIRO!D37</f>
        <v>RECEITAS COM SERVIÇOS</v>
      </c>
      <c r="E36" s="33" t="str">
        <f>JANEIRO!E37</f>
        <v>-</v>
      </c>
      <c r="F36" s="67">
        <f>JANEIRO!G37</f>
        <v>0</v>
      </c>
      <c r="G36" s="68">
        <f>JANEIRO!H37</f>
        <v>31</v>
      </c>
      <c r="H36" s="37">
        <f>JANEIRO!I37</f>
        <v>46053</v>
      </c>
      <c r="I36" s="34" t="str">
        <f>JANEIRO!O37</f>
        <v>RECEITAS</v>
      </c>
      <c r="J36">
        <f t="shared" si="1"/>
        <v>31</v>
      </c>
      <c r="K36">
        <f t="shared" si="5"/>
        <v>1</v>
      </c>
      <c r="L36" t="str">
        <f t="shared" si="6"/>
        <v>JAN</v>
      </c>
      <c r="M36">
        <f t="shared" si="2"/>
        <v>31</v>
      </c>
      <c r="N36">
        <f t="shared" si="3"/>
        <v>1</v>
      </c>
      <c r="O36" t="str">
        <f t="shared" si="0"/>
        <v>JAN</v>
      </c>
      <c r="P36" t="str">
        <f t="shared" si="4"/>
        <v>PAGO</v>
      </c>
    </row>
    <row r="37" spans="3:16" x14ac:dyDescent="0.25">
      <c r="C37" s="35">
        <f>JANEIRO!C38</f>
        <v>46023</v>
      </c>
      <c r="D37" s="33" t="str">
        <f>JANEIRO!D38</f>
        <v>RECEITAS COM SERVIÇOS</v>
      </c>
      <c r="E37" s="33" t="str">
        <f>JANEIRO!E38</f>
        <v>-</v>
      </c>
      <c r="F37" s="67">
        <f>JANEIRO!G38</f>
        <v>0</v>
      </c>
      <c r="G37" s="68">
        <f>JANEIRO!H38</f>
        <v>32</v>
      </c>
      <c r="H37" s="37">
        <f>JANEIRO!I38</f>
        <v>46054</v>
      </c>
      <c r="I37" s="34" t="str">
        <f>JANEIRO!O38</f>
        <v>RECEITAS</v>
      </c>
      <c r="J37">
        <f t="shared" si="1"/>
        <v>1</v>
      </c>
      <c r="K37">
        <f t="shared" si="5"/>
        <v>1</v>
      </c>
      <c r="L37" t="str">
        <f t="shared" si="6"/>
        <v>JAN</v>
      </c>
      <c r="M37">
        <f t="shared" si="2"/>
        <v>1</v>
      </c>
      <c r="N37">
        <f t="shared" si="3"/>
        <v>2</v>
      </c>
      <c r="O37" t="str">
        <f t="shared" si="0"/>
        <v>FEB</v>
      </c>
      <c r="P37" t="str">
        <f t="shared" si="4"/>
        <v>PAGO</v>
      </c>
    </row>
    <row r="38" spans="3:16" ht="30" x14ac:dyDescent="0.25">
      <c r="C38" s="35">
        <f>JANEIRO!C39</f>
        <v>46024</v>
      </c>
      <c r="D38" s="33" t="str">
        <f>JANEIRO!D39</f>
        <v>RECEITAS COM SERVIÇOS</v>
      </c>
      <c r="E38" s="33" t="str">
        <f>JANEIRO!E39</f>
        <v>PERSONALIZAÇÃO DE PLANILHAS</v>
      </c>
      <c r="F38" s="67">
        <f>JANEIRO!G39</f>
        <v>0</v>
      </c>
      <c r="G38" s="68">
        <f>JANEIRO!H39</f>
        <v>33</v>
      </c>
      <c r="H38" s="37">
        <f>JANEIRO!I39</f>
        <v>46055</v>
      </c>
      <c r="I38" s="34" t="str">
        <f>JANEIRO!O39</f>
        <v>RECEITAS</v>
      </c>
      <c r="J38">
        <f t="shared" si="1"/>
        <v>2</v>
      </c>
      <c r="K38">
        <f t="shared" si="5"/>
        <v>1</v>
      </c>
      <c r="L38" t="str">
        <f t="shared" si="6"/>
        <v>JAN</v>
      </c>
      <c r="M38">
        <f t="shared" si="2"/>
        <v>2</v>
      </c>
      <c r="N38">
        <f t="shared" si="3"/>
        <v>2</v>
      </c>
      <c r="O38" t="str">
        <f t="shared" si="0"/>
        <v>FEB</v>
      </c>
      <c r="P38" t="str">
        <f t="shared" si="4"/>
        <v>PAGO</v>
      </c>
    </row>
    <row r="39" spans="3:16" x14ac:dyDescent="0.25">
      <c r="C39" s="35">
        <f>JANEIRO!C40</f>
        <v>46025</v>
      </c>
      <c r="D39" s="33" t="str">
        <f>JANEIRO!D40</f>
        <v>RECEITAS COM SERVIÇOS</v>
      </c>
      <c r="E39" s="33" t="str">
        <f>JANEIRO!E40</f>
        <v>-</v>
      </c>
      <c r="F39" s="67">
        <f>JANEIRO!G40</f>
        <v>0</v>
      </c>
      <c r="G39" s="68">
        <f>JANEIRO!H40</f>
        <v>34</v>
      </c>
      <c r="H39" s="37">
        <f>JANEIRO!I40</f>
        <v>46056</v>
      </c>
      <c r="I39" s="34" t="str">
        <f>JANEIRO!O40</f>
        <v>RECEITAS</v>
      </c>
      <c r="J39">
        <f t="shared" si="1"/>
        <v>3</v>
      </c>
      <c r="K39">
        <f t="shared" si="5"/>
        <v>1</v>
      </c>
      <c r="L39" t="str">
        <f t="shared" si="6"/>
        <v>JAN</v>
      </c>
      <c r="M39">
        <f t="shared" si="2"/>
        <v>3</v>
      </c>
      <c r="N39">
        <f t="shared" si="3"/>
        <v>2</v>
      </c>
      <c r="O39" t="str">
        <f t="shared" si="0"/>
        <v>FEB</v>
      </c>
      <c r="P39" t="str">
        <f t="shared" si="4"/>
        <v>PAGO</v>
      </c>
    </row>
    <row r="40" spans="3:16" x14ac:dyDescent="0.25">
      <c r="C40" s="35">
        <f>JANEIRO!C41</f>
        <v>46026</v>
      </c>
      <c r="D40" s="33" t="str">
        <f>JANEIRO!D41</f>
        <v>RECEITAS COM SERVIÇOS</v>
      </c>
      <c r="E40" s="33" t="str">
        <f>JANEIRO!E41</f>
        <v>-</v>
      </c>
      <c r="F40" s="67">
        <f>JANEIRO!G41</f>
        <v>0</v>
      </c>
      <c r="G40" s="68">
        <f>JANEIRO!H41</f>
        <v>35</v>
      </c>
      <c r="H40" s="37">
        <f>JANEIRO!I41</f>
        <v>46057</v>
      </c>
      <c r="I40" s="34" t="str">
        <f>JANEIRO!O41</f>
        <v>RECEITAS</v>
      </c>
      <c r="J40">
        <f t="shared" si="1"/>
        <v>4</v>
      </c>
      <c r="K40">
        <f t="shared" si="5"/>
        <v>1</v>
      </c>
      <c r="L40" t="str">
        <f t="shared" si="6"/>
        <v>JAN</v>
      </c>
      <c r="M40">
        <f t="shared" si="2"/>
        <v>4</v>
      </c>
      <c r="N40">
        <f t="shared" si="3"/>
        <v>2</v>
      </c>
      <c r="O40" t="str">
        <f t="shared" si="0"/>
        <v>FEB</v>
      </c>
      <c r="P40" t="str">
        <f t="shared" si="4"/>
        <v>PAGO</v>
      </c>
    </row>
    <row r="41" spans="3:16" x14ac:dyDescent="0.25">
      <c r="C41" s="35">
        <f>JANEIRO!C42</f>
        <v>46027</v>
      </c>
      <c r="D41" s="33" t="str">
        <f>JANEIRO!D42</f>
        <v>RECEITAS COM SERVIÇOS</v>
      </c>
      <c r="E41" s="33" t="str">
        <f>JANEIRO!E42</f>
        <v>-</v>
      </c>
      <c r="F41" s="67">
        <f>JANEIRO!G42</f>
        <v>0</v>
      </c>
      <c r="G41" s="68">
        <f>JANEIRO!H42</f>
        <v>36</v>
      </c>
      <c r="H41" s="37">
        <f>JANEIRO!I42</f>
        <v>46058</v>
      </c>
      <c r="I41" s="34" t="str">
        <f>JANEIRO!O42</f>
        <v>RECEITAS</v>
      </c>
      <c r="J41">
        <f t="shared" si="1"/>
        <v>5</v>
      </c>
      <c r="K41">
        <f t="shared" si="5"/>
        <v>1</v>
      </c>
      <c r="L41" t="str">
        <f t="shared" si="6"/>
        <v>JAN</v>
      </c>
      <c r="M41">
        <f t="shared" si="2"/>
        <v>5</v>
      </c>
      <c r="N41">
        <f t="shared" si="3"/>
        <v>2</v>
      </c>
      <c r="O41" t="str">
        <f t="shared" si="0"/>
        <v>FEB</v>
      </c>
      <c r="P41" t="str">
        <f t="shared" si="4"/>
        <v>PAGO</v>
      </c>
    </row>
    <row r="42" spans="3:16" x14ac:dyDescent="0.25">
      <c r="C42" s="35">
        <f>JANEIRO!C43</f>
        <v>46028</v>
      </c>
      <c r="D42" s="33" t="str">
        <f>JANEIRO!D43</f>
        <v>RECEITAS COM SERVIÇOS</v>
      </c>
      <c r="E42" s="33" t="str">
        <f>JANEIRO!E43</f>
        <v>-</v>
      </c>
      <c r="F42" s="67">
        <f>JANEIRO!G43</f>
        <v>0</v>
      </c>
      <c r="G42" s="68">
        <f>JANEIRO!H43</f>
        <v>37</v>
      </c>
      <c r="H42" s="37">
        <f>JANEIRO!I43</f>
        <v>46059</v>
      </c>
      <c r="I42" s="34" t="str">
        <f>JANEIRO!O43</f>
        <v>RECEITAS</v>
      </c>
      <c r="J42">
        <f t="shared" si="1"/>
        <v>6</v>
      </c>
      <c r="K42">
        <f t="shared" si="5"/>
        <v>1</v>
      </c>
      <c r="L42" t="str">
        <f t="shared" si="6"/>
        <v>JAN</v>
      </c>
      <c r="M42">
        <f t="shared" si="2"/>
        <v>6</v>
      </c>
      <c r="N42">
        <f t="shared" si="3"/>
        <v>2</v>
      </c>
      <c r="O42" t="str">
        <f t="shared" si="0"/>
        <v>FEB</v>
      </c>
      <c r="P42" t="str">
        <f t="shared" si="4"/>
        <v>PAGO</v>
      </c>
    </row>
    <row r="43" spans="3:16" x14ac:dyDescent="0.25">
      <c r="C43" s="35">
        <f>JANEIRO!C44</f>
        <v>46029</v>
      </c>
      <c r="D43" s="33" t="str">
        <f>JANEIRO!D44</f>
        <v>RECEITAS COM SERVIÇOS</v>
      </c>
      <c r="E43" s="33" t="str">
        <f>JANEIRO!E44</f>
        <v>-</v>
      </c>
      <c r="F43" s="67">
        <f>JANEIRO!G44</f>
        <v>0</v>
      </c>
      <c r="G43" s="68">
        <f>JANEIRO!H44</f>
        <v>38</v>
      </c>
      <c r="H43" s="37">
        <f>JANEIRO!I44</f>
        <v>46060</v>
      </c>
      <c r="I43" s="34" t="str">
        <f>JANEIRO!O44</f>
        <v>RECEITAS</v>
      </c>
      <c r="J43">
        <f t="shared" si="1"/>
        <v>7</v>
      </c>
      <c r="K43">
        <f t="shared" si="5"/>
        <v>1</v>
      </c>
      <c r="L43" t="str">
        <f t="shared" si="6"/>
        <v>JAN</v>
      </c>
      <c r="M43">
        <f t="shared" si="2"/>
        <v>7</v>
      </c>
      <c r="N43">
        <f t="shared" si="3"/>
        <v>2</v>
      </c>
      <c r="O43" t="str">
        <f t="shared" si="0"/>
        <v>FEB</v>
      </c>
      <c r="P43" t="str">
        <f t="shared" si="4"/>
        <v>PAGO</v>
      </c>
    </row>
    <row r="44" spans="3:16" x14ac:dyDescent="0.25">
      <c r="C44" s="35">
        <f>JANEIRO!C45</f>
        <v>46030</v>
      </c>
      <c r="D44" s="33" t="str">
        <f>JANEIRO!D45</f>
        <v>RECEITAS COM SERVIÇOS</v>
      </c>
      <c r="E44" s="33" t="str">
        <f>JANEIRO!E45</f>
        <v>-</v>
      </c>
      <c r="F44" s="67">
        <f>JANEIRO!G45</f>
        <v>0</v>
      </c>
      <c r="G44" s="68">
        <f>JANEIRO!H45</f>
        <v>39</v>
      </c>
      <c r="H44" s="37">
        <f>JANEIRO!I45</f>
        <v>46061</v>
      </c>
      <c r="I44" s="34" t="str">
        <f>JANEIRO!O45</f>
        <v>RECEITAS</v>
      </c>
      <c r="J44">
        <f t="shared" si="1"/>
        <v>8</v>
      </c>
      <c r="K44">
        <f t="shared" si="5"/>
        <v>1</v>
      </c>
      <c r="L44" t="str">
        <f t="shared" si="6"/>
        <v>JAN</v>
      </c>
      <c r="M44">
        <f t="shared" si="2"/>
        <v>8</v>
      </c>
      <c r="N44">
        <f t="shared" si="3"/>
        <v>2</v>
      </c>
      <c r="O44" t="str">
        <f t="shared" si="0"/>
        <v>FEB</v>
      </c>
      <c r="P44" t="str">
        <f t="shared" si="4"/>
        <v>PAGO</v>
      </c>
    </row>
    <row r="45" spans="3:16" x14ac:dyDescent="0.25">
      <c r="C45" s="35">
        <f>JANEIRO!C46</f>
        <v>46031</v>
      </c>
      <c r="D45" s="33" t="str">
        <f>JANEIRO!D46</f>
        <v>RECEITAS COM SERVIÇOS</v>
      </c>
      <c r="E45" s="33" t="str">
        <f>JANEIRO!E46</f>
        <v>-</v>
      </c>
      <c r="F45" s="67">
        <f>JANEIRO!G46</f>
        <v>0</v>
      </c>
      <c r="G45" s="68">
        <f>JANEIRO!H46</f>
        <v>40</v>
      </c>
      <c r="H45" s="37">
        <f>JANEIRO!I46</f>
        <v>46062</v>
      </c>
      <c r="I45" s="34" t="str">
        <f>JANEIRO!O46</f>
        <v>RECEITAS</v>
      </c>
      <c r="J45">
        <f t="shared" si="1"/>
        <v>9</v>
      </c>
      <c r="K45">
        <f t="shared" si="5"/>
        <v>1</v>
      </c>
      <c r="L45" t="str">
        <f t="shared" si="6"/>
        <v>JAN</v>
      </c>
      <c r="M45">
        <f t="shared" si="2"/>
        <v>9</v>
      </c>
      <c r="N45">
        <f t="shared" si="3"/>
        <v>2</v>
      </c>
      <c r="O45" t="str">
        <f t="shared" si="0"/>
        <v>FEB</v>
      </c>
      <c r="P45" t="str">
        <f t="shared" si="4"/>
        <v>PAGO</v>
      </c>
    </row>
    <row r="46" spans="3:16" x14ac:dyDescent="0.25">
      <c r="C46" s="35">
        <f>JANEIRO!C47</f>
        <v>46032</v>
      </c>
      <c r="D46" s="33" t="str">
        <f>JANEIRO!D47</f>
        <v>RECEITAS COM SERVIÇOS</v>
      </c>
      <c r="E46" s="33" t="str">
        <f>JANEIRO!E47</f>
        <v>-</v>
      </c>
      <c r="F46" s="67">
        <f>JANEIRO!G47</f>
        <v>0</v>
      </c>
      <c r="G46" s="68">
        <f>JANEIRO!H47</f>
        <v>41</v>
      </c>
      <c r="H46" s="37">
        <f>JANEIRO!I47</f>
        <v>46063</v>
      </c>
      <c r="I46" s="34" t="str">
        <f>JANEIRO!O47</f>
        <v>RECEITAS</v>
      </c>
      <c r="J46">
        <f t="shared" si="1"/>
        <v>10</v>
      </c>
      <c r="K46">
        <f t="shared" si="5"/>
        <v>1</v>
      </c>
      <c r="L46" t="str">
        <f t="shared" si="6"/>
        <v>JAN</v>
      </c>
      <c r="M46">
        <f t="shared" si="2"/>
        <v>10</v>
      </c>
      <c r="N46">
        <f t="shared" si="3"/>
        <v>2</v>
      </c>
      <c r="O46" t="str">
        <f t="shared" si="0"/>
        <v>FEB</v>
      </c>
      <c r="P46" t="str">
        <f t="shared" si="4"/>
        <v>PAGO</v>
      </c>
    </row>
    <row r="47" spans="3:16" x14ac:dyDescent="0.25">
      <c r="C47" s="35">
        <f>JANEIRO!C48</f>
        <v>46033</v>
      </c>
      <c r="D47" s="33" t="str">
        <f>JANEIRO!D48</f>
        <v>RECEITAS COM SERVIÇOS</v>
      </c>
      <c r="E47" s="33" t="str">
        <f>JANEIRO!E48</f>
        <v>-</v>
      </c>
      <c r="F47" s="67">
        <f>JANEIRO!G48</f>
        <v>0</v>
      </c>
      <c r="G47" s="68">
        <f>JANEIRO!H48</f>
        <v>42</v>
      </c>
      <c r="H47" s="37">
        <f>JANEIRO!I48</f>
        <v>46064</v>
      </c>
      <c r="I47" s="34" t="str">
        <f>JANEIRO!O48</f>
        <v>RECEITAS</v>
      </c>
      <c r="J47">
        <f t="shared" si="1"/>
        <v>11</v>
      </c>
      <c r="K47">
        <f t="shared" si="5"/>
        <v>1</v>
      </c>
      <c r="L47" t="str">
        <f t="shared" si="6"/>
        <v>JAN</v>
      </c>
      <c r="M47">
        <f t="shared" si="2"/>
        <v>11</v>
      </c>
      <c r="N47">
        <f t="shared" si="3"/>
        <v>2</v>
      </c>
      <c r="O47" t="str">
        <f t="shared" si="0"/>
        <v>FEB</v>
      </c>
      <c r="P47" t="str">
        <f t="shared" si="4"/>
        <v>PAGO</v>
      </c>
    </row>
    <row r="48" spans="3:16" x14ac:dyDescent="0.25">
      <c r="C48" s="35">
        <f>JANEIRO!C49</f>
        <v>46034</v>
      </c>
      <c r="D48" s="33" t="str">
        <f>JANEIRO!D49</f>
        <v>RECEITAS COM SERVIÇOS</v>
      </c>
      <c r="E48" s="33" t="str">
        <f>JANEIRO!E49</f>
        <v>-</v>
      </c>
      <c r="F48" s="67">
        <f>JANEIRO!G49</f>
        <v>0</v>
      </c>
      <c r="G48" s="68">
        <f>JANEIRO!H49</f>
        <v>43</v>
      </c>
      <c r="H48" s="37">
        <f>JANEIRO!I49</f>
        <v>46065</v>
      </c>
      <c r="I48" s="34" t="str">
        <f>JANEIRO!O49</f>
        <v>RECEITAS</v>
      </c>
      <c r="J48">
        <f t="shared" si="1"/>
        <v>12</v>
      </c>
      <c r="K48">
        <f t="shared" si="5"/>
        <v>1</v>
      </c>
      <c r="L48" t="str">
        <f t="shared" si="6"/>
        <v>JAN</v>
      </c>
      <c r="M48">
        <f t="shared" si="2"/>
        <v>12</v>
      </c>
      <c r="N48">
        <f t="shared" si="3"/>
        <v>2</v>
      </c>
      <c r="O48" t="str">
        <f t="shared" si="0"/>
        <v>FEB</v>
      </c>
      <c r="P48" t="str">
        <f t="shared" si="4"/>
        <v>PAGO</v>
      </c>
    </row>
    <row r="49" spans="3:16" x14ac:dyDescent="0.25">
      <c r="C49" s="35">
        <f>JANEIRO!C50</f>
        <v>46035</v>
      </c>
      <c r="D49" s="33" t="str">
        <f>JANEIRO!D50</f>
        <v>RECEITAS COM SERVIÇOS</v>
      </c>
      <c r="E49" s="33" t="str">
        <f>JANEIRO!E50</f>
        <v>-</v>
      </c>
      <c r="F49" s="67">
        <f>JANEIRO!G50</f>
        <v>0</v>
      </c>
      <c r="G49" s="68">
        <f>JANEIRO!H50</f>
        <v>44</v>
      </c>
      <c r="H49" s="37">
        <f>JANEIRO!I50</f>
        <v>46066</v>
      </c>
      <c r="I49" s="34" t="str">
        <f>JANEIRO!O50</f>
        <v>RECEITAS</v>
      </c>
      <c r="J49">
        <f t="shared" si="1"/>
        <v>13</v>
      </c>
      <c r="K49">
        <f t="shared" si="5"/>
        <v>1</v>
      </c>
      <c r="L49" t="str">
        <f t="shared" si="6"/>
        <v>JAN</v>
      </c>
      <c r="M49">
        <f t="shared" si="2"/>
        <v>13</v>
      </c>
      <c r="N49">
        <f t="shared" si="3"/>
        <v>2</v>
      </c>
      <c r="O49" t="str">
        <f t="shared" si="0"/>
        <v>FEB</v>
      </c>
      <c r="P49" t="str">
        <f t="shared" si="4"/>
        <v>PAGO</v>
      </c>
    </row>
    <row r="50" spans="3:16" x14ac:dyDescent="0.25">
      <c r="C50" s="35">
        <f>JANEIRO!C51</f>
        <v>46036</v>
      </c>
      <c r="D50" s="33" t="str">
        <f>JANEIRO!D51</f>
        <v>RECEITAS COM SERVIÇOS</v>
      </c>
      <c r="E50" s="33" t="str">
        <f>JANEIRO!E51</f>
        <v>-</v>
      </c>
      <c r="F50" s="67">
        <f>JANEIRO!G51</f>
        <v>0</v>
      </c>
      <c r="G50" s="68">
        <f>JANEIRO!H51</f>
        <v>45</v>
      </c>
      <c r="H50" s="37">
        <f>JANEIRO!I51</f>
        <v>46067</v>
      </c>
      <c r="I50" s="34" t="str">
        <f>JANEIRO!O51</f>
        <v>RECEITAS</v>
      </c>
      <c r="J50">
        <f t="shared" si="1"/>
        <v>14</v>
      </c>
      <c r="K50">
        <f t="shared" si="5"/>
        <v>1</v>
      </c>
      <c r="L50" t="str">
        <f t="shared" si="6"/>
        <v>JAN</v>
      </c>
      <c r="M50">
        <f t="shared" si="2"/>
        <v>14</v>
      </c>
      <c r="N50">
        <f t="shared" si="3"/>
        <v>2</v>
      </c>
      <c r="O50" t="str">
        <f t="shared" si="0"/>
        <v>FEB</v>
      </c>
      <c r="P50" t="str">
        <f t="shared" si="4"/>
        <v>PAGO</v>
      </c>
    </row>
    <row r="51" spans="3:16" x14ac:dyDescent="0.25">
      <c r="C51" s="35">
        <f>JANEIRO!C52</f>
        <v>46037</v>
      </c>
      <c r="D51" s="33" t="str">
        <f>JANEIRO!D52</f>
        <v>RECEITAS COM SERVIÇOS</v>
      </c>
      <c r="E51" s="33" t="str">
        <f>JANEIRO!E52</f>
        <v>-</v>
      </c>
      <c r="F51" s="67">
        <f>JANEIRO!G52</f>
        <v>0</v>
      </c>
      <c r="G51" s="68">
        <f>JANEIRO!H52</f>
        <v>46</v>
      </c>
      <c r="H51" s="37">
        <f>JANEIRO!I52</f>
        <v>46068</v>
      </c>
      <c r="I51" s="34" t="str">
        <f>JANEIRO!O52</f>
        <v>RECEITAS</v>
      </c>
      <c r="J51">
        <f t="shared" si="1"/>
        <v>15</v>
      </c>
      <c r="K51">
        <f t="shared" si="5"/>
        <v>1</v>
      </c>
      <c r="L51" t="str">
        <f t="shared" si="6"/>
        <v>JAN</v>
      </c>
      <c r="M51">
        <f t="shared" si="2"/>
        <v>15</v>
      </c>
      <c r="N51">
        <f t="shared" si="3"/>
        <v>2</v>
      </c>
      <c r="O51" t="str">
        <f t="shared" si="0"/>
        <v>FEB</v>
      </c>
      <c r="P51" t="str">
        <f t="shared" si="4"/>
        <v>PAGO</v>
      </c>
    </row>
    <row r="52" spans="3:16" x14ac:dyDescent="0.25">
      <c r="C52" s="35">
        <f>JANEIRO!C53</f>
        <v>46038</v>
      </c>
      <c r="D52" s="33" t="str">
        <f>JANEIRO!D53</f>
        <v>RECEITAS COM SERVIÇOS</v>
      </c>
      <c r="E52" s="33" t="str">
        <f>JANEIRO!E53</f>
        <v>-</v>
      </c>
      <c r="F52" s="67">
        <f>JANEIRO!G53</f>
        <v>0</v>
      </c>
      <c r="G52" s="68">
        <f>JANEIRO!H53</f>
        <v>47</v>
      </c>
      <c r="H52" s="37">
        <f>JANEIRO!I53</f>
        <v>46069</v>
      </c>
      <c r="I52" s="34" t="str">
        <f>JANEIRO!O53</f>
        <v>RECEITAS</v>
      </c>
      <c r="J52">
        <f t="shared" si="1"/>
        <v>16</v>
      </c>
      <c r="K52">
        <f t="shared" si="5"/>
        <v>1</v>
      </c>
      <c r="L52" t="str">
        <f t="shared" si="6"/>
        <v>JAN</v>
      </c>
      <c r="M52">
        <f t="shared" si="2"/>
        <v>16</v>
      </c>
      <c r="N52">
        <f t="shared" si="3"/>
        <v>2</v>
      </c>
      <c r="O52" t="str">
        <f t="shared" si="0"/>
        <v>FEB</v>
      </c>
      <c r="P52" t="str">
        <f t="shared" si="4"/>
        <v>PAGO</v>
      </c>
    </row>
    <row r="53" spans="3:16" x14ac:dyDescent="0.25">
      <c r="C53" s="35">
        <f>JANEIRO!C54</f>
        <v>46039</v>
      </c>
      <c r="D53" s="33" t="str">
        <f>JANEIRO!D54</f>
        <v>RECEITAS COM SERVIÇOS</v>
      </c>
      <c r="E53" s="33" t="str">
        <f>JANEIRO!E54</f>
        <v>-</v>
      </c>
      <c r="F53" s="67">
        <f>JANEIRO!G54</f>
        <v>0</v>
      </c>
      <c r="G53" s="68">
        <f>JANEIRO!H54</f>
        <v>48</v>
      </c>
      <c r="H53" s="37">
        <f>JANEIRO!I54</f>
        <v>46070</v>
      </c>
      <c r="I53" s="34" t="str">
        <f>JANEIRO!O54</f>
        <v>RECEITAS</v>
      </c>
      <c r="J53">
        <f t="shared" si="1"/>
        <v>17</v>
      </c>
      <c r="K53">
        <f t="shared" si="5"/>
        <v>1</v>
      </c>
      <c r="L53" t="str">
        <f t="shared" si="6"/>
        <v>JAN</v>
      </c>
      <c r="M53">
        <f t="shared" si="2"/>
        <v>17</v>
      </c>
      <c r="N53">
        <f t="shared" si="3"/>
        <v>2</v>
      </c>
      <c r="O53" t="str">
        <f t="shared" si="0"/>
        <v>FEB</v>
      </c>
      <c r="P53" t="str">
        <f t="shared" si="4"/>
        <v>PAGO</v>
      </c>
    </row>
    <row r="54" spans="3:16" x14ac:dyDescent="0.25">
      <c r="C54" s="35">
        <f>JANEIRO!C55</f>
        <v>46040</v>
      </c>
      <c r="D54" s="33" t="str">
        <f>JANEIRO!D55</f>
        <v>RECEITAS COM SERVIÇOS</v>
      </c>
      <c r="E54" s="33" t="str">
        <f>JANEIRO!E55</f>
        <v>-</v>
      </c>
      <c r="F54" s="67">
        <f>JANEIRO!G55</f>
        <v>0</v>
      </c>
      <c r="G54" s="68">
        <f>JANEIRO!H55</f>
        <v>49</v>
      </c>
      <c r="H54" s="37">
        <f>JANEIRO!I55</f>
        <v>46071</v>
      </c>
      <c r="I54" s="34" t="str">
        <f>JANEIRO!O55</f>
        <v>RECEITAS</v>
      </c>
      <c r="J54">
        <f t="shared" si="1"/>
        <v>18</v>
      </c>
      <c r="K54">
        <f t="shared" si="5"/>
        <v>1</v>
      </c>
      <c r="L54" t="str">
        <f t="shared" si="6"/>
        <v>JAN</v>
      </c>
      <c r="M54">
        <f t="shared" si="2"/>
        <v>18</v>
      </c>
      <c r="N54">
        <f t="shared" si="3"/>
        <v>2</v>
      </c>
      <c r="O54" t="str">
        <f t="shared" si="0"/>
        <v>FEB</v>
      </c>
      <c r="P54" t="str">
        <f t="shared" si="4"/>
        <v>PAGO</v>
      </c>
    </row>
    <row r="55" spans="3:16" x14ac:dyDescent="0.25">
      <c r="C55" s="35">
        <f>JANEIRO!C56</f>
        <v>46041</v>
      </c>
      <c r="D55" s="33" t="str">
        <f>JANEIRO!D56</f>
        <v>RECEITAS COM SERVIÇOS</v>
      </c>
      <c r="E55" s="33" t="str">
        <f>JANEIRO!E56</f>
        <v>-</v>
      </c>
      <c r="F55" s="67">
        <f>JANEIRO!G56</f>
        <v>0</v>
      </c>
      <c r="G55" s="68">
        <f>JANEIRO!H56</f>
        <v>50</v>
      </c>
      <c r="H55" s="37">
        <f>JANEIRO!I56</f>
        <v>46072</v>
      </c>
      <c r="I55" s="34" t="str">
        <f>JANEIRO!O56</f>
        <v>RECEITAS</v>
      </c>
      <c r="J55">
        <f t="shared" si="1"/>
        <v>19</v>
      </c>
      <c r="K55">
        <f t="shared" si="5"/>
        <v>1</v>
      </c>
      <c r="L55" t="str">
        <f t="shared" si="6"/>
        <v>JAN</v>
      </c>
      <c r="M55">
        <f t="shared" si="2"/>
        <v>19</v>
      </c>
      <c r="N55">
        <f t="shared" si="3"/>
        <v>2</v>
      </c>
      <c r="O55" t="str">
        <f t="shared" si="0"/>
        <v>FEB</v>
      </c>
      <c r="P55" t="str">
        <f t="shared" si="4"/>
        <v>PAGO</v>
      </c>
    </row>
    <row r="56" spans="3:16" x14ac:dyDescent="0.25">
      <c r="C56" s="35">
        <f>JANEIRO!C57</f>
        <v>46042</v>
      </c>
      <c r="D56" s="33" t="str">
        <f>JANEIRO!D57</f>
        <v>RECEITAS COM SERVIÇOS</v>
      </c>
      <c r="E56" s="33" t="str">
        <f>JANEIRO!E57</f>
        <v>-</v>
      </c>
      <c r="F56" s="67">
        <f>JANEIRO!G57</f>
        <v>0</v>
      </c>
      <c r="G56" s="68">
        <f>JANEIRO!H57</f>
        <v>51</v>
      </c>
      <c r="H56" s="37">
        <f>JANEIRO!I57</f>
        <v>46073</v>
      </c>
      <c r="I56" s="34" t="str">
        <f>JANEIRO!O57</f>
        <v>RECEITAS</v>
      </c>
      <c r="J56">
        <f t="shared" si="1"/>
        <v>20</v>
      </c>
      <c r="K56">
        <f t="shared" si="5"/>
        <v>1</v>
      </c>
      <c r="L56" t="str">
        <f t="shared" si="6"/>
        <v>JAN</v>
      </c>
      <c r="M56">
        <f t="shared" si="2"/>
        <v>20</v>
      </c>
      <c r="N56">
        <f t="shared" si="3"/>
        <v>2</v>
      </c>
      <c r="O56" t="str">
        <f t="shared" si="0"/>
        <v>FEB</v>
      </c>
      <c r="P56" t="str">
        <f t="shared" si="4"/>
        <v>PAGO</v>
      </c>
    </row>
    <row r="57" spans="3:16" x14ac:dyDescent="0.25">
      <c r="C57" s="35">
        <f>JANEIRO!C58</f>
        <v>46043</v>
      </c>
      <c r="D57" s="33" t="str">
        <f>JANEIRO!D58</f>
        <v>RECEITAS COM SERVIÇOS</v>
      </c>
      <c r="E57" s="33" t="str">
        <f>JANEIRO!E58</f>
        <v>-</v>
      </c>
      <c r="F57" s="67">
        <f>JANEIRO!G58</f>
        <v>0</v>
      </c>
      <c r="G57" s="68">
        <f>JANEIRO!H58</f>
        <v>52</v>
      </c>
      <c r="H57" s="37">
        <f>JANEIRO!I58</f>
        <v>46074</v>
      </c>
      <c r="I57" s="34" t="str">
        <f>JANEIRO!O58</f>
        <v>RECEITAS</v>
      </c>
      <c r="J57">
        <f t="shared" si="1"/>
        <v>21</v>
      </c>
      <c r="K57">
        <f t="shared" si="5"/>
        <v>1</v>
      </c>
      <c r="L57" t="str">
        <f t="shared" si="6"/>
        <v>JAN</v>
      </c>
      <c r="M57">
        <f t="shared" si="2"/>
        <v>21</v>
      </c>
      <c r="N57">
        <f t="shared" si="3"/>
        <v>2</v>
      </c>
      <c r="O57" t="str">
        <f t="shared" si="0"/>
        <v>FEB</v>
      </c>
      <c r="P57" t="str">
        <f t="shared" si="4"/>
        <v>PAGO</v>
      </c>
    </row>
    <row r="58" spans="3:16" x14ac:dyDescent="0.25">
      <c r="C58" s="35">
        <f>JANEIRO!C59</f>
        <v>46044</v>
      </c>
      <c r="D58" s="33" t="str">
        <f>JANEIRO!D59</f>
        <v>RECEITAS COM SERVIÇOS</v>
      </c>
      <c r="E58" s="33" t="str">
        <f>JANEIRO!E59</f>
        <v>-</v>
      </c>
      <c r="F58" s="67">
        <f>JANEIRO!G59</f>
        <v>0</v>
      </c>
      <c r="G58" s="68">
        <f>JANEIRO!H59</f>
        <v>53</v>
      </c>
      <c r="H58" s="37">
        <f>JANEIRO!I59</f>
        <v>46075</v>
      </c>
      <c r="I58" s="34" t="str">
        <f>JANEIRO!O59</f>
        <v>RECEITAS</v>
      </c>
      <c r="J58">
        <f t="shared" si="1"/>
        <v>22</v>
      </c>
      <c r="K58">
        <f t="shared" si="5"/>
        <v>1</v>
      </c>
      <c r="L58" t="str">
        <f t="shared" si="6"/>
        <v>JAN</v>
      </c>
      <c r="M58">
        <f t="shared" si="2"/>
        <v>22</v>
      </c>
      <c r="N58">
        <f t="shared" si="3"/>
        <v>2</v>
      </c>
      <c r="O58" t="str">
        <f t="shared" si="0"/>
        <v>FEB</v>
      </c>
      <c r="P58" t="str">
        <f t="shared" si="4"/>
        <v>PAGO</v>
      </c>
    </row>
    <row r="59" spans="3:16" x14ac:dyDescent="0.25">
      <c r="C59" s="35">
        <f>JANEIRO!C60</f>
        <v>46045</v>
      </c>
      <c r="D59" s="33" t="str">
        <f>JANEIRO!D60</f>
        <v>RECEITAS COM SERVIÇOS</v>
      </c>
      <c r="E59" s="33" t="str">
        <f>JANEIRO!E60</f>
        <v>-</v>
      </c>
      <c r="F59" s="67">
        <f>JANEIRO!G60</f>
        <v>0</v>
      </c>
      <c r="G59" s="68">
        <f>JANEIRO!H60</f>
        <v>54</v>
      </c>
      <c r="H59" s="37">
        <f>JANEIRO!I60</f>
        <v>46076</v>
      </c>
      <c r="I59" s="34" t="str">
        <f>JANEIRO!O60</f>
        <v>RECEITAS</v>
      </c>
      <c r="J59">
        <f t="shared" si="1"/>
        <v>23</v>
      </c>
      <c r="K59">
        <f t="shared" si="5"/>
        <v>1</v>
      </c>
      <c r="L59" t="str">
        <f t="shared" si="6"/>
        <v>JAN</v>
      </c>
      <c r="M59">
        <f t="shared" si="2"/>
        <v>23</v>
      </c>
      <c r="N59">
        <f t="shared" si="3"/>
        <v>2</v>
      </c>
      <c r="O59" t="str">
        <f t="shared" si="0"/>
        <v>FEB</v>
      </c>
      <c r="P59" t="str">
        <f t="shared" si="4"/>
        <v>PAGO</v>
      </c>
    </row>
    <row r="60" spans="3:16" x14ac:dyDescent="0.25">
      <c r="C60" s="35">
        <f>JANEIRO!C61</f>
        <v>46046</v>
      </c>
      <c r="D60" s="33" t="str">
        <f>JANEIRO!D61</f>
        <v>RECEITAS COM SERVIÇOS</v>
      </c>
      <c r="E60" s="33" t="str">
        <f>JANEIRO!E61</f>
        <v>-</v>
      </c>
      <c r="F60" s="67">
        <f>JANEIRO!G61</f>
        <v>0</v>
      </c>
      <c r="G60" s="68">
        <f>JANEIRO!H61</f>
        <v>55</v>
      </c>
      <c r="H60" s="37">
        <f>JANEIRO!I61</f>
        <v>46077</v>
      </c>
      <c r="I60" s="34" t="str">
        <f>JANEIRO!O61</f>
        <v>RECEITAS</v>
      </c>
      <c r="J60">
        <f t="shared" si="1"/>
        <v>24</v>
      </c>
      <c r="K60">
        <f t="shared" si="5"/>
        <v>1</v>
      </c>
      <c r="L60" t="str">
        <f t="shared" si="6"/>
        <v>JAN</v>
      </c>
      <c r="M60">
        <f t="shared" si="2"/>
        <v>24</v>
      </c>
      <c r="N60">
        <f t="shared" si="3"/>
        <v>2</v>
      </c>
      <c r="O60" t="str">
        <f t="shared" si="0"/>
        <v>FEB</v>
      </c>
      <c r="P60" t="str">
        <f t="shared" si="4"/>
        <v>PAGO</v>
      </c>
    </row>
    <row r="61" spans="3:16" x14ac:dyDescent="0.25">
      <c r="C61" s="35">
        <f>JANEIRO!C62</f>
        <v>46047</v>
      </c>
      <c r="D61" s="33" t="str">
        <f>JANEIRO!D62</f>
        <v>RECEITAS COM SERVIÇOS</v>
      </c>
      <c r="E61" s="33" t="str">
        <f>JANEIRO!E62</f>
        <v>-</v>
      </c>
      <c r="F61" s="67">
        <f>JANEIRO!G62</f>
        <v>0</v>
      </c>
      <c r="G61" s="68">
        <f>JANEIRO!H62</f>
        <v>56</v>
      </c>
      <c r="H61" s="37">
        <f>JANEIRO!I62</f>
        <v>46078</v>
      </c>
      <c r="I61" s="34" t="str">
        <f>JANEIRO!O62</f>
        <v>RECEITAS</v>
      </c>
      <c r="J61">
        <f t="shared" si="1"/>
        <v>25</v>
      </c>
      <c r="K61">
        <f t="shared" si="5"/>
        <v>1</v>
      </c>
      <c r="L61" t="str">
        <f t="shared" si="6"/>
        <v>JAN</v>
      </c>
      <c r="M61">
        <f t="shared" si="2"/>
        <v>25</v>
      </c>
      <c r="N61">
        <f t="shared" si="3"/>
        <v>2</v>
      </c>
      <c r="O61" t="str">
        <f t="shared" si="0"/>
        <v>FEB</v>
      </c>
      <c r="P61" t="str">
        <f t="shared" si="4"/>
        <v>PAGO</v>
      </c>
    </row>
    <row r="62" spans="3:16" x14ac:dyDescent="0.25">
      <c r="C62" s="35">
        <f>JANEIRO!C63</f>
        <v>46048</v>
      </c>
      <c r="D62" s="33" t="str">
        <f>JANEIRO!D63</f>
        <v>RECEITAS COM SERVIÇOS</v>
      </c>
      <c r="E62" s="33" t="str">
        <f>JANEIRO!E63</f>
        <v>-</v>
      </c>
      <c r="F62" s="67">
        <f>JANEIRO!G63</f>
        <v>0</v>
      </c>
      <c r="G62" s="68">
        <f>JANEIRO!H63</f>
        <v>57</v>
      </c>
      <c r="H62" s="37">
        <f>JANEIRO!I63</f>
        <v>46079</v>
      </c>
      <c r="I62" s="34" t="str">
        <f>JANEIRO!O63</f>
        <v>RECEITAS</v>
      </c>
      <c r="J62">
        <f t="shared" si="1"/>
        <v>26</v>
      </c>
      <c r="K62">
        <f t="shared" si="5"/>
        <v>1</v>
      </c>
      <c r="L62" t="str">
        <f t="shared" si="6"/>
        <v>JAN</v>
      </c>
      <c r="M62">
        <f t="shared" si="2"/>
        <v>26</v>
      </c>
      <c r="N62">
        <f t="shared" si="3"/>
        <v>2</v>
      </c>
      <c r="O62" t="str">
        <f t="shared" si="0"/>
        <v>FEB</v>
      </c>
      <c r="P62" t="str">
        <f t="shared" si="4"/>
        <v>PAGO</v>
      </c>
    </row>
    <row r="63" spans="3:16" x14ac:dyDescent="0.25">
      <c r="C63" s="35">
        <f>JANEIRO!C64</f>
        <v>46049</v>
      </c>
      <c r="D63" s="33" t="str">
        <f>JANEIRO!D64</f>
        <v>RECEITAS COM SERVIÇOS</v>
      </c>
      <c r="E63" s="33" t="str">
        <f>JANEIRO!E64</f>
        <v>-</v>
      </c>
      <c r="F63" s="67">
        <f>JANEIRO!G64</f>
        <v>0</v>
      </c>
      <c r="G63" s="68">
        <f>JANEIRO!H64</f>
        <v>58</v>
      </c>
      <c r="H63" s="37">
        <f>JANEIRO!I64</f>
        <v>46080</v>
      </c>
      <c r="I63" s="34" t="str">
        <f>JANEIRO!O64</f>
        <v>RECEITAS</v>
      </c>
      <c r="J63">
        <f t="shared" si="1"/>
        <v>27</v>
      </c>
      <c r="K63">
        <f t="shared" si="5"/>
        <v>1</v>
      </c>
      <c r="L63" t="str">
        <f t="shared" si="6"/>
        <v>JAN</v>
      </c>
      <c r="M63">
        <f t="shared" si="2"/>
        <v>27</v>
      </c>
      <c r="N63">
        <f t="shared" si="3"/>
        <v>2</v>
      </c>
      <c r="O63" t="str">
        <f t="shared" si="0"/>
        <v>FEB</v>
      </c>
      <c r="P63" t="str">
        <f t="shared" si="4"/>
        <v>PAGO</v>
      </c>
    </row>
    <row r="64" spans="3:16" x14ac:dyDescent="0.25">
      <c r="C64" s="35">
        <f>JANEIRO!C65</f>
        <v>46050</v>
      </c>
      <c r="D64" s="33" t="str">
        <f>JANEIRO!D65</f>
        <v>RECEITAS COM SERVIÇOS</v>
      </c>
      <c r="E64" s="33" t="str">
        <f>JANEIRO!E65</f>
        <v>-</v>
      </c>
      <c r="F64" s="67">
        <f>JANEIRO!G65</f>
        <v>0</v>
      </c>
      <c r="G64" s="68">
        <f>JANEIRO!H65</f>
        <v>59</v>
      </c>
      <c r="H64" s="37">
        <f>JANEIRO!I65</f>
        <v>46081</v>
      </c>
      <c r="I64" s="34" t="str">
        <f>JANEIRO!O65</f>
        <v>RECEITAS</v>
      </c>
      <c r="J64">
        <f t="shared" si="1"/>
        <v>28</v>
      </c>
      <c r="K64">
        <f t="shared" si="5"/>
        <v>1</v>
      </c>
      <c r="L64" t="str">
        <f t="shared" si="6"/>
        <v>JAN</v>
      </c>
      <c r="M64">
        <f t="shared" si="2"/>
        <v>28</v>
      </c>
      <c r="N64">
        <f t="shared" si="3"/>
        <v>2</v>
      </c>
      <c r="O64" t="str">
        <f t="shared" si="0"/>
        <v>FEB</v>
      </c>
      <c r="P64" t="str">
        <f t="shared" si="4"/>
        <v>PAGO</v>
      </c>
    </row>
    <row r="65" spans="3:16" x14ac:dyDescent="0.25">
      <c r="C65" s="35">
        <f>JANEIRO!C66</f>
        <v>46051</v>
      </c>
      <c r="D65" s="33" t="str">
        <f>JANEIRO!D66</f>
        <v>RECEITAS COM SERVIÇOS</v>
      </c>
      <c r="E65" s="33" t="str">
        <f>JANEIRO!E66</f>
        <v>-</v>
      </c>
      <c r="F65" s="67">
        <f>JANEIRO!G66</f>
        <v>0</v>
      </c>
      <c r="G65" s="68">
        <f>JANEIRO!H66</f>
        <v>60</v>
      </c>
      <c r="H65" s="37">
        <f>JANEIRO!I66</f>
        <v>46082</v>
      </c>
      <c r="I65" s="34" t="str">
        <f>JANEIRO!O66</f>
        <v>RECEITAS</v>
      </c>
      <c r="J65">
        <f t="shared" si="1"/>
        <v>29</v>
      </c>
      <c r="K65">
        <f t="shared" si="5"/>
        <v>1</v>
      </c>
      <c r="L65" t="str">
        <f t="shared" si="6"/>
        <v>JAN</v>
      </c>
      <c r="M65">
        <f t="shared" si="2"/>
        <v>1</v>
      </c>
      <c r="N65">
        <f t="shared" si="3"/>
        <v>3</v>
      </c>
      <c r="O65" t="str">
        <f t="shared" si="0"/>
        <v>MAR</v>
      </c>
      <c r="P65" t="str">
        <f t="shared" si="4"/>
        <v>PAGO</v>
      </c>
    </row>
    <row r="66" spans="3:16" x14ac:dyDescent="0.25">
      <c r="C66" s="35">
        <f>JANEIRO!C67</f>
        <v>46052</v>
      </c>
      <c r="D66" s="33" t="str">
        <f>JANEIRO!D67</f>
        <v>RECEITAS COM SERVIÇOS</v>
      </c>
      <c r="E66" s="33" t="str">
        <f>JANEIRO!E67</f>
        <v>-</v>
      </c>
      <c r="F66" s="67">
        <f>JANEIRO!G67</f>
        <v>0</v>
      </c>
      <c r="G66" s="68">
        <f>JANEIRO!H67</f>
        <v>61</v>
      </c>
      <c r="H66" s="37">
        <f>JANEIRO!I67</f>
        <v>46083</v>
      </c>
      <c r="I66" s="34" t="str">
        <f>JANEIRO!O67</f>
        <v>RECEITAS</v>
      </c>
      <c r="J66">
        <f t="shared" si="1"/>
        <v>30</v>
      </c>
      <c r="K66">
        <f t="shared" si="5"/>
        <v>1</v>
      </c>
      <c r="L66" t="str">
        <f t="shared" si="6"/>
        <v>JAN</v>
      </c>
      <c r="M66">
        <f t="shared" si="2"/>
        <v>2</v>
      </c>
      <c r="N66">
        <f t="shared" si="3"/>
        <v>3</v>
      </c>
      <c r="O66" t="str">
        <f t="shared" si="0"/>
        <v>MAR</v>
      </c>
      <c r="P66" t="str">
        <f t="shared" si="4"/>
        <v>PAGO</v>
      </c>
    </row>
    <row r="67" spans="3:16" x14ac:dyDescent="0.25">
      <c r="C67" s="35">
        <f>JANEIRO!C68</f>
        <v>46023</v>
      </c>
      <c r="D67" s="33" t="str">
        <f>JANEIRO!D68</f>
        <v>RECEITAS COM SERVIÇOS</v>
      </c>
      <c r="E67" s="33" t="str">
        <f>JANEIRO!E68</f>
        <v>-</v>
      </c>
      <c r="F67" s="67">
        <f>JANEIRO!G68</f>
        <v>0</v>
      </c>
      <c r="G67" s="68">
        <f>JANEIRO!H68</f>
        <v>62</v>
      </c>
      <c r="H67" s="37">
        <f>JANEIRO!I68</f>
        <v>46084</v>
      </c>
      <c r="I67" s="34" t="str">
        <f>JANEIRO!O68</f>
        <v>RECEITAS</v>
      </c>
      <c r="J67">
        <f t="shared" si="1"/>
        <v>1</v>
      </c>
      <c r="K67">
        <f t="shared" si="5"/>
        <v>1</v>
      </c>
      <c r="L67" t="str">
        <f t="shared" si="6"/>
        <v>JAN</v>
      </c>
      <c r="M67">
        <f t="shared" si="2"/>
        <v>3</v>
      </c>
      <c r="N67">
        <f t="shared" si="3"/>
        <v>3</v>
      </c>
      <c r="O67" t="str">
        <f t="shared" si="0"/>
        <v>MAR</v>
      </c>
      <c r="P67" t="str">
        <f t="shared" si="4"/>
        <v>PAGO</v>
      </c>
    </row>
    <row r="68" spans="3:16" x14ac:dyDescent="0.25">
      <c r="C68" s="35">
        <f>JANEIRO!C69</f>
        <v>46024</v>
      </c>
      <c r="D68" s="33" t="str">
        <f>JANEIRO!D69</f>
        <v>RECEITAS COM SERVIÇOS</v>
      </c>
      <c r="E68" s="33" t="str">
        <f>JANEIRO!E69</f>
        <v>-</v>
      </c>
      <c r="F68" s="67">
        <f>JANEIRO!G69</f>
        <v>0</v>
      </c>
      <c r="G68" s="68">
        <f>JANEIRO!H69</f>
        <v>63</v>
      </c>
      <c r="H68" s="37">
        <f>JANEIRO!I69</f>
        <v>46023</v>
      </c>
      <c r="I68" s="34" t="str">
        <f>JANEIRO!O69</f>
        <v>RECEITAS</v>
      </c>
      <c r="J68">
        <f t="shared" si="1"/>
        <v>2</v>
      </c>
      <c r="K68">
        <f t="shared" si="5"/>
        <v>1</v>
      </c>
      <c r="L68" t="str">
        <f t="shared" si="6"/>
        <v>JAN</v>
      </c>
      <c r="M68">
        <f t="shared" si="2"/>
        <v>1</v>
      </c>
      <c r="N68">
        <f t="shared" si="3"/>
        <v>1</v>
      </c>
      <c r="O68" t="str">
        <f t="shared" si="0"/>
        <v>JAN</v>
      </c>
      <c r="P68" t="str">
        <f t="shared" si="4"/>
        <v>PAGO</v>
      </c>
    </row>
    <row r="69" spans="3:16" x14ac:dyDescent="0.25">
      <c r="C69" s="35">
        <f>JANEIRO!C70</f>
        <v>46025</v>
      </c>
      <c r="D69" s="33" t="str">
        <f>JANEIRO!D70</f>
        <v>RECEITAS COM SERVIÇOS</v>
      </c>
      <c r="E69" s="33" t="str">
        <f>JANEIRO!E70</f>
        <v>-</v>
      </c>
      <c r="F69" s="67">
        <f>JANEIRO!G70</f>
        <v>0</v>
      </c>
      <c r="G69" s="68">
        <f>JANEIRO!H70</f>
        <v>64</v>
      </c>
      <c r="H69" s="37">
        <f>JANEIRO!I70</f>
        <v>46024</v>
      </c>
      <c r="I69" s="34" t="str">
        <f>JANEIRO!O70</f>
        <v>RECEITAS</v>
      </c>
      <c r="J69">
        <f t="shared" si="1"/>
        <v>3</v>
      </c>
      <c r="K69">
        <f t="shared" si="5"/>
        <v>1</v>
      </c>
      <c r="L69" t="str">
        <f t="shared" si="6"/>
        <v>JAN</v>
      </c>
      <c r="M69">
        <f t="shared" si="2"/>
        <v>2</v>
      </c>
      <c r="N69">
        <f t="shared" si="3"/>
        <v>1</v>
      </c>
      <c r="O69" t="str">
        <f t="shared" si="0"/>
        <v>JAN</v>
      </c>
      <c r="P69" t="str">
        <f t="shared" si="4"/>
        <v>PAGO</v>
      </c>
    </row>
    <row r="70" spans="3:16" x14ac:dyDescent="0.25">
      <c r="C70" s="35">
        <f>JANEIRO!C71</f>
        <v>46026</v>
      </c>
      <c r="D70" s="33" t="str">
        <f>JANEIRO!D71</f>
        <v>RECEITAS COM SERVIÇOS</v>
      </c>
      <c r="E70" s="33" t="str">
        <f>JANEIRO!E71</f>
        <v>-</v>
      </c>
      <c r="F70" s="67">
        <f>JANEIRO!G71</f>
        <v>0</v>
      </c>
      <c r="G70" s="68">
        <f>JANEIRO!H71</f>
        <v>65</v>
      </c>
      <c r="H70" s="37">
        <f>JANEIRO!I71</f>
        <v>46025</v>
      </c>
      <c r="I70" s="34" t="str">
        <f>JANEIRO!O71</f>
        <v>RECEITAS</v>
      </c>
      <c r="J70">
        <f t="shared" si="1"/>
        <v>4</v>
      </c>
      <c r="K70">
        <f t="shared" si="5"/>
        <v>1</v>
      </c>
      <c r="L70" t="str">
        <f t="shared" si="6"/>
        <v>JAN</v>
      </c>
      <c r="M70">
        <f t="shared" si="2"/>
        <v>3</v>
      </c>
      <c r="N70">
        <f t="shared" si="3"/>
        <v>1</v>
      </c>
      <c r="O70" t="str">
        <f t="shared" ref="O70:O85" si="7">IFERROR(VLOOKUP(N70,$R$6:$S$17,2),"")</f>
        <v>JAN</v>
      </c>
      <c r="P70" t="str">
        <f t="shared" si="4"/>
        <v>PAGO</v>
      </c>
    </row>
    <row r="71" spans="3:16" x14ac:dyDescent="0.25">
      <c r="C71" s="35">
        <f>JANEIRO!C72</f>
        <v>46027</v>
      </c>
      <c r="D71" s="33" t="str">
        <f>JANEIRO!D72</f>
        <v>RECEITAS COM SERVIÇOS</v>
      </c>
      <c r="E71" s="33" t="str">
        <f>JANEIRO!E72</f>
        <v>-</v>
      </c>
      <c r="F71" s="67">
        <f>JANEIRO!G72</f>
        <v>0</v>
      </c>
      <c r="G71" s="68">
        <f>JANEIRO!H72</f>
        <v>66</v>
      </c>
      <c r="H71" s="37">
        <f>JANEIRO!I72</f>
        <v>46026</v>
      </c>
      <c r="I71" s="34" t="str">
        <f>JANEIRO!O72</f>
        <v>RECEITAS</v>
      </c>
      <c r="J71">
        <f t="shared" ref="J71:J134" si="8">DAY(C71)</f>
        <v>5</v>
      </c>
      <c r="K71">
        <f t="shared" ref="K71:K134" si="9">IF(C71 = 0, " ",MONTH(C71))</f>
        <v>1</v>
      </c>
      <c r="L71" t="str">
        <f t="shared" ref="L71:L134" si="10">IFERROR(VLOOKUP(K71,$R$6:$S$17,2),"")</f>
        <v>JAN</v>
      </c>
      <c r="M71">
        <f t="shared" ref="M71:M134" si="11">DAY(H71)</f>
        <v>4</v>
      </c>
      <c r="N71">
        <f t="shared" ref="N71:N134" si="12">IF(H71 = 0, " ",MONTH(H71))</f>
        <v>1</v>
      </c>
      <c r="O71" t="str">
        <f t="shared" si="7"/>
        <v>JAN</v>
      </c>
      <c r="P71" t="str">
        <f t="shared" ref="P71:P134" si="13">IF(H71=0,"NAO PAGO","PAGO")</f>
        <v>PAGO</v>
      </c>
    </row>
    <row r="72" spans="3:16" x14ac:dyDescent="0.25">
      <c r="C72" s="35">
        <f>JANEIRO!C73</f>
        <v>46028</v>
      </c>
      <c r="D72" s="33" t="str">
        <f>JANEIRO!D73</f>
        <v>RECEITAS COM SERVIÇOS</v>
      </c>
      <c r="E72" s="33" t="str">
        <f>JANEIRO!E73</f>
        <v>-</v>
      </c>
      <c r="F72" s="67">
        <f>JANEIRO!G73</f>
        <v>0</v>
      </c>
      <c r="G72" s="68">
        <f>JANEIRO!H73</f>
        <v>67</v>
      </c>
      <c r="H72" s="37">
        <f>JANEIRO!I73</f>
        <v>46027</v>
      </c>
      <c r="I72" s="34" t="str">
        <f>JANEIRO!O73</f>
        <v>RECEITAS</v>
      </c>
      <c r="J72">
        <f t="shared" si="8"/>
        <v>6</v>
      </c>
      <c r="K72">
        <f t="shared" si="9"/>
        <v>1</v>
      </c>
      <c r="L72" t="str">
        <f t="shared" si="10"/>
        <v>JAN</v>
      </c>
      <c r="M72">
        <f t="shared" si="11"/>
        <v>5</v>
      </c>
      <c r="N72">
        <f t="shared" si="12"/>
        <v>1</v>
      </c>
      <c r="O72" t="str">
        <f t="shared" si="7"/>
        <v>JAN</v>
      </c>
      <c r="P72" t="str">
        <f t="shared" si="13"/>
        <v>PAGO</v>
      </c>
    </row>
    <row r="73" spans="3:16" x14ac:dyDescent="0.25">
      <c r="C73" s="35">
        <f>JANEIRO!C74</f>
        <v>46029</v>
      </c>
      <c r="D73" s="33" t="str">
        <f>JANEIRO!D74</f>
        <v>RECEITAS COM SERVIÇOS</v>
      </c>
      <c r="E73" s="33" t="str">
        <f>JANEIRO!E74</f>
        <v>-</v>
      </c>
      <c r="F73" s="67">
        <f>JANEIRO!G74</f>
        <v>0</v>
      </c>
      <c r="G73" s="68">
        <f>JANEIRO!H74</f>
        <v>68</v>
      </c>
      <c r="H73" s="37">
        <f>JANEIRO!I74</f>
        <v>46028</v>
      </c>
      <c r="I73" s="34" t="str">
        <f>JANEIRO!O74</f>
        <v>RECEITAS</v>
      </c>
      <c r="J73">
        <f t="shared" si="8"/>
        <v>7</v>
      </c>
      <c r="K73">
        <f t="shared" si="9"/>
        <v>1</v>
      </c>
      <c r="L73" t="str">
        <f t="shared" si="10"/>
        <v>JAN</v>
      </c>
      <c r="M73">
        <f t="shared" si="11"/>
        <v>6</v>
      </c>
      <c r="N73">
        <f t="shared" si="12"/>
        <v>1</v>
      </c>
      <c r="O73" t="str">
        <f t="shared" si="7"/>
        <v>JAN</v>
      </c>
      <c r="P73" t="str">
        <f t="shared" si="13"/>
        <v>PAGO</v>
      </c>
    </row>
    <row r="74" spans="3:16" x14ac:dyDescent="0.25">
      <c r="C74" s="35">
        <f>JANEIRO!C75</f>
        <v>46030</v>
      </c>
      <c r="D74" s="33" t="str">
        <f>JANEIRO!D75</f>
        <v>RECEITAS COM SERVIÇOS</v>
      </c>
      <c r="E74" s="33" t="str">
        <f>JANEIRO!E75</f>
        <v>-</v>
      </c>
      <c r="F74" s="67">
        <f>JANEIRO!G75</f>
        <v>0</v>
      </c>
      <c r="G74" s="68">
        <f>JANEIRO!H75</f>
        <v>69</v>
      </c>
      <c r="H74" s="37">
        <f>JANEIRO!I75</f>
        <v>46029</v>
      </c>
      <c r="I74" s="34" t="str">
        <f>JANEIRO!O75</f>
        <v>RECEITAS</v>
      </c>
      <c r="J74">
        <f t="shared" si="8"/>
        <v>8</v>
      </c>
      <c r="K74">
        <f t="shared" si="9"/>
        <v>1</v>
      </c>
      <c r="L74" t="str">
        <f t="shared" si="10"/>
        <v>JAN</v>
      </c>
      <c r="M74">
        <f t="shared" si="11"/>
        <v>7</v>
      </c>
      <c r="N74">
        <f t="shared" si="12"/>
        <v>1</v>
      </c>
      <c r="O74" t="str">
        <f t="shared" si="7"/>
        <v>JAN</v>
      </c>
      <c r="P74" t="str">
        <f t="shared" si="13"/>
        <v>PAGO</v>
      </c>
    </row>
    <row r="75" spans="3:16" x14ac:dyDescent="0.25">
      <c r="C75" s="35">
        <f>JANEIRO!C76</f>
        <v>46031</v>
      </c>
      <c r="D75" s="33" t="str">
        <f>JANEIRO!D76</f>
        <v>RECEITAS COM SERVIÇOS</v>
      </c>
      <c r="E75" s="33" t="str">
        <f>JANEIRO!E76</f>
        <v>-</v>
      </c>
      <c r="F75" s="67">
        <f>JANEIRO!G76</f>
        <v>0</v>
      </c>
      <c r="G75" s="68">
        <f>JANEIRO!H76</f>
        <v>70</v>
      </c>
      <c r="H75" s="37">
        <f>JANEIRO!I76</f>
        <v>46030</v>
      </c>
      <c r="I75" s="34" t="str">
        <f>JANEIRO!O76</f>
        <v>RECEITAS</v>
      </c>
      <c r="J75">
        <f t="shared" si="8"/>
        <v>9</v>
      </c>
      <c r="K75">
        <f t="shared" si="9"/>
        <v>1</v>
      </c>
      <c r="L75" t="str">
        <f t="shared" si="10"/>
        <v>JAN</v>
      </c>
      <c r="M75">
        <f t="shared" si="11"/>
        <v>8</v>
      </c>
      <c r="N75">
        <f t="shared" si="12"/>
        <v>1</v>
      </c>
      <c r="O75" t="str">
        <f t="shared" si="7"/>
        <v>JAN</v>
      </c>
      <c r="P75" t="str">
        <f t="shared" si="13"/>
        <v>PAGO</v>
      </c>
    </row>
    <row r="76" spans="3:16" x14ac:dyDescent="0.25">
      <c r="C76" s="35">
        <f>JANEIRO!C77</f>
        <v>46032</v>
      </c>
      <c r="D76" s="33" t="str">
        <f>JANEIRO!D77</f>
        <v>RECEITAS COM SERVIÇOS</v>
      </c>
      <c r="E76" s="33" t="str">
        <f>JANEIRO!E77</f>
        <v>-</v>
      </c>
      <c r="F76" s="67">
        <f>JANEIRO!G77</f>
        <v>0</v>
      </c>
      <c r="G76" s="68">
        <f>JANEIRO!H77</f>
        <v>71</v>
      </c>
      <c r="H76" s="37">
        <f>JANEIRO!I77</f>
        <v>46031</v>
      </c>
      <c r="I76" s="34" t="str">
        <f>JANEIRO!O77</f>
        <v>RECEITAS</v>
      </c>
      <c r="J76">
        <f t="shared" si="8"/>
        <v>10</v>
      </c>
      <c r="K76">
        <f t="shared" si="9"/>
        <v>1</v>
      </c>
      <c r="L76" t="str">
        <f t="shared" si="10"/>
        <v>JAN</v>
      </c>
      <c r="M76">
        <f t="shared" si="11"/>
        <v>9</v>
      </c>
      <c r="N76">
        <f t="shared" si="12"/>
        <v>1</v>
      </c>
      <c r="O76" t="str">
        <f t="shared" si="7"/>
        <v>JAN</v>
      </c>
      <c r="P76" t="str">
        <f t="shared" si="13"/>
        <v>PAGO</v>
      </c>
    </row>
    <row r="77" spans="3:16" x14ac:dyDescent="0.25">
      <c r="C77" s="35">
        <f>JANEIRO!C78</f>
        <v>46033</v>
      </c>
      <c r="D77" s="33" t="str">
        <f>JANEIRO!D78</f>
        <v>RECEITAS COM SERVIÇOS</v>
      </c>
      <c r="E77" s="33" t="str">
        <f>JANEIRO!E78</f>
        <v>-</v>
      </c>
      <c r="F77" s="67">
        <f>JANEIRO!G78</f>
        <v>0</v>
      </c>
      <c r="G77" s="68">
        <f>JANEIRO!H78</f>
        <v>72</v>
      </c>
      <c r="H77" s="37">
        <f>JANEIRO!I78</f>
        <v>46032</v>
      </c>
      <c r="I77" s="34" t="str">
        <f>JANEIRO!O78</f>
        <v>RECEITAS</v>
      </c>
      <c r="J77">
        <f t="shared" si="8"/>
        <v>11</v>
      </c>
      <c r="K77">
        <f t="shared" si="9"/>
        <v>1</v>
      </c>
      <c r="L77" t="str">
        <f t="shared" si="10"/>
        <v>JAN</v>
      </c>
      <c r="M77">
        <f t="shared" si="11"/>
        <v>10</v>
      </c>
      <c r="N77">
        <f t="shared" si="12"/>
        <v>1</v>
      </c>
      <c r="O77" t="str">
        <f t="shared" si="7"/>
        <v>JAN</v>
      </c>
      <c r="P77" t="str">
        <f t="shared" si="13"/>
        <v>PAGO</v>
      </c>
    </row>
    <row r="78" spans="3:16" x14ac:dyDescent="0.25">
      <c r="C78" s="35">
        <f>JANEIRO!C79</f>
        <v>46034</v>
      </c>
      <c r="D78" s="33" t="str">
        <f>JANEIRO!D79</f>
        <v>RECEITAS COM SERVIÇOS</v>
      </c>
      <c r="E78" s="33" t="str">
        <f>JANEIRO!E79</f>
        <v>-</v>
      </c>
      <c r="F78" s="67">
        <f>JANEIRO!G79</f>
        <v>0</v>
      </c>
      <c r="G78" s="68">
        <f>JANEIRO!H79</f>
        <v>73</v>
      </c>
      <c r="H78" s="37">
        <f>JANEIRO!I79</f>
        <v>46033</v>
      </c>
      <c r="I78" s="34" t="str">
        <f>JANEIRO!O79</f>
        <v>RECEITAS</v>
      </c>
      <c r="J78">
        <f t="shared" si="8"/>
        <v>12</v>
      </c>
      <c r="K78">
        <f t="shared" si="9"/>
        <v>1</v>
      </c>
      <c r="L78" t="str">
        <f t="shared" si="10"/>
        <v>JAN</v>
      </c>
      <c r="M78">
        <f t="shared" si="11"/>
        <v>11</v>
      </c>
      <c r="N78">
        <f t="shared" si="12"/>
        <v>1</v>
      </c>
      <c r="O78" t="str">
        <f t="shared" si="7"/>
        <v>JAN</v>
      </c>
      <c r="P78" t="str">
        <f t="shared" si="13"/>
        <v>PAGO</v>
      </c>
    </row>
    <row r="79" spans="3:16" x14ac:dyDescent="0.25">
      <c r="C79" s="35">
        <f>JANEIRO!C80</f>
        <v>46035</v>
      </c>
      <c r="D79" s="33" t="str">
        <f>JANEIRO!D80</f>
        <v>RECEITAS COM SERVIÇOS</v>
      </c>
      <c r="E79" s="33" t="str">
        <f>JANEIRO!E80</f>
        <v>-</v>
      </c>
      <c r="F79" s="67" t="str">
        <f>JANEIRO!G80</f>
        <v>BENFICA</v>
      </c>
      <c r="G79" s="68">
        <f>JANEIRO!H80</f>
        <v>74</v>
      </c>
      <c r="H79" s="37">
        <f>JANEIRO!I80</f>
        <v>46034</v>
      </c>
      <c r="I79" s="34" t="str">
        <f>JANEIRO!O80</f>
        <v>RECEITAS</v>
      </c>
      <c r="J79">
        <f t="shared" si="8"/>
        <v>13</v>
      </c>
      <c r="K79">
        <f t="shared" si="9"/>
        <v>1</v>
      </c>
      <c r="L79" t="str">
        <f t="shared" si="10"/>
        <v>JAN</v>
      </c>
      <c r="M79">
        <f t="shared" si="11"/>
        <v>12</v>
      </c>
      <c r="N79">
        <f t="shared" si="12"/>
        <v>1</v>
      </c>
      <c r="O79" t="str">
        <f t="shared" si="7"/>
        <v>JAN</v>
      </c>
      <c r="P79" t="str">
        <f t="shared" si="13"/>
        <v>PAGO</v>
      </c>
    </row>
    <row r="80" spans="3:16" ht="30" x14ac:dyDescent="0.25">
      <c r="C80" s="35">
        <f>JANEIRO!C81</f>
        <v>46036</v>
      </c>
      <c r="D80" s="33" t="str">
        <f>JANEIRO!D81</f>
        <v>DESPESAS COM MARKETING</v>
      </c>
      <c r="E80" s="33" t="str">
        <f>JANEIRO!E81</f>
        <v>MARKETING ONLINE</v>
      </c>
      <c r="F80" s="67">
        <f>JANEIRO!G81</f>
        <v>0</v>
      </c>
      <c r="G80" s="68">
        <f>JANEIRO!H81</f>
        <v>75</v>
      </c>
      <c r="H80" s="37">
        <f>JANEIRO!I81</f>
        <v>46035</v>
      </c>
      <c r="I80" s="34" t="str">
        <f>JANEIRO!O81</f>
        <v>DESPESAS</v>
      </c>
      <c r="J80">
        <f t="shared" si="8"/>
        <v>14</v>
      </c>
      <c r="K80">
        <f t="shared" si="9"/>
        <v>1</v>
      </c>
      <c r="L80" t="str">
        <f t="shared" si="10"/>
        <v>JAN</v>
      </c>
      <c r="M80">
        <f t="shared" si="11"/>
        <v>13</v>
      </c>
      <c r="N80">
        <f t="shared" si="12"/>
        <v>1</v>
      </c>
      <c r="O80" t="str">
        <f t="shared" si="7"/>
        <v>JAN</v>
      </c>
      <c r="P80" t="str">
        <f t="shared" si="13"/>
        <v>PAGO</v>
      </c>
    </row>
    <row r="81" spans="2:16" x14ac:dyDescent="0.25">
      <c r="C81" s="35">
        <f>JANEIRO!C82</f>
        <v>46037</v>
      </c>
      <c r="D81" s="33" t="str">
        <f>JANEIRO!D82</f>
        <v>RECEITAS COM SERVIÇOS</v>
      </c>
      <c r="E81" s="33" t="str">
        <f>JANEIRO!E82</f>
        <v>-</v>
      </c>
      <c r="F81" s="67">
        <f>JANEIRO!G82</f>
        <v>0</v>
      </c>
      <c r="G81" s="68">
        <f>JANEIRO!H82</f>
        <v>76</v>
      </c>
      <c r="H81" s="37">
        <f>JANEIRO!I82</f>
        <v>46036</v>
      </c>
      <c r="I81" s="34" t="str">
        <f>JANEIRO!O82</f>
        <v>RECEITAS</v>
      </c>
      <c r="J81">
        <f t="shared" si="8"/>
        <v>15</v>
      </c>
      <c r="K81">
        <f t="shared" si="9"/>
        <v>1</v>
      </c>
      <c r="L81" t="str">
        <f t="shared" si="10"/>
        <v>JAN</v>
      </c>
      <c r="M81">
        <f t="shared" si="11"/>
        <v>14</v>
      </c>
      <c r="N81">
        <f t="shared" si="12"/>
        <v>1</v>
      </c>
      <c r="O81" t="str">
        <f t="shared" si="7"/>
        <v>JAN</v>
      </c>
      <c r="P81" t="str">
        <f t="shared" si="13"/>
        <v>PAGO</v>
      </c>
    </row>
    <row r="82" spans="2:16" x14ac:dyDescent="0.25">
      <c r="C82" s="35">
        <f>JANEIRO!C83</f>
        <v>46038</v>
      </c>
      <c r="D82" s="33" t="str">
        <f>JANEIRO!D83</f>
        <v>RECEITAS COM SERVIÇOS</v>
      </c>
      <c r="E82" s="33" t="str">
        <f>JANEIRO!E83</f>
        <v>-</v>
      </c>
      <c r="F82" s="67">
        <f>JANEIRO!G83</f>
        <v>0</v>
      </c>
      <c r="G82" s="68">
        <f>JANEIRO!H83</f>
        <v>77</v>
      </c>
      <c r="H82" s="37">
        <f>JANEIRO!I83</f>
        <v>46037</v>
      </c>
      <c r="I82" s="34" t="str">
        <f>JANEIRO!O83</f>
        <v>RECEITAS</v>
      </c>
      <c r="J82">
        <f t="shared" si="8"/>
        <v>16</v>
      </c>
      <c r="K82">
        <f t="shared" si="9"/>
        <v>1</v>
      </c>
      <c r="L82" t="str">
        <f t="shared" si="10"/>
        <v>JAN</v>
      </c>
      <c r="M82">
        <f t="shared" si="11"/>
        <v>15</v>
      </c>
      <c r="N82">
        <f t="shared" si="12"/>
        <v>1</v>
      </c>
      <c r="O82" t="str">
        <f t="shared" si="7"/>
        <v>JAN</v>
      </c>
      <c r="P82" t="str">
        <f t="shared" si="13"/>
        <v>PAGO</v>
      </c>
    </row>
    <row r="83" spans="2:16" x14ac:dyDescent="0.25">
      <c r="C83" s="35">
        <f>JANEIRO!C84</f>
        <v>46039</v>
      </c>
      <c r="D83" s="33" t="str">
        <f>JANEIRO!D84</f>
        <v>RECEITAS COM SERVIÇOS</v>
      </c>
      <c r="E83" s="33" t="str">
        <f>JANEIRO!E84</f>
        <v>-</v>
      </c>
      <c r="F83" s="67" t="str">
        <f>JANEIRO!G84</f>
        <v>CALEMBA 2</v>
      </c>
      <c r="G83" s="68">
        <f>JANEIRO!H84</f>
        <v>78</v>
      </c>
      <c r="H83" s="37">
        <f>JANEIRO!I84</f>
        <v>46038</v>
      </c>
      <c r="I83" s="34" t="str">
        <f>JANEIRO!O84</f>
        <v>RECEITAS</v>
      </c>
      <c r="J83">
        <f t="shared" si="8"/>
        <v>17</v>
      </c>
      <c r="K83">
        <f t="shared" si="9"/>
        <v>1</v>
      </c>
      <c r="L83" t="str">
        <f t="shared" si="10"/>
        <v>JAN</v>
      </c>
      <c r="M83">
        <f t="shared" si="11"/>
        <v>16</v>
      </c>
      <c r="N83">
        <f t="shared" si="12"/>
        <v>1</v>
      </c>
      <c r="O83" t="str">
        <f t="shared" si="7"/>
        <v>JAN</v>
      </c>
      <c r="P83" t="str">
        <f t="shared" si="13"/>
        <v>PAGO</v>
      </c>
    </row>
    <row r="84" spans="2:16" x14ac:dyDescent="0.25">
      <c r="B84" s="44" t="s">
        <v>89</v>
      </c>
      <c r="C84" s="35">
        <f>FEVEREIRO!C7</f>
        <v>46054</v>
      </c>
      <c r="D84" s="35" t="str">
        <f>FEVEREIRO!D7</f>
        <v>RECEITAS COM SERVIÇOS</v>
      </c>
      <c r="E84" s="35" t="str">
        <f>FEVEREIRO!E7</f>
        <v>MARKETING OFFLINE</v>
      </c>
      <c r="F84" s="67">
        <f>FEVEREIRO!G7</f>
        <v>0</v>
      </c>
      <c r="G84" s="68">
        <f>FEVEREIRO!H7</f>
        <v>1</v>
      </c>
      <c r="H84" s="37">
        <f>FEVEREIRO!I7</f>
        <v>46307</v>
      </c>
      <c r="I84" s="34" t="str">
        <f>FEVEREIRO!O7</f>
        <v>RECEITAS</v>
      </c>
      <c r="J84">
        <f t="shared" si="8"/>
        <v>1</v>
      </c>
      <c r="K84">
        <f t="shared" si="9"/>
        <v>2</v>
      </c>
      <c r="L84" t="str">
        <f t="shared" si="10"/>
        <v>FEB</v>
      </c>
      <c r="M84">
        <f t="shared" si="11"/>
        <v>12</v>
      </c>
      <c r="N84">
        <f t="shared" si="12"/>
        <v>10</v>
      </c>
      <c r="O84" t="str">
        <f t="shared" si="7"/>
        <v>OCT</v>
      </c>
      <c r="P84" t="str">
        <f t="shared" si="13"/>
        <v>PAGO</v>
      </c>
    </row>
    <row r="85" spans="2:16" ht="30" x14ac:dyDescent="0.25">
      <c r="C85" s="35">
        <f>FEVEREIRO!C8</f>
        <v>46055</v>
      </c>
      <c r="D85" s="35" t="str">
        <f>FEVEREIRO!D8</f>
        <v>DESPESAS COM PRODUTOS</v>
      </c>
      <c r="E85" s="35" t="str">
        <f>FEVEREIRO!E8</f>
        <v>-</v>
      </c>
      <c r="F85" s="67">
        <f>FEVEREIRO!G8</f>
        <v>0</v>
      </c>
      <c r="G85" s="68">
        <f>FEVEREIRO!H8</f>
        <v>2</v>
      </c>
      <c r="H85" s="37">
        <f>FEVEREIRO!I8</f>
        <v>46073</v>
      </c>
      <c r="I85" s="34" t="str">
        <f>FEVEREIRO!O8</f>
        <v>DESPESAS</v>
      </c>
      <c r="J85">
        <f t="shared" si="8"/>
        <v>2</v>
      </c>
      <c r="K85">
        <f t="shared" si="9"/>
        <v>2</v>
      </c>
      <c r="L85" t="str">
        <f t="shared" si="10"/>
        <v>FEB</v>
      </c>
      <c r="M85">
        <f t="shared" si="11"/>
        <v>20</v>
      </c>
      <c r="N85">
        <f t="shared" si="12"/>
        <v>2</v>
      </c>
      <c r="O85" t="str">
        <f t="shared" si="7"/>
        <v>FEB</v>
      </c>
      <c r="P85" t="str">
        <f t="shared" si="13"/>
        <v>PAGO</v>
      </c>
    </row>
    <row r="86" spans="2:16" x14ac:dyDescent="0.25">
      <c r="C86" s="35">
        <f>FEVEREIRO!C9</f>
        <v>46056</v>
      </c>
      <c r="D86" s="35" t="str">
        <f>FEVEREIRO!D9</f>
        <v>DESPESAS COM RH</v>
      </c>
      <c r="E86" s="35" t="str">
        <f>FEVEREIRO!E9</f>
        <v>MARKETING OFFLINE</v>
      </c>
      <c r="F86" s="67">
        <f>FEVEREIRO!G9</f>
        <v>0</v>
      </c>
      <c r="G86" s="68">
        <f>FEVEREIRO!H9</f>
        <v>20</v>
      </c>
      <c r="H86" s="37">
        <f>FEVEREIRO!I9</f>
        <v>46074</v>
      </c>
      <c r="I86" s="34" t="str">
        <f>FEVEREIRO!O9</f>
        <v>DESPESAS</v>
      </c>
      <c r="J86">
        <f t="shared" si="8"/>
        <v>3</v>
      </c>
      <c r="K86">
        <f t="shared" si="9"/>
        <v>2</v>
      </c>
      <c r="L86" t="str">
        <f t="shared" si="10"/>
        <v>FEB</v>
      </c>
      <c r="M86">
        <f t="shared" si="11"/>
        <v>21</v>
      </c>
      <c r="N86">
        <f t="shared" si="12"/>
        <v>2</v>
      </c>
      <c r="O86" t="str">
        <f>IFERROR(VLOOKUP(N86,$R$6:$S$17,2),"")</f>
        <v>FEB</v>
      </c>
      <c r="P86" t="str">
        <f t="shared" si="13"/>
        <v>PAGO</v>
      </c>
    </row>
    <row r="87" spans="2:16" ht="30" x14ac:dyDescent="0.25">
      <c r="C87" s="35">
        <f>FEVEREIRO!C10</f>
        <v>46057</v>
      </c>
      <c r="D87" s="35" t="str">
        <f>FEVEREIRO!D10</f>
        <v>DESPESAS COM PRODUTOS</v>
      </c>
      <c r="E87" s="35" t="str">
        <f>FEVEREIRO!E10</f>
        <v>SALARIO</v>
      </c>
      <c r="F87" s="67">
        <f>FEVEREIRO!G10</f>
        <v>0</v>
      </c>
      <c r="G87" s="68">
        <f>FEVEREIRO!H10</f>
        <v>4</v>
      </c>
      <c r="H87" s="37">
        <f>FEVEREIRO!I10</f>
        <v>46075</v>
      </c>
      <c r="I87" s="34" t="str">
        <f>FEVEREIRO!O10</f>
        <v>DESPESAS</v>
      </c>
      <c r="J87">
        <f t="shared" si="8"/>
        <v>4</v>
      </c>
      <c r="K87">
        <f t="shared" si="9"/>
        <v>2</v>
      </c>
      <c r="L87" t="str">
        <f t="shared" si="10"/>
        <v>FEB</v>
      </c>
      <c r="M87">
        <f t="shared" si="11"/>
        <v>22</v>
      </c>
      <c r="N87">
        <f t="shared" si="12"/>
        <v>2</v>
      </c>
      <c r="O87" t="str">
        <f t="shared" ref="O87:O150" si="14">IFERROR(VLOOKUP(N87,$R$6:$S$17,2),"")</f>
        <v>FEB</v>
      </c>
      <c r="P87" t="str">
        <f t="shared" si="13"/>
        <v>PAGO</v>
      </c>
    </row>
    <row r="88" spans="2:16" ht="30" x14ac:dyDescent="0.25">
      <c r="C88" s="35">
        <f>FEVEREIRO!C11</f>
        <v>46058</v>
      </c>
      <c r="D88" s="35" t="str">
        <f>FEVEREIRO!D11</f>
        <v>DESPESAS COM PRODUTOS</v>
      </c>
      <c r="E88" s="35" t="str">
        <f>FEVEREIRO!E11</f>
        <v>TERCERIZADOS</v>
      </c>
      <c r="F88" s="67">
        <f>FEVEREIRO!G11</f>
        <v>0</v>
      </c>
      <c r="G88" s="68">
        <f>FEVEREIRO!H11</f>
        <v>5</v>
      </c>
      <c r="H88" s="37">
        <f>FEVEREIRO!I11</f>
        <v>46076</v>
      </c>
      <c r="I88" s="34" t="str">
        <f>FEVEREIRO!O11</f>
        <v>DESPESAS</v>
      </c>
      <c r="J88">
        <f t="shared" si="8"/>
        <v>5</v>
      </c>
      <c r="K88">
        <f t="shared" si="9"/>
        <v>2</v>
      </c>
      <c r="L88" t="str">
        <f t="shared" si="10"/>
        <v>FEB</v>
      </c>
      <c r="M88">
        <f t="shared" si="11"/>
        <v>23</v>
      </c>
      <c r="N88">
        <f t="shared" si="12"/>
        <v>2</v>
      </c>
      <c r="O88" t="str">
        <f t="shared" si="14"/>
        <v>FEB</v>
      </c>
      <c r="P88" t="str">
        <f t="shared" si="13"/>
        <v>PAGO</v>
      </c>
    </row>
    <row r="89" spans="2:16" ht="30" x14ac:dyDescent="0.25">
      <c r="C89" s="35">
        <f>FEVEREIRO!C12</f>
        <v>46059</v>
      </c>
      <c r="D89" s="35" t="str">
        <f>FEVEREIRO!D12</f>
        <v>DESPESAS COM PRODUTOS</v>
      </c>
      <c r="E89" s="35" t="str">
        <f>FEVEREIRO!E12</f>
        <v>MARKETING OFFLINE</v>
      </c>
      <c r="F89" s="67" t="str">
        <f>FEVEREIRO!G12</f>
        <v>BENFICA</v>
      </c>
      <c r="G89" s="68">
        <f>FEVEREIRO!H12</f>
        <v>6</v>
      </c>
      <c r="H89" s="37">
        <f>FEVEREIRO!I12</f>
        <v>46077</v>
      </c>
      <c r="I89" s="34" t="str">
        <f>FEVEREIRO!O12</f>
        <v>DESPESAS</v>
      </c>
      <c r="J89">
        <f t="shared" si="8"/>
        <v>6</v>
      </c>
      <c r="K89">
        <f t="shared" si="9"/>
        <v>2</v>
      </c>
      <c r="L89" t="str">
        <f t="shared" si="10"/>
        <v>FEB</v>
      </c>
      <c r="M89">
        <f t="shared" si="11"/>
        <v>24</v>
      </c>
      <c r="N89">
        <f t="shared" si="12"/>
        <v>2</v>
      </c>
      <c r="O89" t="str">
        <f t="shared" si="14"/>
        <v>FEB</v>
      </c>
      <c r="P89" t="str">
        <f t="shared" si="13"/>
        <v>PAGO</v>
      </c>
    </row>
    <row r="90" spans="2:16" ht="30" x14ac:dyDescent="0.25">
      <c r="C90" s="35">
        <f>FEVEREIRO!C13</f>
        <v>46060</v>
      </c>
      <c r="D90" s="35" t="str">
        <f>FEVEREIRO!D13</f>
        <v>DESPESAS COM PRODUTOS</v>
      </c>
      <c r="E90" s="35" t="str">
        <f>FEVEREIRO!E13</f>
        <v>-</v>
      </c>
      <c r="F90" s="67">
        <f>FEVEREIRO!G13</f>
        <v>0</v>
      </c>
      <c r="G90" s="68">
        <f>FEVEREIRO!H13</f>
        <v>7</v>
      </c>
      <c r="H90" s="37">
        <f>FEVEREIRO!I13</f>
        <v>46078</v>
      </c>
      <c r="I90" s="34" t="str">
        <f>FEVEREIRO!O13</f>
        <v>DESPESAS</v>
      </c>
      <c r="J90">
        <f t="shared" si="8"/>
        <v>7</v>
      </c>
      <c r="K90">
        <f t="shared" si="9"/>
        <v>2</v>
      </c>
      <c r="L90" t="str">
        <f t="shared" si="10"/>
        <v>FEB</v>
      </c>
      <c r="M90">
        <f t="shared" si="11"/>
        <v>25</v>
      </c>
      <c r="N90">
        <f t="shared" si="12"/>
        <v>2</v>
      </c>
      <c r="O90" t="str">
        <f t="shared" si="14"/>
        <v>FEB</v>
      </c>
      <c r="P90" t="str">
        <f t="shared" si="13"/>
        <v>PAGO</v>
      </c>
    </row>
    <row r="91" spans="2:16" x14ac:dyDescent="0.25">
      <c r="C91" s="35">
        <f>FEVEREIRO!C14</f>
        <v>46061</v>
      </c>
      <c r="D91" s="35" t="str">
        <f>FEVEREIRO!D14</f>
        <v>DESPESAS COM RH</v>
      </c>
      <c r="E91" s="35" t="str">
        <f>FEVEREIRO!E14</f>
        <v>ACTUALIZAÇÕES</v>
      </c>
      <c r="F91" s="67">
        <f>FEVEREIRO!G14</f>
        <v>0</v>
      </c>
      <c r="G91" s="68">
        <f>FEVEREIRO!H14</f>
        <v>8</v>
      </c>
      <c r="H91" s="37">
        <f>FEVEREIRO!I14</f>
        <v>46079</v>
      </c>
      <c r="I91" s="34" t="str">
        <f>FEVEREIRO!O14</f>
        <v>DESPESAS</v>
      </c>
      <c r="J91">
        <f t="shared" si="8"/>
        <v>8</v>
      </c>
      <c r="K91">
        <f t="shared" si="9"/>
        <v>2</v>
      </c>
      <c r="L91" t="str">
        <f t="shared" si="10"/>
        <v>FEB</v>
      </c>
      <c r="M91">
        <f t="shared" si="11"/>
        <v>26</v>
      </c>
      <c r="N91">
        <f t="shared" si="12"/>
        <v>2</v>
      </c>
      <c r="O91" t="str">
        <f t="shared" si="14"/>
        <v>FEB</v>
      </c>
      <c r="P91" t="str">
        <f t="shared" si="13"/>
        <v>PAGO</v>
      </c>
    </row>
    <row r="92" spans="2:16" x14ac:dyDescent="0.25">
      <c r="C92" s="35">
        <f>FEVEREIRO!C15</f>
        <v>46062</v>
      </c>
      <c r="D92" s="35" t="str">
        <f>FEVEREIRO!D15</f>
        <v>RECEITAS COM SERVIÇOS</v>
      </c>
      <c r="E92" s="35" t="str">
        <f>FEVEREIRO!E15</f>
        <v>-</v>
      </c>
      <c r="F92" s="67">
        <f>FEVEREIRO!G15</f>
        <v>0</v>
      </c>
      <c r="G92" s="68">
        <f>FEVEREIRO!H15</f>
        <v>9</v>
      </c>
      <c r="H92" s="37">
        <f>FEVEREIRO!I15</f>
        <v>46080</v>
      </c>
      <c r="I92" s="34" t="str">
        <f>FEVEREIRO!O15</f>
        <v>RECEITAS</v>
      </c>
      <c r="J92">
        <f t="shared" si="8"/>
        <v>9</v>
      </c>
      <c r="K92">
        <f t="shared" si="9"/>
        <v>2</v>
      </c>
      <c r="L92" t="str">
        <f t="shared" si="10"/>
        <v>FEB</v>
      </c>
      <c r="M92">
        <f t="shared" si="11"/>
        <v>27</v>
      </c>
      <c r="N92">
        <f t="shared" si="12"/>
        <v>2</v>
      </c>
      <c r="O92" t="str">
        <f t="shared" si="14"/>
        <v>FEB</v>
      </c>
      <c r="P92" t="str">
        <f t="shared" si="13"/>
        <v>PAGO</v>
      </c>
    </row>
    <row r="93" spans="2:16" ht="30" x14ac:dyDescent="0.25">
      <c r="C93" s="35">
        <f>FEVEREIRO!C16</f>
        <v>46063</v>
      </c>
      <c r="D93" s="35" t="str">
        <f>FEVEREIRO!D16</f>
        <v>DESPESAS COM MARKETING</v>
      </c>
      <c r="E93" s="35" t="str">
        <f>FEVEREIRO!E16</f>
        <v>-</v>
      </c>
      <c r="F93" s="67">
        <f>FEVEREIRO!G16</f>
        <v>0</v>
      </c>
      <c r="G93" s="68">
        <f>FEVEREIRO!H16</f>
        <v>10</v>
      </c>
      <c r="H93" s="37">
        <f>FEVEREIRO!I16</f>
        <v>46054</v>
      </c>
      <c r="I93" s="34" t="str">
        <f>FEVEREIRO!O16</f>
        <v>DESPESAS</v>
      </c>
      <c r="J93">
        <f t="shared" si="8"/>
        <v>10</v>
      </c>
      <c r="K93">
        <f t="shared" si="9"/>
        <v>2</v>
      </c>
      <c r="L93" t="str">
        <f t="shared" si="10"/>
        <v>FEB</v>
      </c>
      <c r="M93">
        <f t="shared" si="11"/>
        <v>1</v>
      </c>
      <c r="N93">
        <f t="shared" si="12"/>
        <v>2</v>
      </c>
      <c r="O93" t="str">
        <f t="shared" si="14"/>
        <v>FEB</v>
      </c>
      <c r="P93" t="str">
        <f t="shared" si="13"/>
        <v>PAGO</v>
      </c>
    </row>
    <row r="94" spans="2:16" ht="30" x14ac:dyDescent="0.25">
      <c r="C94" s="35">
        <f>FEVEREIRO!C17</f>
        <v>46064</v>
      </c>
      <c r="D94" s="35" t="str">
        <f>FEVEREIRO!D17</f>
        <v>DESPESAS OPERACIONAIS</v>
      </c>
      <c r="E94" s="35" t="str">
        <f>FEVEREIRO!E17</f>
        <v>ESTUDIOS GRAVAÇÃO</v>
      </c>
      <c r="F94" s="67">
        <f>FEVEREIRO!G17</f>
        <v>0</v>
      </c>
      <c r="G94" s="68">
        <f>FEVEREIRO!H17</f>
        <v>11</v>
      </c>
      <c r="H94" s="37">
        <f>FEVEREIRO!I17</f>
        <v>46055</v>
      </c>
      <c r="I94" s="34" t="str">
        <f>FEVEREIRO!O17</f>
        <v>DESPESAS</v>
      </c>
      <c r="J94">
        <f t="shared" si="8"/>
        <v>11</v>
      </c>
      <c r="K94">
        <f t="shared" si="9"/>
        <v>2</v>
      </c>
      <c r="L94" t="str">
        <f t="shared" si="10"/>
        <v>FEB</v>
      </c>
      <c r="M94">
        <f t="shared" si="11"/>
        <v>2</v>
      </c>
      <c r="N94">
        <f t="shared" si="12"/>
        <v>2</v>
      </c>
      <c r="O94" t="str">
        <f t="shared" si="14"/>
        <v>FEB</v>
      </c>
      <c r="P94" t="str">
        <f t="shared" si="13"/>
        <v>PAGO</v>
      </c>
    </row>
    <row r="95" spans="2:16" ht="30" x14ac:dyDescent="0.25">
      <c r="C95" s="35">
        <f>FEVEREIRO!C18</f>
        <v>46065</v>
      </c>
      <c r="D95" s="35" t="str">
        <f>FEVEREIRO!D18</f>
        <v>DESPESAS COM PRODUTOS</v>
      </c>
      <c r="E95" s="35" t="str">
        <f>FEVEREIRO!E18</f>
        <v>-</v>
      </c>
      <c r="F95" s="67" t="str">
        <f>FEVEREIRO!G18</f>
        <v>CALEMBA 2</v>
      </c>
      <c r="G95" s="68">
        <f>FEVEREIRO!H18</f>
        <v>12</v>
      </c>
      <c r="H95" s="37">
        <f>FEVEREIRO!I18</f>
        <v>46056</v>
      </c>
      <c r="I95" s="34" t="str">
        <f>FEVEREIRO!O18</f>
        <v>DESPESAS</v>
      </c>
      <c r="J95">
        <f t="shared" si="8"/>
        <v>12</v>
      </c>
      <c r="K95">
        <f t="shared" si="9"/>
        <v>2</v>
      </c>
      <c r="L95" t="str">
        <f t="shared" si="10"/>
        <v>FEB</v>
      </c>
      <c r="M95">
        <f t="shared" si="11"/>
        <v>3</v>
      </c>
      <c r="N95">
        <f t="shared" si="12"/>
        <v>2</v>
      </c>
      <c r="O95" t="str">
        <f t="shared" si="14"/>
        <v>FEB</v>
      </c>
      <c r="P95" t="str">
        <f t="shared" si="13"/>
        <v>PAGO</v>
      </c>
    </row>
    <row r="96" spans="2:16" ht="30" x14ac:dyDescent="0.25">
      <c r="C96" s="35">
        <f>FEVEREIRO!C19</f>
        <v>46066</v>
      </c>
      <c r="D96" s="35" t="str">
        <f>FEVEREIRO!D19</f>
        <v>DESPESAS COM PRODUTOS</v>
      </c>
      <c r="E96" s="35" t="str">
        <f>FEVEREIRO!E19</f>
        <v>-</v>
      </c>
      <c r="F96" s="67">
        <f>FEVEREIRO!G19</f>
        <v>0</v>
      </c>
      <c r="G96" s="68">
        <f>FEVEREIRO!H19</f>
        <v>13</v>
      </c>
      <c r="H96" s="37">
        <f>FEVEREIRO!I19</f>
        <v>46057</v>
      </c>
      <c r="I96" s="34" t="str">
        <f>FEVEREIRO!O19</f>
        <v>DESPESAS</v>
      </c>
      <c r="J96">
        <f t="shared" si="8"/>
        <v>13</v>
      </c>
      <c r="K96">
        <f t="shared" si="9"/>
        <v>2</v>
      </c>
      <c r="L96" t="str">
        <f t="shared" si="10"/>
        <v>FEB</v>
      </c>
      <c r="M96">
        <f t="shared" si="11"/>
        <v>4</v>
      </c>
      <c r="N96">
        <f t="shared" si="12"/>
        <v>2</v>
      </c>
      <c r="O96" t="str">
        <f t="shared" si="14"/>
        <v>FEB</v>
      </c>
      <c r="P96" t="str">
        <f t="shared" si="13"/>
        <v>PAGO</v>
      </c>
    </row>
    <row r="97" spans="3:16" ht="30" x14ac:dyDescent="0.25">
      <c r="C97" s="35">
        <f>FEVEREIRO!C20</f>
        <v>46067</v>
      </c>
      <c r="D97" s="35" t="str">
        <f>FEVEREIRO!D20</f>
        <v>DESPESAS COM PRODUTOS</v>
      </c>
      <c r="E97" s="35" t="str">
        <f>FEVEREIRO!E20</f>
        <v>-</v>
      </c>
      <c r="F97" s="67">
        <f>FEVEREIRO!G20</f>
        <v>0</v>
      </c>
      <c r="G97" s="68">
        <f>FEVEREIRO!H20</f>
        <v>14</v>
      </c>
      <c r="H97" s="37">
        <f>FEVEREIRO!I20</f>
        <v>46058</v>
      </c>
      <c r="I97" s="34" t="str">
        <f>FEVEREIRO!O20</f>
        <v>DESPESAS</v>
      </c>
      <c r="J97">
        <f t="shared" si="8"/>
        <v>14</v>
      </c>
      <c r="K97">
        <f t="shared" si="9"/>
        <v>2</v>
      </c>
      <c r="L97" t="str">
        <f t="shared" si="10"/>
        <v>FEB</v>
      </c>
      <c r="M97">
        <f t="shared" si="11"/>
        <v>5</v>
      </c>
      <c r="N97">
        <f t="shared" si="12"/>
        <v>2</v>
      </c>
      <c r="O97" t="str">
        <f t="shared" si="14"/>
        <v>FEB</v>
      </c>
      <c r="P97" t="str">
        <f t="shared" si="13"/>
        <v>PAGO</v>
      </c>
    </row>
    <row r="98" spans="3:16" ht="30" x14ac:dyDescent="0.25">
      <c r="C98" s="35">
        <f>FEVEREIRO!C21</f>
        <v>46068</v>
      </c>
      <c r="D98" s="35" t="str">
        <f>FEVEREIRO!D21</f>
        <v>DESPESAS COM PRODUTOS</v>
      </c>
      <c r="E98" s="35" t="str">
        <f>FEVEREIRO!E21</f>
        <v>-</v>
      </c>
      <c r="F98" s="67">
        <f>FEVEREIRO!G21</f>
        <v>0</v>
      </c>
      <c r="G98" s="68">
        <f>FEVEREIRO!H21</f>
        <v>15</v>
      </c>
      <c r="H98" s="37">
        <f>FEVEREIRO!I21</f>
        <v>46059</v>
      </c>
      <c r="I98" s="34" t="str">
        <f>FEVEREIRO!O21</f>
        <v>DESPESAS</v>
      </c>
      <c r="J98">
        <f t="shared" si="8"/>
        <v>15</v>
      </c>
      <c r="K98">
        <f t="shared" si="9"/>
        <v>2</v>
      </c>
      <c r="L98" t="str">
        <f t="shared" si="10"/>
        <v>FEB</v>
      </c>
      <c r="M98">
        <f t="shared" si="11"/>
        <v>6</v>
      </c>
      <c r="N98">
        <f t="shared" si="12"/>
        <v>2</v>
      </c>
      <c r="O98" t="str">
        <f t="shared" si="14"/>
        <v>FEB</v>
      </c>
      <c r="P98" t="str">
        <f t="shared" si="13"/>
        <v>PAGO</v>
      </c>
    </row>
    <row r="99" spans="3:16" ht="30" x14ac:dyDescent="0.25">
      <c r="C99" s="35">
        <f>FEVEREIRO!C22</f>
        <v>46069</v>
      </c>
      <c r="D99" s="35" t="str">
        <f>FEVEREIRO!D22</f>
        <v>DESPESAS COM PRODUTOS</v>
      </c>
      <c r="E99" s="35" t="str">
        <f>FEVEREIRO!E22</f>
        <v>-</v>
      </c>
      <c r="F99" s="67">
        <f>FEVEREIRO!G22</f>
        <v>0</v>
      </c>
      <c r="G99" s="68">
        <f>FEVEREIRO!H22</f>
        <v>16</v>
      </c>
      <c r="H99" s="37">
        <f>FEVEREIRO!I22</f>
        <v>46060</v>
      </c>
      <c r="I99" s="34" t="str">
        <f>FEVEREIRO!O22</f>
        <v>DESPESAS</v>
      </c>
      <c r="J99">
        <f t="shared" si="8"/>
        <v>16</v>
      </c>
      <c r="K99">
        <f t="shared" si="9"/>
        <v>2</v>
      </c>
      <c r="L99" t="str">
        <f t="shared" si="10"/>
        <v>FEB</v>
      </c>
      <c r="M99">
        <f t="shared" si="11"/>
        <v>7</v>
      </c>
      <c r="N99">
        <f t="shared" si="12"/>
        <v>2</v>
      </c>
      <c r="O99" t="str">
        <f t="shared" si="14"/>
        <v>FEB</v>
      </c>
      <c r="P99" t="str">
        <f t="shared" si="13"/>
        <v>PAGO</v>
      </c>
    </row>
    <row r="100" spans="3:16" ht="30" x14ac:dyDescent="0.25">
      <c r="C100" s="35">
        <f>FEVEREIRO!C23</f>
        <v>46070</v>
      </c>
      <c r="D100" s="35" t="str">
        <f>FEVEREIRO!D23</f>
        <v>DESPESAS COM PRODUTOS</v>
      </c>
      <c r="E100" s="35" t="str">
        <f>FEVEREIRO!E23</f>
        <v>-</v>
      </c>
      <c r="F100" s="67">
        <f>FEVEREIRO!G23</f>
        <v>0</v>
      </c>
      <c r="G100" s="68">
        <f>FEVEREIRO!H23</f>
        <v>17</v>
      </c>
      <c r="H100" s="37">
        <f>FEVEREIRO!I23</f>
        <v>46061</v>
      </c>
      <c r="I100" s="34" t="str">
        <f>FEVEREIRO!O23</f>
        <v>DESPESAS</v>
      </c>
      <c r="J100">
        <f t="shared" si="8"/>
        <v>17</v>
      </c>
      <c r="K100">
        <f t="shared" si="9"/>
        <v>2</v>
      </c>
      <c r="L100" t="str">
        <f t="shared" si="10"/>
        <v>FEB</v>
      </c>
      <c r="M100">
        <f t="shared" si="11"/>
        <v>8</v>
      </c>
      <c r="N100">
        <f t="shared" si="12"/>
        <v>2</v>
      </c>
      <c r="O100" t="str">
        <f t="shared" si="14"/>
        <v>FEB</v>
      </c>
      <c r="P100" t="str">
        <f t="shared" si="13"/>
        <v>PAGO</v>
      </c>
    </row>
    <row r="101" spans="3:16" ht="30" x14ac:dyDescent="0.25">
      <c r="C101" s="35">
        <f>FEVEREIRO!C24</f>
        <v>46071</v>
      </c>
      <c r="D101" s="35" t="str">
        <f>FEVEREIRO!D24</f>
        <v>DESPESAS COM PRODUTOS</v>
      </c>
      <c r="E101" s="35" t="str">
        <f>FEVEREIRO!E24</f>
        <v>-</v>
      </c>
      <c r="F101" s="67">
        <f>FEVEREIRO!G24</f>
        <v>0</v>
      </c>
      <c r="G101" s="68">
        <f>FEVEREIRO!H24</f>
        <v>18</v>
      </c>
      <c r="H101" s="37">
        <f>FEVEREIRO!I24</f>
        <v>46062</v>
      </c>
      <c r="I101" s="34" t="str">
        <f>FEVEREIRO!O24</f>
        <v>DESPESAS</v>
      </c>
      <c r="J101">
        <f t="shared" si="8"/>
        <v>18</v>
      </c>
      <c r="K101">
        <f t="shared" si="9"/>
        <v>2</v>
      </c>
      <c r="L101" t="str">
        <f t="shared" si="10"/>
        <v>FEB</v>
      </c>
      <c r="M101">
        <f t="shared" si="11"/>
        <v>9</v>
      </c>
      <c r="N101">
        <f t="shared" si="12"/>
        <v>2</v>
      </c>
      <c r="O101" t="str">
        <f t="shared" si="14"/>
        <v>FEB</v>
      </c>
      <c r="P101" t="str">
        <f t="shared" si="13"/>
        <v>PAGO</v>
      </c>
    </row>
    <row r="102" spans="3:16" ht="30" x14ac:dyDescent="0.25">
      <c r="C102" s="35">
        <f>FEVEREIRO!C25</f>
        <v>46072</v>
      </c>
      <c r="D102" s="35" t="str">
        <f>FEVEREIRO!D25</f>
        <v>DESPESAS COM PRODUTOS</v>
      </c>
      <c r="E102" s="35" t="str">
        <f>FEVEREIRO!E25</f>
        <v>-</v>
      </c>
      <c r="F102" s="67">
        <f>FEVEREIRO!G25</f>
        <v>0</v>
      </c>
      <c r="G102" s="68">
        <f>FEVEREIRO!H25</f>
        <v>19</v>
      </c>
      <c r="H102" s="37">
        <f>FEVEREIRO!I25</f>
        <v>46063</v>
      </c>
      <c r="I102" s="34" t="str">
        <f>FEVEREIRO!O25</f>
        <v>DESPESAS</v>
      </c>
      <c r="J102">
        <f t="shared" si="8"/>
        <v>19</v>
      </c>
      <c r="K102">
        <f t="shared" si="9"/>
        <v>2</v>
      </c>
      <c r="L102" t="str">
        <f t="shared" si="10"/>
        <v>FEB</v>
      </c>
      <c r="M102">
        <f t="shared" si="11"/>
        <v>10</v>
      </c>
      <c r="N102">
        <f t="shared" si="12"/>
        <v>2</v>
      </c>
      <c r="O102" t="str">
        <f t="shared" si="14"/>
        <v>FEB</v>
      </c>
      <c r="P102" t="str">
        <f t="shared" si="13"/>
        <v>PAGO</v>
      </c>
    </row>
    <row r="103" spans="3:16" ht="30" x14ac:dyDescent="0.25">
      <c r="C103" s="35">
        <f>FEVEREIRO!C26</f>
        <v>46073</v>
      </c>
      <c r="D103" s="35" t="str">
        <f>FEVEREIRO!D26</f>
        <v>DESPESAS COM PRODUTOS</v>
      </c>
      <c r="E103" s="35" t="str">
        <f>FEVEREIRO!E26</f>
        <v>-</v>
      </c>
      <c r="F103" s="67">
        <f>FEVEREIRO!G26</f>
        <v>0</v>
      </c>
      <c r="G103" s="68">
        <f>FEVEREIRO!H26</f>
        <v>20</v>
      </c>
      <c r="H103" s="37">
        <f>FEVEREIRO!I26</f>
        <v>46064</v>
      </c>
      <c r="I103" s="34" t="str">
        <f>FEVEREIRO!O26</f>
        <v>DESPESAS</v>
      </c>
      <c r="J103">
        <f t="shared" si="8"/>
        <v>20</v>
      </c>
      <c r="K103">
        <f t="shared" si="9"/>
        <v>2</v>
      </c>
      <c r="L103" t="str">
        <f t="shared" si="10"/>
        <v>FEB</v>
      </c>
      <c r="M103">
        <f t="shared" si="11"/>
        <v>11</v>
      </c>
      <c r="N103">
        <f t="shared" si="12"/>
        <v>2</v>
      </c>
      <c r="O103" t="str">
        <f t="shared" si="14"/>
        <v>FEB</v>
      </c>
      <c r="P103" t="str">
        <f t="shared" si="13"/>
        <v>PAGO</v>
      </c>
    </row>
    <row r="104" spans="3:16" ht="30" x14ac:dyDescent="0.25">
      <c r="C104" s="35">
        <f>FEVEREIRO!C27</f>
        <v>46074</v>
      </c>
      <c r="D104" s="35" t="str">
        <f>FEVEREIRO!D27</f>
        <v>DESPESAS COM PRODUTOS</v>
      </c>
      <c r="E104" s="35" t="str">
        <f>FEVEREIRO!E27</f>
        <v>-</v>
      </c>
      <c r="F104" s="67">
        <f>FEVEREIRO!G27</f>
        <v>0</v>
      </c>
      <c r="G104" s="68">
        <f>FEVEREIRO!H27</f>
        <v>21</v>
      </c>
      <c r="H104" s="37">
        <f>FEVEREIRO!I27</f>
        <v>46065</v>
      </c>
      <c r="I104" s="34" t="str">
        <f>FEVEREIRO!O27</f>
        <v>DESPESAS</v>
      </c>
      <c r="J104">
        <f t="shared" si="8"/>
        <v>21</v>
      </c>
      <c r="K104">
        <f t="shared" si="9"/>
        <v>2</v>
      </c>
      <c r="L104" t="str">
        <f t="shared" si="10"/>
        <v>FEB</v>
      </c>
      <c r="M104">
        <f t="shared" si="11"/>
        <v>12</v>
      </c>
      <c r="N104">
        <f t="shared" si="12"/>
        <v>2</v>
      </c>
      <c r="O104" t="str">
        <f t="shared" si="14"/>
        <v>FEB</v>
      </c>
      <c r="P104" t="str">
        <f t="shared" si="13"/>
        <v>PAGO</v>
      </c>
    </row>
    <row r="105" spans="3:16" ht="30" x14ac:dyDescent="0.25">
      <c r="C105" s="35">
        <f>FEVEREIRO!C28</f>
        <v>46075</v>
      </c>
      <c r="D105" s="35" t="str">
        <f>FEVEREIRO!D28</f>
        <v>DESPESAS COM PRODUTOS</v>
      </c>
      <c r="E105" s="35" t="str">
        <f>FEVEREIRO!E28</f>
        <v>-</v>
      </c>
      <c r="F105" s="67">
        <f>FEVEREIRO!G28</f>
        <v>0</v>
      </c>
      <c r="G105" s="68">
        <f>FEVEREIRO!H28</f>
        <v>22</v>
      </c>
      <c r="H105" s="37">
        <f>FEVEREIRO!I28</f>
        <v>46066</v>
      </c>
      <c r="I105" s="34" t="str">
        <f>FEVEREIRO!O28</f>
        <v>DESPESAS</v>
      </c>
      <c r="J105">
        <f t="shared" si="8"/>
        <v>22</v>
      </c>
      <c r="K105">
        <f t="shared" si="9"/>
        <v>2</v>
      </c>
      <c r="L105" t="str">
        <f t="shared" si="10"/>
        <v>FEB</v>
      </c>
      <c r="M105">
        <f t="shared" si="11"/>
        <v>13</v>
      </c>
      <c r="N105">
        <f t="shared" si="12"/>
        <v>2</v>
      </c>
      <c r="O105" t="str">
        <f t="shared" si="14"/>
        <v>FEB</v>
      </c>
      <c r="P105" t="str">
        <f t="shared" si="13"/>
        <v>PAGO</v>
      </c>
    </row>
    <row r="106" spans="3:16" ht="30" x14ac:dyDescent="0.25">
      <c r="C106" s="35">
        <f>FEVEREIRO!C29</f>
        <v>46076</v>
      </c>
      <c r="D106" s="35" t="str">
        <f>FEVEREIRO!D29</f>
        <v>DESPESAS COM PRODUTOS</v>
      </c>
      <c r="E106" s="35" t="str">
        <f>FEVEREIRO!E29</f>
        <v>-</v>
      </c>
      <c r="F106" s="67">
        <f>FEVEREIRO!G29</f>
        <v>0</v>
      </c>
      <c r="G106" s="68">
        <f>FEVEREIRO!H29</f>
        <v>23</v>
      </c>
      <c r="H106" s="37">
        <f>FEVEREIRO!I29</f>
        <v>46067</v>
      </c>
      <c r="I106" s="34" t="str">
        <f>FEVEREIRO!O29</f>
        <v>DESPESAS</v>
      </c>
      <c r="J106">
        <f t="shared" si="8"/>
        <v>23</v>
      </c>
      <c r="K106">
        <f t="shared" si="9"/>
        <v>2</v>
      </c>
      <c r="L106" t="str">
        <f t="shared" si="10"/>
        <v>FEB</v>
      </c>
      <c r="M106">
        <f t="shared" si="11"/>
        <v>14</v>
      </c>
      <c r="N106">
        <f t="shared" si="12"/>
        <v>2</v>
      </c>
      <c r="O106" t="str">
        <f t="shared" si="14"/>
        <v>FEB</v>
      </c>
      <c r="P106" t="str">
        <f t="shared" si="13"/>
        <v>PAGO</v>
      </c>
    </row>
    <row r="107" spans="3:16" ht="30" x14ac:dyDescent="0.25">
      <c r="C107" s="35">
        <f>FEVEREIRO!C30</f>
        <v>46077</v>
      </c>
      <c r="D107" s="35" t="str">
        <f>FEVEREIRO!D30</f>
        <v>DESPESAS COM PRODUTOS</v>
      </c>
      <c r="E107" s="35" t="str">
        <f>FEVEREIRO!E30</f>
        <v>-</v>
      </c>
      <c r="F107" s="67">
        <f>FEVEREIRO!G30</f>
        <v>0</v>
      </c>
      <c r="G107" s="68">
        <f>FEVEREIRO!H30</f>
        <v>24</v>
      </c>
      <c r="H107" s="37">
        <f>FEVEREIRO!I30</f>
        <v>46068</v>
      </c>
      <c r="I107" s="34" t="str">
        <f>FEVEREIRO!O30</f>
        <v>DESPESAS</v>
      </c>
      <c r="J107">
        <f t="shared" si="8"/>
        <v>24</v>
      </c>
      <c r="K107">
        <f t="shared" si="9"/>
        <v>2</v>
      </c>
      <c r="L107" t="str">
        <f t="shared" si="10"/>
        <v>FEB</v>
      </c>
      <c r="M107">
        <f t="shared" si="11"/>
        <v>15</v>
      </c>
      <c r="N107">
        <f t="shared" si="12"/>
        <v>2</v>
      </c>
      <c r="O107" t="str">
        <f t="shared" si="14"/>
        <v>FEB</v>
      </c>
      <c r="P107" t="str">
        <f t="shared" si="13"/>
        <v>PAGO</v>
      </c>
    </row>
    <row r="108" spans="3:16" ht="30" x14ac:dyDescent="0.25">
      <c r="C108" s="35">
        <f>FEVEREIRO!C31</f>
        <v>46078</v>
      </c>
      <c r="D108" s="35" t="str">
        <f>FEVEREIRO!D31</f>
        <v>DESPESAS COM PRODUTOS</v>
      </c>
      <c r="E108" s="35" t="str">
        <f>FEVEREIRO!E31</f>
        <v>-</v>
      </c>
      <c r="F108" s="67">
        <f>FEVEREIRO!G31</f>
        <v>0</v>
      </c>
      <c r="G108" s="68">
        <f>FEVEREIRO!H31</f>
        <v>25</v>
      </c>
      <c r="H108" s="37">
        <f>FEVEREIRO!I31</f>
        <v>46069</v>
      </c>
      <c r="I108" s="34" t="str">
        <f>FEVEREIRO!O31</f>
        <v>DESPESAS</v>
      </c>
      <c r="J108">
        <f t="shared" si="8"/>
        <v>25</v>
      </c>
      <c r="K108">
        <f t="shared" si="9"/>
        <v>2</v>
      </c>
      <c r="L108" t="str">
        <f t="shared" si="10"/>
        <v>FEB</v>
      </c>
      <c r="M108">
        <f t="shared" si="11"/>
        <v>16</v>
      </c>
      <c r="N108">
        <f t="shared" si="12"/>
        <v>2</v>
      </c>
      <c r="O108" t="str">
        <f t="shared" si="14"/>
        <v>FEB</v>
      </c>
      <c r="P108" t="str">
        <f t="shared" si="13"/>
        <v>PAGO</v>
      </c>
    </row>
    <row r="109" spans="3:16" ht="30" x14ac:dyDescent="0.25">
      <c r="C109" s="35">
        <f>FEVEREIRO!C32</f>
        <v>46079</v>
      </c>
      <c r="D109" s="35" t="str">
        <f>FEVEREIRO!D32</f>
        <v>DESPESAS COM PRODUTOS</v>
      </c>
      <c r="E109" s="35" t="str">
        <f>FEVEREIRO!E32</f>
        <v>-</v>
      </c>
      <c r="F109" s="67">
        <f>FEVEREIRO!G32</f>
        <v>0</v>
      </c>
      <c r="G109" s="68">
        <f>FEVEREIRO!H32</f>
        <v>26</v>
      </c>
      <c r="H109" s="37">
        <f>FEVEREIRO!I32</f>
        <v>46070</v>
      </c>
      <c r="I109" s="34" t="str">
        <f>FEVEREIRO!O32</f>
        <v>DESPESAS</v>
      </c>
      <c r="J109">
        <f t="shared" si="8"/>
        <v>26</v>
      </c>
      <c r="K109">
        <f t="shared" si="9"/>
        <v>2</v>
      </c>
      <c r="L109" t="str">
        <f t="shared" si="10"/>
        <v>FEB</v>
      </c>
      <c r="M109">
        <f t="shared" si="11"/>
        <v>17</v>
      </c>
      <c r="N109">
        <f t="shared" si="12"/>
        <v>2</v>
      </c>
      <c r="O109" t="str">
        <f t="shared" si="14"/>
        <v>FEB</v>
      </c>
      <c r="P109" t="str">
        <f t="shared" si="13"/>
        <v>PAGO</v>
      </c>
    </row>
    <row r="110" spans="3:16" ht="30" x14ac:dyDescent="0.25">
      <c r="C110" s="35">
        <f>FEVEREIRO!C33</f>
        <v>46080</v>
      </c>
      <c r="D110" s="35" t="str">
        <f>FEVEREIRO!D33</f>
        <v>DESPESAS COM PRODUTOS</v>
      </c>
      <c r="E110" s="35" t="str">
        <f>FEVEREIRO!E33</f>
        <v>-</v>
      </c>
      <c r="F110" s="67">
        <f>FEVEREIRO!G33</f>
        <v>0</v>
      </c>
      <c r="G110" s="68">
        <f>FEVEREIRO!H33</f>
        <v>27</v>
      </c>
      <c r="H110" s="37">
        <f>FEVEREIRO!I33</f>
        <v>46071</v>
      </c>
      <c r="I110" s="34" t="str">
        <f>FEVEREIRO!O33</f>
        <v>DESPESAS</v>
      </c>
      <c r="J110">
        <f t="shared" si="8"/>
        <v>27</v>
      </c>
      <c r="K110">
        <f t="shared" si="9"/>
        <v>2</v>
      </c>
      <c r="L110" t="str">
        <f t="shared" si="10"/>
        <v>FEB</v>
      </c>
      <c r="M110">
        <f t="shared" si="11"/>
        <v>18</v>
      </c>
      <c r="N110">
        <f t="shared" si="12"/>
        <v>2</v>
      </c>
      <c r="O110" t="str">
        <f t="shared" si="14"/>
        <v>FEB</v>
      </c>
      <c r="P110" t="str">
        <f t="shared" si="13"/>
        <v>PAGO</v>
      </c>
    </row>
    <row r="111" spans="3:16" ht="30" x14ac:dyDescent="0.25">
      <c r="C111" s="35">
        <f>FEVEREIRO!C34</f>
        <v>46081</v>
      </c>
      <c r="D111" s="35" t="str">
        <f>FEVEREIRO!D34</f>
        <v>DESPESAS COM PRODUTOS</v>
      </c>
      <c r="E111" s="35" t="str">
        <f>FEVEREIRO!E34</f>
        <v>-</v>
      </c>
      <c r="F111" s="67">
        <f>FEVEREIRO!G34</f>
        <v>0</v>
      </c>
      <c r="G111" s="68">
        <f>FEVEREIRO!H34</f>
        <v>28</v>
      </c>
      <c r="H111" s="37">
        <f>FEVEREIRO!I34</f>
        <v>46072</v>
      </c>
      <c r="I111" s="34" t="str">
        <f>FEVEREIRO!O34</f>
        <v>DESPESAS</v>
      </c>
      <c r="J111">
        <f t="shared" si="8"/>
        <v>28</v>
      </c>
      <c r="K111">
        <f t="shared" si="9"/>
        <v>2</v>
      </c>
      <c r="L111" t="str">
        <f t="shared" si="10"/>
        <v>FEB</v>
      </c>
      <c r="M111">
        <f t="shared" si="11"/>
        <v>19</v>
      </c>
      <c r="N111">
        <f t="shared" si="12"/>
        <v>2</v>
      </c>
      <c r="O111" t="str">
        <f t="shared" si="14"/>
        <v>FEB</v>
      </c>
      <c r="P111" t="str">
        <f t="shared" si="13"/>
        <v>PAGO</v>
      </c>
    </row>
    <row r="112" spans="3:16" ht="30" x14ac:dyDescent="0.25">
      <c r="C112" s="35">
        <f>FEVEREIRO!C35</f>
        <v>0</v>
      </c>
      <c r="D112" s="35" t="str">
        <f>FEVEREIRO!D35</f>
        <v>DESPESAS COM PRODUTOS</v>
      </c>
      <c r="E112" s="35" t="str">
        <f>FEVEREIRO!E35</f>
        <v>-</v>
      </c>
      <c r="F112" s="67">
        <f>FEVEREIRO!G35</f>
        <v>0</v>
      </c>
      <c r="G112" s="68">
        <f>FEVEREIRO!H35</f>
        <v>29</v>
      </c>
      <c r="H112" s="37">
        <f>FEVEREIRO!I35</f>
        <v>46073</v>
      </c>
      <c r="I112" s="34" t="str">
        <f>FEVEREIRO!O35</f>
        <v>DESPESAS</v>
      </c>
      <c r="J112">
        <f t="shared" si="8"/>
        <v>0</v>
      </c>
      <c r="K112" t="str">
        <f t="shared" si="9"/>
        <v xml:space="preserve"> </v>
      </c>
      <c r="L112" t="str">
        <f t="shared" si="10"/>
        <v/>
      </c>
      <c r="M112">
        <f t="shared" si="11"/>
        <v>20</v>
      </c>
      <c r="N112">
        <f t="shared" si="12"/>
        <v>2</v>
      </c>
      <c r="O112" t="str">
        <f t="shared" si="14"/>
        <v>FEB</v>
      </c>
      <c r="P112" t="str">
        <f t="shared" si="13"/>
        <v>PAGO</v>
      </c>
    </row>
    <row r="113" spans="3:16" ht="30" x14ac:dyDescent="0.25">
      <c r="C113" s="35">
        <f>FEVEREIRO!C36</f>
        <v>0</v>
      </c>
      <c r="D113" s="35" t="str">
        <f>FEVEREIRO!D36</f>
        <v>DESPESAS COM PRODUTOS</v>
      </c>
      <c r="E113" s="35" t="str">
        <f>FEVEREIRO!E36</f>
        <v>-</v>
      </c>
      <c r="F113" s="67">
        <f>FEVEREIRO!G36</f>
        <v>0</v>
      </c>
      <c r="G113" s="68">
        <f>FEVEREIRO!H36</f>
        <v>30</v>
      </c>
      <c r="H113" s="37">
        <f>FEVEREIRO!I36</f>
        <v>46074</v>
      </c>
      <c r="I113" s="34" t="str">
        <f>FEVEREIRO!O36</f>
        <v>DESPESAS</v>
      </c>
      <c r="J113">
        <f t="shared" si="8"/>
        <v>0</v>
      </c>
      <c r="K113" t="str">
        <f t="shared" si="9"/>
        <v xml:space="preserve"> </v>
      </c>
      <c r="L113" t="str">
        <f t="shared" si="10"/>
        <v/>
      </c>
      <c r="M113">
        <f t="shared" si="11"/>
        <v>21</v>
      </c>
      <c r="N113">
        <f t="shared" si="12"/>
        <v>2</v>
      </c>
      <c r="O113" t="str">
        <f t="shared" si="14"/>
        <v>FEB</v>
      </c>
      <c r="P113" t="str">
        <f t="shared" si="13"/>
        <v>PAGO</v>
      </c>
    </row>
    <row r="114" spans="3:16" ht="30" x14ac:dyDescent="0.25">
      <c r="C114" s="35">
        <f>FEVEREIRO!C37</f>
        <v>0</v>
      </c>
      <c r="D114" s="35" t="str">
        <f>FEVEREIRO!D37</f>
        <v>DESPESAS COM PRODUTOS</v>
      </c>
      <c r="E114" s="35" t="str">
        <f>FEVEREIRO!E37</f>
        <v>-</v>
      </c>
      <c r="F114" s="67">
        <f>FEVEREIRO!G37</f>
        <v>0</v>
      </c>
      <c r="G114" s="68">
        <f>FEVEREIRO!H37</f>
        <v>31</v>
      </c>
      <c r="H114" s="37">
        <f>FEVEREIRO!I37</f>
        <v>46075</v>
      </c>
      <c r="I114" s="34" t="str">
        <f>FEVEREIRO!O37</f>
        <v>DESPESAS</v>
      </c>
      <c r="J114">
        <f t="shared" si="8"/>
        <v>0</v>
      </c>
      <c r="K114" t="str">
        <f t="shared" si="9"/>
        <v xml:space="preserve"> </v>
      </c>
      <c r="L114" t="str">
        <f t="shared" si="10"/>
        <v/>
      </c>
      <c r="M114">
        <f t="shared" si="11"/>
        <v>22</v>
      </c>
      <c r="N114">
        <f t="shared" si="12"/>
        <v>2</v>
      </c>
      <c r="O114" t="str">
        <f t="shared" si="14"/>
        <v>FEB</v>
      </c>
      <c r="P114" t="str">
        <f t="shared" si="13"/>
        <v>PAGO</v>
      </c>
    </row>
    <row r="115" spans="3:16" ht="30" x14ac:dyDescent="0.25">
      <c r="C115" s="35">
        <f>FEVEREIRO!C38</f>
        <v>0</v>
      </c>
      <c r="D115" s="35" t="str">
        <f>FEVEREIRO!D38</f>
        <v>DESPESAS COM PRODUTOS</v>
      </c>
      <c r="E115" s="35" t="str">
        <f>FEVEREIRO!E38</f>
        <v>-</v>
      </c>
      <c r="F115" s="67">
        <f>FEVEREIRO!G38</f>
        <v>0</v>
      </c>
      <c r="G115" s="68">
        <f>FEVEREIRO!H38</f>
        <v>1</v>
      </c>
      <c r="H115" s="37">
        <f>FEVEREIRO!I38</f>
        <v>46076</v>
      </c>
      <c r="I115" s="34" t="str">
        <f>FEVEREIRO!O38</f>
        <v>DESPESAS</v>
      </c>
      <c r="J115">
        <f t="shared" si="8"/>
        <v>0</v>
      </c>
      <c r="K115" t="str">
        <f t="shared" si="9"/>
        <v xml:space="preserve"> </v>
      </c>
      <c r="L115" t="str">
        <f t="shared" si="10"/>
        <v/>
      </c>
      <c r="M115">
        <f t="shared" si="11"/>
        <v>23</v>
      </c>
      <c r="N115">
        <f t="shared" si="12"/>
        <v>2</v>
      </c>
      <c r="O115" t="str">
        <f t="shared" si="14"/>
        <v>FEB</v>
      </c>
      <c r="P115" t="str">
        <f t="shared" si="13"/>
        <v>PAGO</v>
      </c>
    </row>
    <row r="116" spans="3:16" ht="30" x14ac:dyDescent="0.25">
      <c r="C116" s="35">
        <f>FEVEREIRO!C39</f>
        <v>0</v>
      </c>
      <c r="D116" s="35" t="str">
        <f>FEVEREIRO!D39</f>
        <v>DESPESAS COM PRODUTOS</v>
      </c>
      <c r="E116" s="35" t="str">
        <f>FEVEREIRO!E39</f>
        <v>-</v>
      </c>
      <c r="F116" s="67">
        <f>FEVEREIRO!G39</f>
        <v>0</v>
      </c>
      <c r="G116" s="68">
        <f>FEVEREIRO!H39</f>
        <v>1</v>
      </c>
      <c r="H116" s="37">
        <f>FEVEREIRO!I39</f>
        <v>46077</v>
      </c>
      <c r="I116" s="34" t="str">
        <f>FEVEREIRO!O39</f>
        <v>DESPESAS</v>
      </c>
      <c r="J116">
        <f t="shared" si="8"/>
        <v>0</v>
      </c>
      <c r="K116" t="str">
        <f t="shared" si="9"/>
        <v xml:space="preserve"> </v>
      </c>
      <c r="L116" t="str">
        <f t="shared" si="10"/>
        <v/>
      </c>
      <c r="M116">
        <f t="shared" si="11"/>
        <v>24</v>
      </c>
      <c r="N116">
        <f t="shared" si="12"/>
        <v>2</v>
      </c>
      <c r="O116" t="str">
        <f t="shared" si="14"/>
        <v>FEB</v>
      </c>
      <c r="P116" t="str">
        <f t="shared" si="13"/>
        <v>PAGO</v>
      </c>
    </row>
    <row r="117" spans="3:16" ht="30" x14ac:dyDescent="0.25">
      <c r="C117" s="35">
        <f>FEVEREIRO!C40</f>
        <v>0</v>
      </c>
      <c r="D117" s="35" t="str">
        <f>FEVEREIRO!D40</f>
        <v>DESPESAS COM PRODUTOS</v>
      </c>
      <c r="E117" s="35" t="str">
        <f>FEVEREIRO!E40</f>
        <v>-</v>
      </c>
      <c r="F117" s="67">
        <f>FEVEREIRO!G40</f>
        <v>0</v>
      </c>
      <c r="G117" s="68">
        <f>FEVEREIRO!H40</f>
        <v>1</v>
      </c>
      <c r="H117" s="37">
        <f>FEVEREIRO!I40</f>
        <v>46078</v>
      </c>
      <c r="I117" s="34" t="str">
        <f>FEVEREIRO!O40</f>
        <v>DESPESAS</v>
      </c>
      <c r="J117">
        <f t="shared" si="8"/>
        <v>0</v>
      </c>
      <c r="K117" t="str">
        <f t="shared" si="9"/>
        <v xml:space="preserve"> </v>
      </c>
      <c r="L117" t="str">
        <f t="shared" si="10"/>
        <v/>
      </c>
      <c r="M117">
        <f t="shared" si="11"/>
        <v>25</v>
      </c>
      <c r="N117">
        <f t="shared" si="12"/>
        <v>2</v>
      </c>
      <c r="O117" t="str">
        <f t="shared" si="14"/>
        <v>FEB</v>
      </c>
      <c r="P117" t="str">
        <f t="shared" si="13"/>
        <v>PAGO</v>
      </c>
    </row>
    <row r="118" spans="3:16" ht="30" x14ac:dyDescent="0.25">
      <c r="C118" s="35">
        <f>FEVEREIRO!C41</f>
        <v>0</v>
      </c>
      <c r="D118" s="35" t="str">
        <f>FEVEREIRO!D41</f>
        <v>DESPESAS COM PRODUTOS</v>
      </c>
      <c r="E118" s="35" t="str">
        <f>FEVEREIRO!E41</f>
        <v>-</v>
      </c>
      <c r="F118" s="67">
        <f>FEVEREIRO!G41</f>
        <v>0</v>
      </c>
      <c r="G118" s="68">
        <f>FEVEREIRO!H41</f>
        <v>1</v>
      </c>
      <c r="H118" s="37">
        <f>FEVEREIRO!I41</f>
        <v>46079</v>
      </c>
      <c r="I118" s="34" t="str">
        <f>FEVEREIRO!O41</f>
        <v>DESPESAS</v>
      </c>
      <c r="J118">
        <f t="shared" si="8"/>
        <v>0</v>
      </c>
      <c r="K118" t="str">
        <f t="shared" si="9"/>
        <v xml:space="preserve"> </v>
      </c>
      <c r="L118" t="str">
        <f t="shared" si="10"/>
        <v/>
      </c>
      <c r="M118">
        <f t="shared" si="11"/>
        <v>26</v>
      </c>
      <c r="N118">
        <f t="shared" si="12"/>
        <v>2</v>
      </c>
      <c r="O118" t="str">
        <f t="shared" si="14"/>
        <v>FEB</v>
      </c>
      <c r="P118" t="str">
        <f t="shared" si="13"/>
        <v>PAGO</v>
      </c>
    </row>
    <row r="119" spans="3:16" ht="30" x14ac:dyDescent="0.25">
      <c r="C119" s="35">
        <f>FEVEREIRO!C42</f>
        <v>0</v>
      </c>
      <c r="D119" s="35" t="str">
        <f>FEVEREIRO!D42</f>
        <v>DESPESAS COM PRODUTOS</v>
      </c>
      <c r="E119" s="35" t="str">
        <f>FEVEREIRO!E42</f>
        <v>-</v>
      </c>
      <c r="F119" s="67">
        <f>FEVEREIRO!G42</f>
        <v>0</v>
      </c>
      <c r="G119" s="68">
        <f>FEVEREIRO!H42</f>
        <v>1</v>
      </c>
      <c r="H119" s="37">
        <f>FEVEREIRO!I42</f>
        <v>46054</v>
      </c>
      <c r="I119" s="34" t="str">
        <f>FEVEREIRO!O42</f>
        <v>DESPESAS</v>
      </c>
      <c r="J119">
        <f t="shared" si="8"/>
        <v>0</v>
      </c>
      <c r="K119" t="str">
        <f t="shared" si="9"/>
        <v xml:space="preserve"> </v>
      </c>
      <c r="L119" t="str">
        <f t="shared" si="10"/>
        <v/>
      </c>
      <c r="M119">
        <f t="shared" si="11"/>
        <v>1</v>
      </c>
      <c r="N119">
        <f t="shared" si="12"/>
        <v>2</v>
      </c>
      <c r="O119" t="str">
        <f t="shared" si="14"/>
        <v>FEB</v>
      </c>
      <c r="P119" t="str">
        <f t="shared" si="13"/>
        <v>PAGO</v>
      </c>
    </row>
    <row r="120" spans="3:16" ht="30" x14ac:dyDescent="0.25">
      <c r="C120" s="35">
        <f>FEVEREIRO!C43</f>
        <v>0</v>
      </c>
      <c r="D120" s="35" t="str">
        <f>FEVEREIRO!D43</f>
        <v>DESPESAS COM PRODUTOS</v>
      </c>
      <c r="E120" s="35" t="str">
        <f>FEVEREIRO!E43</f>
        <v>-</v>
      </c>
      <c r="F120" s="67">
        <f>FEVEREIRO!G43</f>
        <v>0</v>
      </c>
      <c r="G120" s="68">
        <f>FEVEREIRO!H43</f>
        <v>1</v>
      </c>
      <c r="H120" s="37">
        <f>FEVEREIRO!I43</f>
        <v>46055</v>
      </c>
      <c r="I120" s="34" t="str">
        <f>FEVEREIRO!O43</f>
        <v>DESPESAS</v>
      </c>
      <c r="J120">
        <f t="shared" si="8"/>
        <v>0</v>
      </c>
      <c r="K120" t="str">
        <f t="shared" si="9"/>
        <v xml:space="preserve"> </v>
      </c>
      <c r="L120" t="str">
        <f t="shared" si="10"/>
        <v/>
      </c>
      <c r="M120">
        <f t="shared" si="11"/>
        <v>2</v>
      </c>
      <c r="N120">
        <f t="shared" si="12"/>
        <v>2</v>
      </c>
      <c r="O120" t="str">
        <f t="shared" si="14"/>
        <v>FEB</v>
      </c>
      <c r="P120" t="str">
        <f t="shared" si="13"/>
        <v>PAGO</v>
      </c>
    </row>
    <row r="121" spans="3:16" ht="30" x14ac:dyDescent="0.25">
      <c r="C121" s="35">
        <f>FEVEREIRO!C44</f>
        <v>0</v>
      </c>
      <c r="D121" s="35" t="str">
        <f>FEVEREIRO!D44</f>
        <v>DESPESAS COM PRODUTOS</v>
      </c>
      <c r="E121" s="35" t="str">
        <f>FEVEREIRO!E44</f>
        <v>-</v>
      </c>
      <c r="F121" s="67">
        <f>FEVEREIRO!G44</f>
        <v>0</v>
      </c>
      <c r="G121" s="68">
        <f>FEVEREIRO!H44</f>
        <v>1</v>
      </c>
      <c r="H121" s="37">
        <f>FEVEREIRO!I44</f>
        <v>46056</v>
      </c>
      <c r="I121" s="34" t="str">
        <f>FEVEREIRO!O44</f>
        <v>DESPESAS</v>
      </c>
      <c r="J121">
        <f t="shared" si="8"/>
        <v>0</v>
      </c>
      <c r="K121" t="str">
        <f t="shared" si="9"/>
        <v xml:space="preserve"> </v>
      </c>
      <c r="L121" t="str">
        <f t="shared" si="10"/>
        <v/>
      </c>
      <c r="M121">
        <f t="shared" si="11"/>
        <v>3</v>
      </c>
      <c r="N121">
        <f t="shared" si="12"/>
        <v>2</v>
      </c>
      <c r="O121" t="str">
        <f t="shared" si="14"/>
        <v>FEB</v>
      </c>
      <c r="P121" t="str">
        <f t="shared" si="13"/>
        <v>PAGO</v>
      </c>
    </row>
    <row r="122" spans="3:16" ht="30" x14ac:dyDescent="0.25">
      <c r="C122" s="35">
        <f>FEVEREIRO!C45</f>
        <v>0</v>
      </c>
      <c r="D122" s="35" t="str">
        <f>FEVEREIRO!D45</f>
        <v>DESPESAS COM PRODUTOS</v>
      </c>
      <c r="E122" s="35" t="str">
        <f>FEVEREIRO!E45</f>
        <v>-</v>
      </c>
      <c r="F122" s="67">
        <f>FEVEREIRO!G45</f>
        <v>0</v>
      </c>
      <c r="G122" s="68">
        <f>FEVEREIRO!H45</f>
        <v>1</v>
      </c>
      <c r="H122" s="37">
        <f>FEVEREIRO!I45</f>
        <v>46057</v>
      </c>
      <c r="I122" s="34" t="str">
        <f>FEVEREIRO!O45</f>
        <v>DESPESAS</v>
      </c>
      <c r="J122">
        <f t="shared" si="8"/>
        <v>0</v>
      </c>
      <c r="K122" t="str">
        <f t="shared" si="9"/>
        <v xml:space="preserve"> </v>
      </c>
      <c r="L122" t="str">
        <f t="shared" si="10"/>
        <v/>
      </c>
      <c r="M122">
        <f t="shared" si="11"/>
        <v>4</v>
      </c>
      <c r="N122">
        <f t="shared" si="12"/>
        <v>2</v>
      </c>
      <c r="O122" t="str">
        <f t="shared" si="14"/>
        <v>FEB</v>
      </c>
      <c r="P122" t="str">
        <f t="shared" si="13"/>
        <v>PAGO</v>
      </c>
    </row>
    <row r="123" spans="3:16" ht="30" x14ac:dyDescent="0.25">
      <c r="C123" s="35">
        <f>FEVEREIRO!C46</f>
        <v>0</v>
      </c>
      <c r="D123" s="35" t="str">
        <f>FEVEREIRO!D46</f>
        <v>DESPESAS COM PRODUTOS</v>
      </c>
      <c r="E123" s="35" t="str">
        <f>FEVEREIRO!E46</f>
        <v>-</v>
      </c>
      <c r="F123" s="67">
        <f>FEVEREIRO!G46</f>
        <v>0</v>
      </c>
      <c r="G123" s="68">
        <f>FEVEREIRO!H46</f>
        <v>1</v>
      </c>
      <c r="H123" s="37">
        <f>FEVEREIRO!I46</f>
        <v>46058</v>
      </c>
      <c r="I123" s="34" t="str">
        <f>FEVEREIRO!O46</f>
        <v>DESPESAS</v>
      </c>
      <c r="J123">
        <f t="shared" si="8"/>
        <v>0</v>
      </c>
      <c r="K123" t="str">
        <f t="shared" si="9"/>
        <v xml:space="preserve"> </v>
      </c>
      <c r="L123" t="str">
        <f t="shared" si="10"/>
        <v/>
      </c>
      <c r="M123">
        <f t="shared" si="11"/>
        <v>5</v>
      </c>
      <c r="N123">
        <f t="shared" si="12"/>
        <v>2</v>
      </c>
      <c r="O123" t="str">
        <f t="shared" si="14"/>
        <v>FEB</v>
      </c>
      <c r="P123" t="str">
        <f t="shared" si="13"/>
        <v>PAGO</v>
      </c>
    </row>
    <row r="124" spans="3:16" ht="30" x14ac:dyDescent="0.25">
      <c r="C124" s="35">
        <f>FEVEREIRO!C47</f>
        <v>0</v>
      </c>
      <c r="D124" s="35" t="str">
        <f>FEVEREIRO!D47</f>
        <v>DESPESAS COM PRODUTOS</v>
      </c>
      <c r="E124" s="35" t="str">
        <f>FEVEREIRO!E47</f>
        <v>-</v>
      </c>
      <c r="F124" s="67">
        <f>FEVEREIRO!G47</f>
        <v>0</v>
      </c>
      <c r="G124" s="68">
        <f>FEVEREIRO!H47</f>
        <v>1</v>
      </c>
      <c r="H124" s="37">
        <f>FEVEREIRO!I47</f>
        <v>46059</v>
      </c>
      <c r="I124" s="34" t="str">
        <f>FEVEREIRO!O47</f>
        <v>DESPESAS</v>
      </c>
      <c r="J124">
        <f t="shared" si="8"/>
        <v>0</v>
      </c>
      <c r="K124" t="str">
        <f t="shared" si="9"/>
        <v xml:space="preserve"> </v>
      </c>
      <c r="L124" t="str">
        <f t="shared" si="10"/>
        <v/>
      </c>
      <c r="M124">
        <f t="shared" si="11"/>
        <v>6</v>
      </c>
      <c r="N124">
        <f t="shared" si="12"/>
        <v>2</v>
      </c>
      <c r="O124" t="str">
        <f t="shared" si="14"/>
        <v>FEB</v>
      </c>
      <c r="P124" t="str">
        <f t="shared" si="13"/>
        <v>PAGO</v>
      </c>
    </row>
    <row r="125" spans="3:16" ht="30" x14ac:dyDescent="0.25">
      <c r="C125" s="35">
        <f>FEVEREIRO!C48</f>
        <v>0</v>
      </c>
      <c r="D125" s="35" t="str">
        <f>FEVEREIRO!D48</f>
        <v>DESPESAS COM PRODUTOS</v>
      </c>
      <c r="E125" s="35" t="str">
        <f>FEVEREIRO!E48</f>
        <v>-</v>
      </c>
      <c r="F125" s="67">
        <f>FEVEREIRO!G48</f>
        <v>0</v>
      </c>
      <c r="G125" s="68">
        <f>FEVEREIRO!H48</f>
        <v>1</v>
      </c>
      <c r="H125" s="37">
        <f>FEVEREIRO!I48</f>
        <v>46060</v>
      </c>
      <c r="I125" s="34" t="str">
        <f>FEVEREIRO!O48</f>
        <v>DESPESAS</v>
      </c>
      <c r="J125">
        <f t="shared" si="8"/>
        <v>0</v>
      </c>
      <c r="K125" t="str">
        <f t="shared" si="9"/>
        <v xml:space="preserve"> </v>
      </c>
      <c r="L125" t="str">
        <f t="shared" si="10"/>
        <v/>
      </c>
      <c r="M125">
        <f t="shared" si="11"/>
        <v>7</v>
      </c>
      <c r="N125">
        <f t="shared" si="12"/>
        <v>2</v>
      </c>
      <c r="O125" t="str">
        <f t="shared" si="14"/>
        <v>FEB</v>
      </c>
      <c r="P125" t="str">
        <f t="shared" si="13"/>
        <v>PAGO</v>
      </c>
    </row>
    <row r="126" spans="3:16" ht="30" x14ac:dyDescent="0.25">
      <c r="C126" s="35">
        <f>FEVEREIRO!C49</f>
        <v>0</v>
      </c>
      <c r="D126" s="35" t="str">
        <f>FEVEREIRO!D49</f>
        <v>DESPESAS COM PRODUTOS</v>
      </c>
      <c r="E126" s="35" t="str">
        <f>FEVEREIRO!E49</f>
        <v>-</v>
      </c>
      <c r="F126" s="67">
        <f>FEVEREIRO!G49</f>
        <v>0</v>
      </c>
      <c r="G126" s="68">
        <f>FEVEREIRO!H49</f>
        <v>1</v>
      </c>
      <c r="H126" s="37">
        <f>FEVEREIRO!I49</f>
        <v>46061</v>
      </c>
      <c r="I126" s="34" t="str">
        <f>FEVEREIRO!O49</f>
        <v>DESPESAS</v>
      </c>
      <c r="J126">
        <f t="shared" si="8"/>
        <v>0</v>
      </c>
      <c r="K126" t="str">
        <f t="shared" si="9"/>
        <v xml:space="preserve"> </v>
      </c>
      <c r="L126" t="str">
        <f t="shared" si="10"/>
        <v/>
      </c>
      <c r="M126">
        <f t="shared" si="11"/>
        <v>8</v>
      </c>
      <c r="N126">
        <f t="shared" si="12"/>
        <v>2</v>
      </c>
      <c r="O126" t="str">
        <f t="shared" si="14"/>
        <v>FEB</v>
      </c>
      <c r="P126" t="str">
        <f t="shared" si="13"/>
        <v>PAGO</v>
      </c>
    </row>
    <row r="127" spans="3:16" ht="30" x14ac:dyDescent="0.25">
      <c r="C127" s="35">
        <f>FEVEREIRO!C50</f>
        <v>0</v>
      </c>
      <c r="D127" s="35" t="str">
        <f>FEVEREIRO!D50</f>
        <v>DESPESAS COM PRODUTOS</v>
      </c>
      <c r="E127" s="35" t="str">
        <f>FEVEREIRO!E50</f>
        <v>-</v>
      </c>
      <c r="F127" s="67">
        <f>FEVEREIRO!G50</f>
        <v>0</v>
      </c>
      <c r="G127" s="68">
        <f>FEVEREIRO!H50</f>
        <v>1</v>
      </c>
      <c r="H127" s="37">
        <f>FEVEREIRO!I50</f>
        <v>46062</v>
      </c>
      <c r="I127" s="34" t="str">
        <f>FEVEREIRO!O50</f>
        <v>DESPESAS</v>
      </c>
      <c r="J127">
        <f t="shared" si="8"/>
        <v>0</v>
      </c>
      <c r="K127" t="str">
        <f t="shared" si="9"/>
        <v xml:space="preserve"> </v>
      </c>
      <c r="L127" t="str">
        <f t="shared" si="10"/>
        <v/>
      </c>
      <c r="M127">
        <f t="shared" si="11"/>
        <v>9</v>
      </c>
      <c r="N127">
        <f t="shared" si="12"/>
        <v>2</v>
      </c>
      <c r="O127" t="str">
        <f t="shared" si="14"/>
        <v>FEB</v>
      </c>
      <c r="P127" t="str">
        <f t="shared" si="13"/>
        <v>PAGO</v>
      </c>
    </row>
    <row r="128" spans="3:16" ht="30" x14ac:dyDescent="0.25">
      <c r="C128" s="35">
        <f>FEVEREIRO!C51</f>
        <v>0</v>
      </c>
      <c r="D128" s="35" t="str">
        <f>FEVEREIRO!D51</f>
        <v>DESPESAS COM PRODUTOS</v>
      </c>
      <c r="E128" s="35" t="str">
        <f>FEVEREIRO!E51</f>
        <v>-</v>
      </c>
      <c r="F128" s="67">
        <f>FEVEREIRO!G51</f>
        <v>0</v>
      </c>
      <c r="G128" s="68">
        <f>FEVEREIRO!H51</f>
        <v>1</v>
      </c>
      <c r="H128" s="37">
        <f>FEVEREIRO!I51</f>
        <v>46063</v>
      </c>
      <c r="I128" s="34" t="str">
        <f>FEVEREIRO!O51</f>
        <v>DESPESAS</v>
      </c>
      <c r="J128">
        <f t="shared" si="8"/>
        <v>0</v>
      </c>
      <c r="K128" t="str">
        <f t="shared" si="9"/>
        <v xml:space="preserve"> </v>
      </c>
      <c r="L128" t="str">
        <f t="shared" si="10"/>
        <v/>
      </c>
      <c r="M128">
        <f t="shared" si="11"/>
        <v>10</v>
      </c>
      <c r="N128">
        <f t="shared" si="12"/>
        <v>2</v>
      </c>
      <c r="O128" t="str">
        <f t="shared" si="14"/>
        <v>FEB</v>
      </c>
      <c r="P128" t="str">
        <f t="shared" si="13"/>
        <v>PAGO</v>
      </c>
    </row>
    <row r="129" spans="3:16" ht="30" x14ac:dyDescent="0.25">
      <c r="C129" s="35">
        <f>FEVEREIRO!C52</f>
        <v>0</v>
      </c>
      <c r="D129" s="35" t="str">
        <f>FEVEREIRO!D52</f>
        <v>RECEITAS COM PRODUTOS</v>
      </c>
      <c r="E129" s="35" t="str">
        <f>FEVEREIRO!E52</f>
        <v>-</v>
      </c>
      <c r="F129" s="67">
        <f>FEVEREIRO!G52</f>
        <v>0</v>
      </c>
      <c r="G129" s="68">
        <f>FEVEREIRO!H52</f>
        <v>1</v>
      </c>
      <c r="H129" s="37">
        <f>FEVEREIRO!I52</f>
        <v>46064</v>
      </c>
      <c r="I129" s="34" t="str">
        <f>FEVEREIRO!O52</f>
        <v>RECEITAS</v>
      </c>
      <c r="J129">
        <f t="shared" si="8"/>
        <v>0</v>
      </c>
      <c r="K129" t="str">
        <f t="shared" si="9"/>
        <v xml:space="preserve"> </v>
      </c>
      <c r="L129" t="str">
        <f t="shared" si="10"/>
        <v/>
      </c>
      <c r="M129">
        <f t="shared" si="11"/>
        <v>11</v>
      </c>
      <c r="N129">
        <f t="shared" si="12"/>
        <v>2</v>
      </c>
      <c r="O129" t="str">
        <f t="shared" si="14"/>
        <v>FEB</v>
      </c>
      <c r="P129" t="str">
        <f t="shared" si="13"/>
        <v>PAGO</v>
      </c>
    </row>
    <row r="130" spans="3:16" ht="30" x14ac:dyDescent="0.25">
      <c r="C130" s="35">
        <f>FEVEREIRO!C53</f>
        <v>0</v>
      </c>
      <c r="D130" s="35" t="str">
        <f>FEVEREIRO!D53</f>
        <v>RECEITAS COM PRODUTOS</v>
      </c>
      <c r="E130" s="35" t="str">
        <f>FEVEREIRO!E53</f>
        <v>-</v>
      </c>
      <c r="F130" s="67">
        <f>FEVEREIRO!G53</f>
        <v>0</v>
      </c>
      <c r="G130" s="68">
        <f>FEVEREIRO!H53</f>
        <v>1</v>
      </c>
      <c r="H130" s="37">
        <f>FEVEREIRO!I53</f>
        <v>46065</v>
      </c>
      <c r="I130" s="34" t="str">
        <f>FEVEREIRO!O53</f>
        <v>RECEITAS</v>
      </c>
      <c r="J130">
        <f t="shared" si="8"/>
        <v>0</v>
      </c>
      <c r="K130" t="str">
        <f t="shared" si="9"/>
        <v xml:space="preserve"> </v>
      </c>
      <c r="L130" t="str">
        <f t="shared" si="10"/>
        <v/>
      </c>
      <c r="M130">
        <f t="shared" si="11"/>
        <v>12</v>
      </c>
      <c r="N130">
        <f t="shared" si="12"/>
        <v>2</v>
      </c>
      <c r="O130" t="str">
        <f t="shared" si="14"/>
        <v>FEB</v>
      </c>
      <c r="P130" t="str">
        <f t="shared" si="13"/>
        <v>PAGO</v>
      </c>
    </row>
    <row r="131" spans="3:16" ht="30" x14ac:dyDescent="0.25">
      <c r="C131" s="35">
        <f>FEVEREIRO!C54</f>
        <v>0</v>
      </c>
      <c r="D131" s="35" t="str">
        <f>FEVEREIRO!D54</f>
        <v>RECEITAS COM PRODUTOS</v>
      </c>
      <c r="E131" s="35" t="str">
        <f>FEVEREIRO!E54</f>
        <v>-</v>
      </c>
      <c r="F131" s="67">
        <f>FEVEREIRO!G54</f>
        <v>0</v>
      </c>
      <c r="G131" s="68">
        <f>FEVEREIRO!H54</f>
        <v>1</v>
      </c>
      <c r="H131" s="37">
        <f>FEVEREIRO!I54</f>
        <v>46066</v>
      </c>
      <c r="I131" s="34" t="str">
        <f>FEVEREIRO!O54</f>
        <v>RECEITAS</v>
      </c>
      <c r="J131">
        <f t="shared" si="8"/>
        <v>0</v>
      </c>
      <c r="K131" t="str">
        <f t="shared" si="9"/>
        <v xml:space="preserve"> </v>
      </c>
      <c r="L131" t="str">
        <f t="shared" si="10"/>
        <v/>
      </c>
      <c r="M131">
        <f t="shared" si="11"/>
        <v>13</v>
      </c>
      <c r="N131">
        <f t="shared" si="12"/>
        <v>2</v>
      </c>
      <c r="O131" t="str">
        <f t="shared" si="14"/>
        <v>FEB</v>
      </c>
      <c r="P131" t="str">
        <f t="shared" si="13"/>
        <v>PAGO</v>
      </c>
    </row>
    <row r="132" spans="3:16" ht="30" x14ac:dyDescent="0.25">
      <c r="C132" s="35">
        <f>FEVEREIRO!C55</f>
        <v>0</v>
      </c>
      <c r="D132" s="35" t="str">
        <f>FEVEREIRO!D55</f>
        <v>RECEITAS COM PRODUTOS</v>
      </c>
      <c r="E132" s="35" t="str">
        <f>FEVEREIRO!E55</f>
        <v>-</v>
      </c>
      <c r="F132" s="67">
        <f>FEVEREIRO!G55</f>
        <v>0</v>
      </c>
      <c r="G132" s="68">
        <f>FEVEREIRO!H55</f>
        <v>1</v>
      </c>
      <c r="H132" s="37">
        <f>FEVEREIRO!I55</f>
        <v>46067</v>
      </c>
      <c r="I132" s="34" t="str">
        <f>FEVEREIRO!O55</f>
        <v>RECEITAS</v>
      </c>
      <c r="J132">
        <f t="shared" si="8"/>
        <v>0</v>
      </c>
      <c r="K132" t="str">
        <f t="shared" si="9"/>
        <v xml:space="preserve"> </v>
      </c>
      <c r="L132" t="str">
        <f t="shared" si="10"/>
        <v/>
      </c>
      <c r="M132">
        <f t="shared" si="11"/>
        <v>14</v>
      </c>
      <c r="N132">
        <f t="shared" si="12"/>
        <v>2</v>
      </c>
      <c r="O132" t="str">
        <f t="shared" si="14"/>
        <v>FEB</v>
      </c>
      <c r="P132" t="str">
        <f t="shared" si="13"/>
        <v>PAGO</v>
      </c>
    </row>
    <row r="133" spans="3:16" ht="30" x14ac:dyDescent="0.25">
      <c r="C133" s="35">
        <f>FEVEREIRO!C56</f>
        <v>0</v>
      </c>
      <c r="D133" s="35" t="str">
        <f>FEVEREIRO!D56</f>
        <v>RECEITAS COM PRODUTOS</v>
      </c>
      <c r="E133" s="35" t="str">
        <f>FEVEREIRO!E56</f>
        <v>-</v>
      </c>
      <c r="F133" s="67">
        <f>FEVEREIRO!G56</f>
        <v>0</v>
      </c>
      <c r="G133" s="68">
        <f>FEVEREIRO!H56</f>
        <v>1</v>
      </c>
      <c r="H133" s="37">
        <f>FEVEREIRO!I56</f>
        <v>46068</v>
      </c>
      <c r="I133" s="34" t="str">
        <f>FEVEREIRO!O56</f>
        <v>RECEITAS</v>
      </c>
      <c r="J133">
        <f t="shared" si="8"/>
        <v>0</v>
      </c>
      <c r="K133" t="str">
        <f t="shared" si="9"/>
        <v xml:space="preserve"> </v>
      </c>
      <c r="L133" t="str">
        <f t="shared" si="10"/>
        <v/>
      </c>
      <c r="M133">
        <f t="shared" si="11"/>
        <v>15</v>
      </c>
      <c r="N133">
        <f t="shared" si="12"/>
        <v>2</v>
      </c>
      <c r="O133" t="str">
        <f t="shared" si="14"/>
        <v>FEB</v>
      </c>
      <c r="P133" t="str">
        <f t="shared" si="13"/>
        <v>PAGO</v>
      </c>
    </row>
    <row r="134" spans="3:16" ht="30" x14ac:dyDescent="0.25">
      <c r="C134" s="35">
        <f>FEVEREIRO!C57</f>
        <v>0</v>
      </c>
      <c r="D134" s="35" t="str">
        <f>FEVEREIRO!D57</f>
        <v>RECEITAS COM PRODUTOS</v>
      </c>
      <c r="E134" s="35" t="str">
        <f>FEVEREIRO!E57</f>
        <v>-</v>
      </c>
      <c r="F134" s="67">
        <f>FEVEREIRO!G57</f>
        <v>0</v>
      </c>
      <c r="G134" s="68">
        <f>FEVEREIRO!H57</f>
        <v>1</v>
      </c>
      <c r="H134" s="37">
        <f>FEVEREIRO!I57</f>
        <v>46069</v>
      </c>
      <c r="I134" s="34" t="str">
        <f>FEVEREIRO!O57</f>
        <v>RECEITAS</v>
      </c>
      <c r="J134">
        <f t="shared" si="8"/>
        <v>0</v>
      </c>
      <c r="K134" t="str">
        <f t="shared" si="9"/>
        <v xml:space="preserve"> </v>
      </c>
      <c r="L134" t="str">
        <f t="shared" si="10"/>
        <v/>
      </c>
      <c r="M134">
        <f t="shared" si="11"/>
        <v>16</v>
      </c>
      <c r="N134">
        <f t="shared" si="12"/>
        <v>2</v>
      </c>
      <c r="O134" t="str">
        <f t="shared" si="14"/>
        <v>FEB</v>
      </c>
      <c r="P134" t="str">
        <f t="shared" si="13"/>
        <v>PAGO</v>
      </c>
    </row>
    <row r="135" spans="3:16" ht="30" x14ac:dyDescent="0.25">
      <c r="C135" s="35">
        <f>FEVEREIRO!C58</f>
        <v>0</v>
      </c>
      <c r="D135" s="35" t="str">
        <f>FEVEREIRO!D58</f>
        <v>RECEITAS COM PRODUTOS</v>
      </c>
      <c r="E135" s="35" t="str">
        <f>FEVEREIRO!E58</f>
        <v>-</v>
      </c>
      <c r="F135" s="67">
        <f>FEVEREIRO!G58</f>
        <v>0</v>
      </c>
      <c r="G135" s="68">
        <f>FEVEREIRO!H58</f>
        <v>1</v>
      </c>
      <c r="H135" s="37">
        <f>FEVEREIRO!I58</f>
        <v>46070</v>
      </c>
      <c r="I135" s="34" t="str">
        <f>FEVEREIRO!O58</f>
        <v>RECEITAS</v>
      </c>
      <c r="J135">
        <f t="shared" ref="J135:J198" si="15">DAY(C135)</f>
        <v>0</v>
      </c>
      <c r="K135" t="str">
        <f t="shared" ref="K135:K198" si="16">IF(C135 = 0, " ",MONTH(C135))</f>
        <v xml:space="preserve"> </v>
      </c>
      <c r="L135" t="str">
        <f t="shared" ref="L135:L198" si="17">IFERROR(VLOOKUP(K135,$R$6:$S$17,2),"")</f>
        <v/>
      </c>
      <c r="M135">
        <f t="shared" ref="M135:M198" si="18">DAY(H135)</f>
        <v>17</v>
      </c>
      <c r="N135">
        <f t="shared" ref="N135:N198" si="19">IF(H135 = 0, " ",MONTH(H135))</f>
        <v>2</v>
      </c>
      <c r="O135" t="str">
        <f t="shared" si="14"/>
        <v>FEB</v>
      </c>
      <c r="P135" t="str">
        <f t="shared" ref="P135:P198" si="20">IF(H135=0,"NAO PAGO","PAGO")</f>
        <v>PAGO</v>
      </c>
    </row>
    <row r="136" spans="3:16" ht="30" x14ac:dyDescent="0.25">
      <c r="C136" s="35">
        <f>FEVEREIRO!C59</f>
        <v>0</v>
      </c>
      <c r="D136" s="35" t="str">
        <f>FEVEREIRO!D59</f>
        <v>RECEITAS COM PRODUTOS</v>
      </c>
      <c r="E136" s="35" t="str">
        <f>FEVEREIRO!E59</f>
        <v>-</v>
      </c>
      <c r="F136" s="67">
        <f>FEVEREIRO!G59</f>
        <v>0</v>
      </c>
      <c r="G136" s="68">
        <f>FEVEREIRO!H59</f>
        <v>1</v>
      </c>
      <c r="H136" s="37">
        <f>FEVEREIRO!I59</f>
        <v>46071</v>
      </c>
      <c r="I136" s="34" t="str">
        <f>FEVEREIRO!O59</f>
        <v>RECEITAS</v>
      </c>
      <c r="J136">
        <f t="shared" si="15"/>
        <v>0</v>
      </c>
      <c r="K136" t="str">
        <f t="shared" si="16"/>
        <v xml:space="preserve"> </v>
      </c>
      <c r="L136" t="str">
        <f t="shared" si="17"/>
        <v/>
      </c>
      <c r="M136">
        <f t="shared" si="18"/>
        <v>18</v>
      </c>
      <c r="N136">
        <f t="shared" si="19"/>
        <v>2</v>
      </c>
      <c r="O136" t="str">
        <f t="shared" si="14"/>
        <v>FEB</v>
      </c>
      <c r="P136" t="str">
        <f t="shared" si="20"/>
        <v>PAGO</v>
      </c>
    </row>
    <row r="137" spans="3:16" ht="30" x14ac:dyDescent="0.25">
      <c r="C137" s="35">
        <f>FEVEREIRO!C60</f>
        <v>0</v>
      </c>
      <c r="D137" s="35" t="str">
        <f>FEVEREIRO!D60</f>
        <v>RECEITAS COM PRODUTOS</v>
      </c>
      <c r="E137" s="35" t="str">
        <f>FEVEREIRO!E60</f>
        <v>-</v>
      </c>
      <c r="F137" s="67">
        <f>FEVEREIRO!G60</f>
        <v>0</v>
      </c>
      <c r="G137" s="68">
        <f>FEVEREIRO!H60</f>
        <v>1</v>
      </c>
      <c r="H137" s="37">
        <f>FEVEREIRO!I60</f>
        <v>46072</v>
      </c>
      <c r="I137" s="34" t="str">
        <f>FEVEREIRO!O60</f>
        <v>RECEITAS</v>
      </c>
      <c r="J137">
        <f t="shared" si="15"/>
        <v>0</v>
      </c>
      <c r="K137" t="str">
        <f t="shared" si="16"/>
        <v xml:space="preserve"> </v>
      </c>
      <c r="L137" t="str">
        <f t="shared" si="17"/>
        <v/>
      </c>
      <c r="M137">
        <f t="shared" si="18"/>
        <v>19</v>
      </c>
      <c r="N137">
        <f t="shared" si="19"/>
        <v>2</v>
      </c>
      <c r="O137" t="str">
        <f t="shared" si="14"/>
        <v>FEB</v>
      </c>
      <c r="P137" t="str">
        <f t="shared" si="20"/>
        <v>PAGO</v>
      </c>
    </row>
    <row r="138" spans="3:16" ht="30" x14ac:dyDescent="0.25">
      <c r="C138" s="35">
        <f>FEVEREIRO!C61</f>
        <v>0</v>
      </c>
      <c r="D138" s="35" t="str">
        <f>FEVEREIRO!D61</f>
        <v>RECEITAS COM PRODUTOS</v>
      </c>
      <c r="E138" s="35" t="str">
        <f>FEVEREIRO!E61</f>
        <v>-</v>
      </c>
      <c r="F138" s="67">
        <f>FEVEREIRO!G61</f>
        <v>0</v>
      </c>
      <c r="G138" s="68">
        <f>FEVEREIRO!H61</f>
        <v>1</v>
      </c>
      <c r="H138" s="37">
        <f>FEVEREIRO!I61</f>
        <v>46073</v>
      </c>
      <c r="I138" s="34" t="str">
        <f>FEVEREIRO!O61</f>
        <v>RECEITAS</v>
      </c>
      <c r="J138">
        <f t="shared" si="15"/>
        <v>0</v>
      </c>
      <c r="K138" t="str">
        <f t="shared" si="16"/>
        <v xml:space="preserve"> </v>
      </c>
      <c r="L138" t="str">
        <f t="shared" si="17"/>
        <v/>
      </c>
      <c r="M138">
        <f t="shared" si="18"/>
        <v>20</v>
      </c>
      <c r="N138">
        <f t="shared" si="19"/>
        <v>2</v>
      </c>
      <c r="O138" t="str">
        <f t="shared" si="14"/>
        <v>FEB</v>
      </c>
      <c r="P138" t="str">
        <f t="shared" si="20"/>
        <v>PAGO</v>
      </c>
    </row>
    <row r="139" spans="3:16" ht="30" x14ac:dyDescent="0.25">
      <c r="C139" s="35">
        <f>FEVEREIRO!C62</f>
        <v>0</v>
      </c>
      <c r="D139" s="35" t="str">
        <f>FEVEREIRO!D62</f>
        <v>RECEITAS COM PRODUTOS</v>
      </c>
      <c r="E139" s="35" t="str">
        <f>FEVEREIRO!E62</f>
        <v>-</v>
      </c>
      <c r="F139" s="67">
        <f>FEVEREIRO!G62</f>
        <v>0</v>
      </c>
      <c r="G139" s="68">
        <f>FEVEREIRO!H62</f>
        <v>1</v>
      </c>
      <c r="H139" s="37">
        <f>FEVEREIRO!I62</f>
        <v>46074</v>
      </c>
      <c r="I139" s="34" t="str">
        <f>FEVEREIRO!O62</f>
        <v>RECEITAS</v>
      </c>
      <c r="J139">
        <f t="shared" si="15"/>
        <v>0</v>
      </c>
      <c r="K139" t="str">
        <f t="shared" si="16"/>
        <v xml:space="preserve"> </v>
      </c>
      <c r="L139" t="str">
        <f t="shared" si="17"/>
        <v/>
      </c>
      <c r="M139">
        <f t="shared" si="18"/>
        <v>21</v>
      </c>
      <c r="N139">
        <f t="shared" si="19"/>
        <v>2</v>
      </c>
      <c r="O139" t="str">
        <f t="shared" si="14"/>
        <v>FEB</v>
      </c>
      <c r="P139" t="str">
        <f t="shared" si="20"/>
        <v>PAGO</v>
      </c>
    </row>
    <row r="140" spans="3:16" ht="30" x14ac:dyDescent="0.25">
      <c r="C140" s="35">
        <f>FEVEREIRO!C63</f>
        <v>0</v>
      </c>
      <c r="D140" s="35" t="str">
        <f>FEVEREIRO!D63</f>
        <v>RECEITAS COM PRODUTOS</v>
      </c>
      <c r="E140" s="35" t="str">
        <f>FEVEREIRO!E63</f>
        <v>-</v>
      </c>
      <c r="F140" s="67">
        <f>FEVEREIRO!G63</f>
        <v>0</v>
      </c>
      <c r="G140" s="68">
        <f>FEVEREIRO!H63</f>
        <v>1</v>
      </c>
      <c r="H140" s="37">
        <f>FEVEREIRO!I63</f>
        <v>46075</v>
      </c>
      <c r="I140" s="34" t="str">
        <f>FEVEREIRO!O63</f>
        <v>RECEITAS</v>
      </c>
      <c r="J140">
        <f t="shared" si="15"/>
        <v>0</v>
      </c>
      <c r="K140" t="str">
        <f t="shared" si="16"/>
        <v xml:space="preserve"> </v>
      </c>
      <c r="L140" t="str">
        <f t="shared" si="17"/>
        <v/>
      </c>
      <c r="M140">
        <f t="shared" si="18"/>
        <v>22</v>
      </c>
      <c r="N140">
        <f t="shared" si="19"/>
        <v>2</v>
      </c>
      <c r="O140" t="str">
        <f t="shared" si="14"/>
        <v>FEB</v>
      </c>
      <c r="P140" t="str">
        <f t="shared" si="20"/>
        <v>PAGO</v>
      </c>
    </row>
    <row r="141" spans="3:16" ht="30" x14ac:dyDescent="0.25">
      <c r="C141" s="35">
        <f>FEVEREIRO!C64</f>
        <v>0</v>
      </c>
      <c r="D141" s="35" t="str">
        <f>FEVEREIRO!D64</f>
        <v>RECEITAS COM PRODUTOS</v>
      </c>
      <c r="E141" s="35" t="str">
        <f>FEVEREIRO!E64</f>
        <v>-</v>
      </c>
      <c r="F141" s="67">
        <f>FEVEREIRO!G64</f>
        <v>0</v>
      </c>
      <c r="G141" s="68">
        <f>FEVEREIRO!H64</f>
        <v>1</v>
      </c>
      <c r="H141" s="37">
        <f>FEVEREIRO!I64</f>
        <v>46076</v>
      </c>
      <c r="I141" s="34" t="str">
        <f>FEVEREIRO!O64</f>
        <v>RECEITAS</v>
      </c>
      <c r="J141">
        <f t="shared" si="15"/>
        <v>0</v>
      </c>
      <c r="K141" t="str">
        <f t="shared" si="16"/>
        <v xml:space="preserve"> </v>
      </c>
      <c r="L141" t="str">
        <f t="shared" si="17"/>
        <v/>
      </c>
      <c r="M141">
        <f t="shared" si="18"/>
        <v>23</v>
      </c>
      <c r="N141">
        <f t="shared" si="19"/>
        <v>2</v>
      </c>
      <c r="O141" t="str">
        <f t="shared" si="14"/>
        <v>FEB</v>
      </c>
      <c r="P141" t="str">
        <f t="shared" si="20"/>
        <v>PAGO</v>
      </c>
    </row>
    <row r="142" spans="3:16" ht="30" x14ac:dyDescent="0.25">
      <c r="C142" s="35">
        <f>FEVEREIRO!C65</f>
        <v>0</v>
      </c>
      <c r="D142" s="35" t="str">
        <f>FEVEREIRO!D65</f>
        <v>RECEITAS COM PRODUTOS</v>
      </c>
      <c r="E142" s="35" t="str">
        <f>FEVEREIRO!E65</f>
        <v>-</v>
      </c>
      <c r="F142" s="67">
        <f>FEVEREIRO!G65</f>
        <v>0</v>
      </c>
      <c r="G142" s="68">
        <f>FEVEREIRO!H65</f>
        <v>1</v>
      </c>
      <c r="H142" s="37">
        <f>FEVEREIRO!I65</f>
        <v>46077</v>
      </c>
      <c r="I142" s="34" t="str">
        <f>FEVEREIRO!O65</f>
        <v>RECEITAS</v>
      </c>
      <c r="J142">
        <f t="shared" si="15"/>
        <v>0</v>
      </c>
      <c r="K142" t="str">
        <f t="shared" si="16"/>
        <v xml:space="preserve"> </v>
      </c>
      <c r="L142" t="str">
        <f t="shared" si="17"/>
        <v/>
      </c>
      <c r="M142">
        <f t="shared" si="18"/>
        <v>24</v>
      </c>
      <c r="N142">
        <f t="shared" si="19"/>
        <v>2</v>
      </c>
      <c r="O142" t="str">
        <f t="shared" si="14"/>
        <v>FEB</v>
      </c>
      <c r="P142" t="str">
        <f t="shared" si="20"/>
        <v>PAGO</v>
      </c>
    </row>
    <row r="143" spans="3:16" ht="30" x14ac:dyDescent="0.25">
      <c r="C143" s="35">
        <f>FEVEREIRO!C66</f>
        <v>0</v>
      </c>
      <c r="D143" s="35" t="str">
        <f>FEVEREIRO!D66</f>
        <v>RECEITAS COM PRODUTOS</v>
      </c>
      <c r="E143" s="35" t="str">
        <f>FEVEREIRO!E66</f>
        <v>-</v>
      </c>
      <c r="F143" s="67">
        <f>FEVEREIRO!G66</f>
        <v>0</v>
      </c>
      <c r="G143" s="68">
        <f>FEVEREIRO!H66</f>
        <v>1</v>
      </c>
      <c r="H143" s="37">
        <f>FEVEREIRO!I66</f>
        <v>46078</v>
      </c>
      <c r="I143" s="34" t="str">
        <f>FEVEREIRO!O66</f>
        <v>RECEITAS</v>
      </c>
      <c r="J143">
        <f t="shared" si="15"/>
        <v>0</v>
      </c>
      <c r="K143" t="str">
        <f t="shared" si="16"/>
        <v xml:space="preserve"> </v>
      </c>
      <c r="L143" t="str">
        <f t="shared" si="17"/>
        <v/>
      </c>
      <c r="M143">
        <f t="shared" si="18"/>
        <v>25</v>
      </c>
      <c r="N143">
        <f t="shared" si="19"/>
        <v>2</v>
      </c>
      <c r="O143" t="str">
        <f t="shared" si="14"/>
        <v>FEB</v>
      </c>
      <c r="P143" t="str">
        <f t="shared" si="20"/>
        <v>PAGO</v>
      </c>
    </row>
    <row r="144" spans="3:16" ht="30" x14ac:dyDescent="0.25">
      <c r="C144" s="35">
        <f>FEVEREIRO!C67</f>
        <v>0</v>
      </c>
      <c r="D144" s="35" t="str">
        <f>FEVEREIRO!D67</f>
        <v>RECEITAS COM PRODUTOS</v>
      </c>
      <c r="E144" s="35" t="str">
        <f>FEVEREIRO!E67</f>
        <v>-</v>
      </c>
      <c r="F144" s="67">
        <f>FEVEREIRO!G67</f>
        <v>0</v>
      </c>
      <c r="G144" s="68">
        <f>FEVEREIRO!H67</f>
        <v>1</v>
      </c>
      <c r="H144" s="37">
        <f>FEVEREIRO!I67</f>
        <v>46079</v>
      </c>
      <c r="I144" s="34" t="str">
        <f>FEVEREIRO!O67</f>
        <v>RECEITAS</v>
      </c>
      <c r="J144">
        <f t="shared" si="15"/>
        <v>0</v>
      </c>
      <c r="K144" t="str">
        <f t="shared" si="16"/>
        <v xml:space="preserve"> </v>
      </c>
      <c r="L144" t="str">
        <f t="shared" si="17"/>
        <v/>
      </c>
      <c r="M144">
        <f t="shared" si="18"/>
        <v>26</v>
      </c>
      <c r="N144">
        <f t="shared" si="19"/>
        <v>2</v>
      </c>
      <c r="O144" t="str">
        <f t="shared" si="14"/>
        <v>FEB</v>
      </c>
      <c r="P144" t="str">
        <f t="shared" si="20"/>
        <v>PAGO</v>
      </c>
    </row>
    <row r="145" spans="3:16" ht="30" x14ac:dyDescent="0.25">
      <c r="C145" s="35">
        <f>FEVEREIRO!C68</f>
        <v>0</v>
      </c>
      <c r="D145" s="35" t="str">
        <f>FEVEREIRO!D68</f>
        <v>RECEITAS COM PRODUTOS</v>
      </c>
      <c r="E145" s="35" t="str">
        <f>FEVEREIRO!E68</f>
        <v>-</v>
      </c>
      <c r="F145" s="67">
        <f>FEVEREIRO!G68</f>
        <v>0</v>
      </c>
      <c r="G145" s="68">
        <f>FEVEREIRO!H68</f>
        <v>1</v>
      </c>
      <c r="H145" s="37">
        <f>FEVEREIRO!I68</f>
        <v>46080</v>
      </c>
      <c r="I145" s="34" t="str">
        <f>FEVEREIRO!O68</f>
        <v>RECEITAS</v>
      </c>
      <c r="J145">
        <f t="shared" si="15"/>
        <v>0</v>
      </c>
      <c r="K145" t="str">
        <f t="shared" si="16"/>
        <v xml:space="preserve"> </v>
      </c>
      <c r="L145" t="str">
        <f t="shared" si="17"/>
        <v/>
      </c>
      <c r="M145">
        <f t="shared" si="18"/>
        <v>27</v>
      </c>
      <c r="N145">
        <f t="shared" si="19"/>
        <v>2</v>
      </c>
      <c r="O145" t="str">
        <f t="shared" si="14"/>
        <v>FEB</v>
      </c>
      <c r="P145" t="str">
        <f t="shared" si="20"/>
        <v>PAGO</v>
      </c>
    </row>
    <row r="146" spans="3:16" ht="30" x14ac:dyDescent="0.25">
      <c r="C146" s="35">
        <f>FEVEREIRO!C69</f>
        <v>0</v>
      </c>
      <c r="D146" s="35" t="str">
        <f>FEVEREIRO!D69</f>
        <v>RECEITAS COM PRODUTOS</v>
      </c>
      <c r="E146" s="35" t="str">
        <f>FEVEREIRO!E69</f>
        <v>-</v>
      </c>
      <c r="F146" s="67">
        <f>FEVEREIRO!G69</f>
        <v>0</v>
      </c>
      <c r="G146" s="68">
        <f>FEVEREIRO!H69</f>
        <v>1</v>
      </c>
      <c r="H146" s="37">
        <f>FEVEREIRO!I69</f>
        <v>46081</v>
      </c>
      <c r="I146" s="34" t="str">
        <f>FEVEREIRO!O69</f>
        <v>RECEITAS</v>
      </c>
      <c r="J146">
        <f t="shared" si="15"/>
        <v>0</v>
      </c>
      <c r="K146" t="str">
        <f t="shared" si="16"/>
        <v xml:space="preserve"> </v>
      </c>
      <c r="L146" t="str">
        <f t="shared" si="17"/>
        <v/>
      </c>
      <c r="M146">
        <f t="shared" si="18"/>
        <v>28</v>
      </c>
      <c r="N146">
        <f t="shared" si="19"/>
        <v>2</v>
      </c>
      <c r="O146" t="str">
        <f t="shared" si="14"/>
        <v>FEB</v>
      </c>
      <c r="P146" t="str">
        <f t="shared" si="20"/>
        <v>PAGO</v>
      </c>
    </row>
    <row r="147" spans="3:16" ht="30" x14ac:dyDescent="0.25">
      <c r="C147" s="35">
        <f>FEVEREIRO!C70</f>
        <v>0</v>
      </c>
      <c r="D147" s="35" t="str">
        <f>FEVEREIRO!D70</f>
        <v>RECEITAS COM PRODUTOS</v>
      </c>
      <c r="E147" s="35" t="str">
        <f>FEVEREIRO!E70</f>
        <v>-</v>
      </c>
      <c r="F147" s="67">
        <f>FEVEREIRO!G70</f>
        <v>0</v>
      </c>
      <c r="G147" s="68">
        <f>FEVEREIRO!H70</f>
        <v>1</v>
      </c>
      <c r="H147" s="37">
        <f>FEVEREIRO!I70</f>
        <v>46082</v>
      </c>
      <c r="I147" s="34" t="str">
        <f>FEVEREIRO!O70</f>
        <v>RECEITAS</v>
      </c>
      <c r="J147">
        <f t="shared" si="15"/>
        <v>0</v>
      </c>
      <c r="K147" t="str">
        <f t="shared" si="16"/>
        <v xml:space="preserve"> </v>
      </c>
      <c r="L147" t="str">
        <f t="shared" si="17"/>
        <v/>
      </c>
      <c r="M147">
        <f t="shared" si="18"/>
        <v>1</v>
      </c>
      <c r="N147">
        <f t="shared" si="19"/>
        <v>3</v>
      </c>
      <c r="O147" t="str">
        <f t="shared" si="14"/>
        <v>MAR</v>
      </c>
      <c r="P147" t="str">
        <f t="shared" si="20"/>
        <v>PAGO</v>
      </c>
    </row>
    <row r="148" spans="3:16" ht="30" x14ac:dyDescent="0.25">
      <c r="C148" s="35">
        <f>FEVEREIRO!C71</f>
        <v>0</v>
      </c>
      <c r="D148" s="35" t="str">
        <f>FEVEREIRO!D71</f>
        <v>RECEITAS COM PRODUTOS</v>
      </c>
      <c r="E148" s="35" t="str">
        <f>FEVEREIRO!E71</f>
        <v>-</v>
      </c>
      <c r="F148" s="67">
        <f>FEVEREIRO!G71</f>
        <v>0</v>
      </c>
      <c r="G148" s="68">
        <f>FEVEREIRO!H71</f>
        <v>1</v>
      </c>
      <c r="H148" s="37">
        <f>FEVEREIRO!I71</f>
        <v>46083</v>
      </c>
      <c r="I148" s="34" t="str">
        <f>FEVEREIRO!O71</f>
        <v>RECEITAS</v>
      </c>
      <c r="J148">
        <f t="shared" si="15"/>
        <v>0</v>
      </c>
      <c r="K148" t="str">
        <f t="shared" si="16"/>
        <v xml:space="preserve"> </v>
      </c>
      <c r="L148" t="str">
        <f t="shared" si="17"/>
        <v/>
      </c>
      <c r="M148">
        <f t="shared" si="18"/>
        <v>2</v>
      </c>
      <c r="N148">
        <f t="shared" si="19"/>
        <v>3</v>
      </c>
      <c r="O148" t="str">
        <f t="shared" si="14"/>
        <v>MAR</v>
      </c>
      <c r="P148" t="str">
        <f t="shared" si="20"/>
        <v>PAGO</v>
      </c>
    </row>
    <row r="149" spans="3:16" ht="30" x14ac:dyDescent="0.25">
      <c r="C149" s="35">
        <f>FEVEREIRO!C72</f>
        <v>0</v>
      </c>
      <c r="D149" s="35" t="str">
        <f>FEVEREIRO!D72</f>
        <v>RECEITAS COM PRODUTOS</v>
      </c>
      <c r="E149" s="35" t="str">
        <f>FEVEREIRO!E72</f>
        <v>-</v>
      </c>
      <c r="F149" s="67">
        <f>FEVEREIRO!G72</f>
        <v>0</v>
      </c>
      <c r="G149" s="68">
        <f>FEVEREIRO!H72</f>
        <v>1</v>
      </c>
      <c r="H149" s="37">
        <f>FEVEREIRO!I72</f>
        <v>46084</v>
      </c>
      <c r="I149" s="34" t="str">
        <f>FEVEREIRO!O72</f>
        <v>RECEITAS</v>
      </c>
      <c r="J149">
        <f t="shared" si="15"/>
        <v>0</v>
      </c>
      <c r="K149" t="str">
        <f t="shared" si="16"/>
        <v xml:space="preserve"> </v>
      </c>
      <c r="L149" t="str">
        <f t="shared" si="17"/>
        <v/>
      </c>
      <c r="M149">
        <f t="shared" si="18"/>
        <v>3</v>
      </c>
      <c r="N149">
        <f t="shared" si="19"/>
        <v>3</v>
      </c>
      <c r="O149" t="str">
        <f t="shared" si="14"/>
        <v>MAR</v>
      </c>
      <c r="P149" t="str">
        <f t="shared" si="20"/>
        <v>PAGO</v>
      </c>
    </row>
    <row r="150" spans="3:16" ht="30" x14ac:dyDescent="0.25">
      <c r="C150" s="35">
        <f>FEVEREIRO!C73</f>
        <v>0</v>
      </c>
      <c r="D150" s="35" t="str">
        <f>FEVEREIRO!D73</f>
        <v>RECEITAS COM PRODUTOS</v>
      </c>
      <c r="E150" s="35" t="str">
        <f>FEVEREIRO!E73</f>
        <v>-</v>
      </c>
      <c r="F150" s="67">
        <f>FEVEREIRO!G73</f>
        <v>0</v>
      </c>
      <c r="G150" s="68">
        <f>FEVEREIRO!H73</f>
        <v>1</v>
      </c>
      <c r="H150" s="37">
        <f>FEVEREIRO!I73</f>
        <v>46085</v>
      </c>
      <c r="I150" s="34" t="str">
        <f>FEVEREIRO!O73</f>
        <v>RECEITAS</v>
      </c>
      <c r="J150">
        <f t="shared" si="15"/>
        <v>0</v>
      </c>
      <c r="K150" t="str">
        <f t="shared" si="16"/>
        <v xml:space="preserve"> </v>
      </c>
      <c r="L150" t="str">
        <f t="shared" si="17"/>
        <v/>
      </c>
      <c r="M150">
        <f t="shared" si="18"/>
        <v>4</v>
      </c>
      <c r="N150">
        <f t="shared" si="19"/>
        <v>3</v>
      </c>
      <c r="O150" t="str">
        <f t="shared" si="14"/>
        <v>MAR</v>
      </c>
      <c r="P150" t="str">
        <f t="shared" si="20"/>
        <v>PAGO</v>
      </c>
    </row>
    <row r="151" spans="3:16" ht="30" x14ac:dyDescent="0.25">
      <c r="C151" s="35">
        <f>FEVEREIRO!C74</f>
        <v>0</v>
      </c>
      <c r="D151" s="35" t="str">
        <f>FEVEREIRO!D74</f>
        <v>RECEITAS COM PRODUTOS</v>
      </c>
      <c r="E151" s="35" t="str">
        <f>FEVEREIRO!E74</f>
        <v>-</v>
      </c>
      <c r="F151" s="67">
        <f>FEVEREIRO!G74</f>
        <v>0</v>
      </c>
      <c r="G151" s="68">
        <f>FEVEREIRO!H74</f>
        <v>1</v>
      </c>
      <c r="H151" s="37">
        <f>FEVEREIRO!I74</f>
        <v>46086</v>
      </c>
      <c r="I151" s="34" t="str">
        <f>FEVEREIRO!O74</f>
        <v>RECEITAS</v>
      </c>
      <c r="J151">
        <f t="shared" si="15"/>
        <v>0</v>
      </c>
      <c r="K151" t="str">
        <f t="shared" si="16"/>
        <v xml:space="preserve"> </v>
      </c>
      <c r="L151" t="str">
        <f t="shared" si="17"/>
        <v/>
      </c>
      <c r="M151">
        <f t="shared" si="18"/>
        <v>5</v>
      </c>
      <c r="N151">
        <f t="shared" si="19"/>
        <v>3</v>
      </c>
      <c r="O151" t="str">
        <f t="shared" ref="O151:O214" si="21">IFERROR(VLOOKUP(N151,$R$6:$S$17,2),"")</f>
        <v>MAR</v>
      </c>
      <c r="P151" t="str">
        <f t="shared" si="20"/>
        <v>PAGO</v>
      </c>
    </row>
    <row r="152" spans="3:16" ht="30" x14ac:dyDescent="0.25">
      <c r="C152" s="35">
        <f>FEVEREIRO!C75</f>
        <v>0</v>
      </c>
      <c r="D152" s="35" t="str">
        <f>FEVEREIRO!D75</f>
        <v>RECEITAS COM PRODUTOS</v>
      </c>
      <c r="E152" s="35" t="str">
        <f>FEVEREIRO!E75</f>
        <v>-</v>
      </c>
      <c r="F152" s="67">
        <f>FEVEREIRO!G75</f>
        <v>0</v>
      </c>
      <c r="G152" s="68">
        <f>FEVEREIRO!H75</f>
        <v>1</v>
      </c>
      <c r="H152" s="37">
        <f>FEVEREIRO!I75</f>
        <v>46087</v>
      </c>
      <c r="I152" s="34" t="str">
        <f>FEVEREIRO!O75</f>
        <v>RECEITAS</v>
      </c>
      <c r="J152">
        <f t="shared" si="15"/>
        <v>0</v>
      </c>
      <c r="K152" t="str">
        <f t="shared" si="16"/>
        <v xml:space="preserve"> </v>
      </c>
      <c r="L152" t="str">
        <f t="shared" si="17"/>
        <v/>
      </c>
      <c r="M152">
        <f t="shared" si="18"/>
        <v>6</v>
      </c>
      <c r="N152">
        <f t="shared" si="19"/>
        <v>3</v>
      </c>
      <c r="O152" t="str">
        <f t="shared" si="21"/>
        <v>MAR</v>
      </c>
      <c r="P152" t="str">
        <f t="shared" si="20"/>
        <v>PAGO</v>
      </c>
    </row>
    <row r="153" spans="3:16" ht="30" x14ac:dyDescent="0.25">
      <c r="C153" s="35">
        <f>FEVEREIRO!C76</f>
        <v>0</v>
      </c>
      <c r="D153" s="35" t="str">
        <f>FEVEREIRO!D76</f>
        <v>RECEITAS COM PRODUTOS</v>
      </c>
      <c r="E153" s="35" t="str">
        <f>FEVEREIRO!E76</f>
        <v>-</v>
      </c>
      <c r="F153" s="67">
        <f>FEVEREIRO!G76</f>
        <v>0</v>
      </c>
      <c r="G153" s="68">
        <f>FEVEREIRO!H76</f>
        <v>1</v>
      </c>
      <c r="H153" s="37">
        <f>FEVEREIRO!I76</f>
        <v>46088</v>
      </c>
      <c r="I153" s="34" t="str">
        <f>FEVEREIRO!O76</f>
        <v>RECEITAS</v>
      </c>
      <c r="J153">
        <f t="shared" si="15"/>
        <v>0</v>
      </c>
      <c r="K153" t="str">
        <f t="shared" si="16"/>
        <v xml:space="preserve"> </v>
      </c>
      <c r="L153" t="str">
        <f t="shared" si="17"/>
        <v/>
      </c>
      <c r="M153">
        <f t="shared" si="18"/>
        <v>7</v>
      </c>
      <c r="N153">
        <f t="shared" si="19"/>
        <v>3</v>
      </c>
      <c r="O153" t="str">
        <f t="shared" si="21"/>
        <v>MAR</v>
      </c>
      <c r="P153" t="str">
        <f t="shared" si="20"/>
        <v>PAGO</v>
      </c>
    </row>
    <row r="154" spans="3:16" ht="30" x14ac:dyDescent="0.25">
      <c r="C154" s="35">
        <f>FEVEREIRO!C77</f>
        <v>0</v>
      </c>
      <c r="D154" s="35" t="str">
        <f>FEVEREIRO!D77</f>
        <v>RECEITAS COM PRODUTOS</v>
      </c>
      <c r="E154" s="35" t="str">
        <f>FEVEREIRO!E77</f>
        <v>-</v>
      </c>
      <c r="F154" s="67">
        <f>FEVEREIRO!G77</f>
        <v>0</v>
      </c>
      <c r="G154" s="68">
        <f>FEVEREIRO!H77</f>
        <v>1</v>
      </c>
      <c r="H154" s="37">
        <f>FEVEREIRO!I77</f>
        <v>46089</v>
      </c>
      <c r="I154" s="34" t="str">
        <f>FEVEREIRO!O77</f>
        <v>RECEITAS</v>
      </c>
      <c r="J154">
        <f t="shared" si="15"/>
        <v>0</v>
      </c>
      <c r="K154" t="str">
        <f t="shared" si="16"/>
        <v xml:space="preserve"> </v>
      </c>
      <c r="L154" t="str">
        <f t="shared" si="17"/>
        <v/>
      </c>
      <c r="M154">
        <f t="shared" si="18"/>
        <v>8</v>
      </c>
      <c r="N154">
        <f t="shared" si="19"/>
        <v>3</v>
      </c>
      <c r="O154" t="str">
        <f t="shared" si="21"/>
        <v>MAR</v>
      </c>
      <c r="P154" t="str">
        <f t="shared" si="20"/>
        <v>PAGO</v>
      </c>
    </row>
    <row r="155" spans="3:16" ht="30" x14ac:dyDescent="0.25">
      <c r="C155" s="35">
        <f>FEVEREIRO!C78</f>
        <v>0</v>
      </c>
      <c r="D155" s="35" t="str">
        <f>FEVEREIRO!D78</f>
        <v>RECEITAS COM PRODUTOS</v>
      </c>
      <c r="E155" s="35" t="str">
        <f>FEVEREIRO!E78</f>
        <v>-</v>
      </c>
      <c r="F155" s="67">
        <f>FEVEREIRO!G78</f>
        <v>0</v>
      </c>
      <c r="G155" s="68">
        <f>FEVEREIRO!H78</f>
        <v>1</v>
      </c>
      <c r="H155" s="37">
        <f>FEVEREIRO!I78</f>
        <v>46090</v>
      </c>
      <c r="I155" s="34" t="str">
        <f>FEVEREIRO!O78</f>
        <v>RECEITAS</v>
      </c>
      <c r="J155">
        <f t="shared" si="15"/>
        <v>0</v>
      </c>
      <c r="K155" t="str">
        <f t="shared" si="16"/>
        <v xml:space="preserve"> </v>
      </c>
      <c r="L155" t="str">
        <f t="shared" si="17"/>
        <v/>
      </c>
      <c r="M155">
        <f t="shared" si="18"/>
        <v>9</v>
      </c>
      <c r="N155">
        <f t="shared" si="19"/>
        <v>3</v>
      </c>
      <c r="O155" t="str">
        <f t="shared" si="21"/>
        <v>MAR</v>
      </c>
      <c r="P155" t="str">
        <f t="shared" si="20"/>
        <v>PAGO</v>
      </c>
    </row>
    <row r="156" spans="3:16" ht="30" x14ac:dyDescent="0.25">
      <c r="C156" s="35">
        <f>FEVEREIRO!C79</f>
        <v>0</v>
      </c>
      <c r="D156" s="35" t="str">
        <f>FEVEREIRO!D79</f>
        <v>RECEITAS COM PRODUTOS</v>
      </c>
      <c r="E156" s="35" t="str">
        <f>FEVEREIRO!E79</f>
        <v>-</v>
      </c>
      <c r="F156" s="67">
        <f>FEVEREIRO!G79</f>
        <v>0</v>
      </c>
      <c r="G156" s="68">
        <f>FEVEREIRO!H79</f>
        <v>1</v>
      </c>
      <c r="H156" s="37">
        <f>FEVEREIRO!I79</f>
        <v>46091</v>
      </c>
      <c r="I156" s="34" t="str">
        <f>FEVEREIRO!O79</f>
        <v>RECEITAS</v>
      </c>
      <c r="J156">
        <f t="shared" si="15"/>
        <v>0</v>
      </c>
      <c r="K156" t="str">
        <f t="shared" si="16"/>
        <v xml:space="preserve"> </v>
      </c>
      <c r="L156" t="str">
        <f t="shared" si="17"/>
        <v/>
      </c>
      <c r="M156">
        <f t="shared" si="18"/>
        <v>10</v>
      </c>
      <c r="N156">
        <f t="shared" si="19"/>
        <v>3</v>
      </c>
      <c r="O156" t="str">
        <f t="shared" si="21"/>
        <v>MAR</v>
      </c>
      <c r="P156" t="str">
        <f t="shared" si="20"/>
        <v>PAGO</v>
      </c>
    </row>
    <row r="157" spans="3:16" ht="30" x14ac:dyDescent="0.25">
      <c r="C157" s="35">
        <f>FEVEREIRO!C80</f>
        <v>0</v>
      </c>
      <c r="D157" s="35" t="str">
        <f>FEVEREIRO!D80</f>
        <v>RECEITAS COM PRODUTOS</v>
      </c>
      <c r="E157" s="35" t="str">
        <f>FEVEREIRO!E80</f>
        <v>-</v>
      </c>
      <c r="F157" s="67" t="str">
        <f>FEVEREIRO!G80</f>
        <v>BENFICA</v>
      </c>
      <c r="G157" s="68">
        <f>FEVEREIRO!H80</f>
        <v>1</v>
      </c>
      <c r="H157" s="37">
        <f>FEVEREIRO!I80</f>
        <v>46092</v>
      </c>
      <c r="I157" s="34" t="str">
        <f>FEVEREIRO!O80</f>
        <v>RECEITAS</v>
      </c>
      <c r="J157">
        <f t="shared" si="15"/>
        <v>0</v>
      </c>
      <c r="K157" t="str">
        <f t="shared" si="16"/>
        <v xml:space="preserve"> </v>
      </c>
      <c r="L157" t="str">
        <f t="shared" si="17"/>
        <v/>
      </c>
      <c r="M157">
        <f t="shared" si="18"/>
        <v>11</v>
      </c>
      <c r="N157">
        <f t="shared" si="19"/>
        <v>3</v>
      </c>
      <c r="O157" t="str">
        <f t="shared" si="21"/>
        <v>MAR</v>
      </c>
      <c r="P157" t="str">
        <f t="shared" si="20"/>
        <v>PAGO</v>
      </c>
    </row>
    <row r="158" spans="3:16" ht="30" x14ac:dyDescent="0.25">
      <c r="C158" s="35">
        <f>FEVEREIRO!C81</f>
        <v>0</v>
      </c>
      <c r="D158" s="35" t="str">
        <f>FEVEREIRO!D81</f>
        <v>RECEITAS COM PRODUTOS</v>
      </c>
      <c r="E158" s="35" t="str">
        <f>FEVEREIRO!E81</f>
        <v>-</v>
      </c>
      <c r="F158" s="67">
        <f>FEVEREIRO!G81</f>
        <v>0</v>
      </c>
      <c r="G158" s="68">
        <f>FEVEREIRO!H81</f>
        <v>1</v>
      </c>
      <c r="H158" s="37">
        <f>FEVEREIRO!I81</f>
        <v>46093</v>
      </c>
      <c r="I158" s="34" t="str">
        <f>FEVEREIRO!O81</f>
        <v>RECEITAS</v>
      </c>
      <c r="J158">
        <f t="shared" si="15"/>
        <v>0</v>
      </c>
      <c r="K158" t="str">
        <f t="shared" si="16"/>
        <v xml:space="preserve"> </v>
      </c>
      <c r="L158" t="str">
        <f t="shared" si="17"/>
        <v/>
      </c>
      <c r="M158">
        <f t="shared" si="18"/>
        <v>12</v>
      </c>
      <c r="N158">
        <f t="shared" si="19"/>
        <v>3</v>
      </c>
      <c r="O158" t="str">
        <f t="shared" si="21"/>
        <v>MAR</v>
      </c>
      <c r="P158" t="str">
        <f t="shared" si="20"/>
        <v>PAGO</v>
      </c>
    </row>
    <row r="159" spans="3:16" ht="30" x14ac:dyDescent="0.25">
      <c r="C159" s="35">
        <f>FEVEREIRO!C82</f>
        <v>0</v>
      </c>
      <c r="D159" s="35" t="str">
        <f>FEVEREIRO!D82</f>
        <v>RECEITAS COM PRODUTOS</v>
      </c>
      <c r="E159" s="35" t="str">
        <f>FEVEREIRO!E82</f>
        <v>-</v>
      </c>
      <c r="F159" s="67">
        <f>FEVEREIRO!G82</f>
        <v>0</v>
      </c>
      <c r="G159" s="68">
        <f>FEVEREIRO!H82</f>
        <v>1</v>
      </c>
      <c r="H159" s="37">
        <f>FEVEREIRO!I82</f>
        <v>46094</v>
      </c>
      <c r="I159" s="34" t="str">
        <f>FEVEREIRO!O82</f>
        <v>RECEITAS</v>
      </c>
      <c r="J159">
        <f t="shared" si="15"/>
        <v>0</v>
      </c>
      <c r="K159" t="str">
        <f t="shared" si="16"/>
        <v xml:space="preserve"> </v>
      </c>
      <c r="L159" t="str">
        <f t="shared" si="17"/>
        <v/>
      </c>
      <c r="M159">
        <f t="shared" si="18"/>
        <v>13</v>
      </c>
      <c r="N159">
        <f t="shared" si="19"/>
        <v>3</v>
      </c>
      <c r="O159" t="str">
        <f t="shared" si="21"/>
        <v>MAR</v>
      </c>
      <c r="P159" t="str">
        <f t="shared" si="20"/>
        <v>PAGO</v>
      </c>
    </row>
    <row r="160" spans="3:16" ht="30" x14ac:dyDescent="0.25">
      <c r="C160" s="35">
        <f>FEVEREIRO!C83</f>
        <v>0</v>
      </c>
      <c r="D160" s="35" t="str">
        <f>FEVEREIRO!D83</f>
        <v>RECEITAS COM PRODUTOS</v>
      </c>
      <c r="E160" s="35" t="str">
        <f>FEVEREIRO!E83</f>
        <v>-</v>
      </c>
      <c r="F160" s="67">
        <f>FEVEREIRO!G83</f>
        <v>0</v>
      </c>
      <c r="G160" s="68">
        <f>FEVEREIRO!H83</f>
        <v>1</v>
      </c>
      <c r="H160" s="37">
        <f>FEVEREIRO!I83</f>
        <v>46095</v>
      </c>
      <c r="I160" s="34" t="str">
        <f>FEVEREIRO!O83</f>
        <v>RECEITAS</v>
      </c>
      <c r="J160">
        <f t="shared" si="15"/>
        <v>0</v>
      </c>
      <c r="K160" t="str">
        <f t="shared" si="16"/>
        <v xml:space="preserve"> </v>
      </c>
      <c r="L160" t="str">
        <f t="shared" si="17"/>
        <v/>
      </c>
      <c r="M160">
        <f t="shared" si="18"/>
        <v>14</v>
      </c>
      <c r="N160">
        <f t="shared" si="19"/>
        <v>3</v>
      </c>
      <c r="O160" t="str">
        <f t="shared" si="21"/>
        <v>MAR</v>
      </c>
      <c r="P160" t="str">
        <f t="shared" si="20"/>
        <v>PAGO</v>
      </c>
    </row>
    <row r="161" spans="2:16" ht="30" x14ac:dyDescent="0.25">
      <c r="C161" s="35">
        <f>FEVEREIRO!C84</f>
        <v>0</v>
      </c>
      <c r="D161" s="35" t="str">
        <f>FEVEREIRO!D84</f>
        <v>RECEITAS COM PRODUTOS</v>
      </c>
      <c r="E161" s="35" t="str">
        <f>FEVEREIRO!E84</f>
        <v>-</v>
      </c>
      <c r="F161" s="67">
        <f>FEVEREIRO!G84</f>
        <v>0</v>
      </c>
      <c r="G161" s="68">
        <f>FEVEREIRO!H84</f>
        <v>1</v>
      </c>
      <c r="H161" s="37">
        <f>FEVEREIRO!I84</f>
        <v>46096</v>
      </c>
      <c r="I161" s="34" t="str">
        <f>FEVEREIRO!O84</f>
        <v>RECEITAS</v>
      </c>
      <c r="J161">
        <f t="shared" si="15"/>
        <v>0</v>
      </c>
      <c r="K161" t="str">
        <f t="shared" si="16"/>
        <v xml:space="preserve"> </v>
      </c>
      <c r="L161" t="str">
        <f t="shared" si="17"/>
        <v/>
      </c>
      <c r="M161">
        <f t="shared" si="18"/>
        <v>15</v>
      </c>
      <c r="N161">
        <f t="shared" si="19"/>
        <v>3</v>
      </c>
      <c r="O161" t="str">
        <f t="shared" si="21"/>
        <v>MAR</v>
      </c>
      <c r="P161" t="str">
        <f t="shared" si="20"/>
        <v>PAGO</v>
      </c>
    </row>
    <row r="162" spans="2:16" x14ac:dyDescent="0.25">
      <c r="B162" s="44" t="s">
        <v>90</v>
      </c>
      <c r="C162" s="35">
        <f>MARÇO!C7</f>
        <v>46082</v>
      </c>
      <c r="D162" s="35" t="str">
        <f>MARÇO!D7</f>
        <v>RECEITAS COM SERVIÇOS</v>
      </c>
      <c r="E162" s="35" t="str">
        <f>MARÇO!E7</f>
        <v>-</v>
      </c>
      <c r="F162" s="67">
        <f>MARÇO!G7</f>
        <v>0</v>
      </c>
      <c r="G162" s="68">
        <f>MARÇO!H7</f>
        <v>0</v>
      </c>
      <c r="H162" s="37">
        <f>MARÇO!I7</f>
        <v>46082</v>
      </c>
      <c r="I162" s="34" t="str">
        <f>MARÇO!O7</f>
        <v>RECEITAS</v>
      </c>
      <c r="J162">
        <f t="shared" si="15"/>
        <v>1</v>
      </c>
      <c r="K162">
        <f t="shared" si="16"/>
        <v>3</v>
      </c>
      <c r="L162" t="str">
        <f t="shared" si="17"/>
        <v>MAR</v>
      </c>
      <c r="M162">
        <f t="shared" si="18"/>
        <v>1</v>
      </c>
      <c r="N162">
        <f t="shared" si="19"/>
        <v>3</v>
      </c>
      <c r="O162" t="str">
        <f t="shared" si="21"/>
        <v>MAR</v>
      </c>
      <c r="P162" t="str">
        <f t="shared" si="20"/>
        <v>PAGO</v>
      </c>
    </row>
    <row r="163" spans="2:16" ht="30" x14ac:dyDescent="0.25">
      <c r="C163" s="35">
        <f>MARÇO!C8</f>
        <v>46083</v>
      </c>
      <c r="D163" s="35" t="str">
        <f>MARÇO!D8</f>
        <v>DESPESAS COM PRODUTOS</v>
      </c>
      <c r="E163" s="35" t="str">
        <f>MARÇO!E8</f>
        <v>TERCERIZADOS</v>
      </c>
      <c r="F163" s="67">
        <f>MARÇO!G8</f>
        <v>0</v>
      </c>
      <c r="G163" s="68">
        <f>MARÇO!H8</f>
        <v>0</v>
      </c>
      <c r="H163" s="37">
        <f>MARÇO!I8</f>
        <v>46083</v>
      </c>
      <c r="I163" s="34" t="str">
        <f>MARÇO!O8</f>
        <v>DESPESAS</v>
      </c>
      <c r="J163">
        <f t="shared" si="15"/>
        <v>2</v>
      </c>
      <c r="K163">
        <f t="shared" si="16"/>
        <v>3</v>
      </c>
      <c r="L163" t="str">
        <f t="shared" si="17"/>
        <v>MAR</v>
      </c>
      <c r="M163">
        <f t="shared" si="18"/>
        <v>2</v>
      </c>
      <c r="N163">
        <f t="shared" si="19"/>
        <v>3</v>
      </c>
      <c r="O163" t="str">
        <f t="shared" si="21"/>
        <v>MAR</v>
      </c>
      <c r="P163" t="str">
        <f t="shared" si="20"/>
        <v>PAGO</v>
      </c>
    </row>
    <row r="164" spans="2:16" x14ac:dyDescent="0.25">
      <c r="C164" s="35">
        <f>MARÇO!C9</f>
        <v>46084</v>
      </c>
      <c r="D164" s="35" t="str">
        <f>MARÇO!D9</f>
        <v>DESPESAS COM RH</v>
      </c>
      <c r="E164" s="35" t="str">
        <f>MARÇO!E9</f>
        <v>MARKETING OFFLINE</v>
      </c>
      <c r="F164" s="67">
        <f>MARÇO!G9</f>
        <v>0</v>
      </c>
      <c r="G164" s="68">
        <f>MARÇO!H9</f>
        <v>0</v>
      </c>
      <c r="H164" s="37">
        <f>MARÇO!I9</f>
        <v>46084</v>
      </c>
      <c r="I164" s="34" t="str">
        <f>MARÇO!O9</f>
        <v>DESPESAS</v>
      </c>
      <c r="J164">
        <f t="shared" si="15"/>
        <v>3</v>
      </c>
      <c r="K164">
        <f t="shared" si="16"/>
        <v>3</v>
      </c>
      <c r="L164" t="str">
        <f t="shared" si="17"/>
        <v>MAR</v>
      </c>
      <c r="M164">
        <f t="shared" si="18"/>
        <v>3</v>
      </c>
      <c r="N164">
        <f t="shared" si="19"/>
        <v>3</v>
      </c>
      <c r="O164" t="str">
        <f t="shared" si="21"/>
        <v>MAR</v>
      </c>
      <c r="P164" t="str">
        <f t="shared" si="20"/>
        <v>PAGO</v>
      </c>
    </row>
    <row r="165" spans="2:16" ht="30" x14ac:dyDescent="0.25">
      <c r="C165" s="35">
        <f>MARÇO!C10</f>
        <v>46085</v>
      </c>
      <c r="D165" s="35" t="str">
        <f>MARÇO!D10</f>
        <v>DESPESAS COM PRODUTOS</v>
      </c>
      <c r="E165" s="35" t="str">
        <f>MARÇO!E10</f>
        <v>-</v>
      </c>
      <c r="F165" s="67">
        <f>MARÇO!G10</f>
        <v>0</v>
      </c>
      <c r="G165" s="68">
        <f>MARÇO!H10</f>
        <v>0</v>
      </c>
      <c r="H165" s="37">
        <f>MARÇO!I10</f>
        <v>46085</v>
      </c>
      <c r="I165" s="34" t="str">
        <f>MARÇO!O10</f>
        <v>DESPESAS</v>
      </c>
      <c r="J165">
        <f t="shared" si="15"/>
        <v>4</v>
      </c>
      <c r="K165">
        <f t="shared" si="16"/>
        <v>3</v>
      </c>
      <c r="L165" t="str">
        <f t="shared" si="17"/>
        <v>MAR</v>
      </c>
      <c r="M165">
        <f t="shared" si="18"/>
        <v>4</v>
      </c>
      <c r="N165">
        <f t="shared" si="19"/>
        <v>3</v>
      </c>
      <c r="O165" t="str">
        <f t="shared" si="21"/>
        <v>MAR</v>
      </c>
      <c r="P165" t="str">
        <f t="shared" si="20"/>
        <v>PAGO</v>
      </c>
    </row>
    <row r="166" spans="2:16" ht="30" x14ac:dyDescent="0.25">
      <c r="C166" s="35">
        <f>MARÇO!C11</f>
        <v>46086</v>
      </c>
      <c r="D166" s="35" t="str">
        <f>MARÇO!D11</f>
        <v>DESPESAS COM PRODUTOS</v>
      </c>
      <c r="E166" s="35" t="str">
        <f>MARÇO!E11</f>
        <v>-</v>
      </c>
      <c r="F166" s="67">
        <f>MARÇO!G11</f>
        <v>0</v>
      </c>
      <c r="G166" s="68">
        <f>MARÇO!H11</f>
        <v>0</v>
      </c>
      <c r="H166" s="37">
        <f>MARÇO!I11</f>
        <v>46086</v>
      </c>
      <c r="I166" s="34" t="str">
        <f>MARÇO!O11</f>
        <v>DESPESAS</v>
      </c>
      <c r="J166">
        <f t="shared" si="15"/>
        <v>5</v>
      </c>
      <c r="K166">
        <f t="shared" si="16"/>
        <v>3</v>
      </c>
      <c r="L166" t="str">
        <f t="shared" si="17"/>
        <v>MAR</v>
      </c>
      <c r="M166">
        <f t="shared" si="18"/>
        <v>5</v>
      </c>
      <c r="N166">
        <f t="shared" si="19"/>
        <v>3</v>
      </c>
      <c r="O166" t="str">
        <f t="shared" si="21"/>
        <v>MAR</v>
      </c>
      <c r="P166" t="str">
        <f t="shared" si="20"/>
        <v>PAGO</v>
      </c>
    </row>
    <row r="167" spans="2:16" ht="30" x14ac:dyDescent="0.25">
      <c r="C167" s="35">
        <f>MARÇO!C12</f>
        <v>46087</v>
      </c>
      <c r="D167" s="35" t="str">
        <f>MARÇO!D12</f>
        <v>DESPESAS COM PRODUTOS</v>
      </c>
      <c r="E167" s="35" t="str">
        <f>MARÇO!E12</f>
        <v>-</v>
      </c>
      <c r="F167" s="67" t="str">
        <f>MARÇO!G12</f>
        <v>BENFICA</v>
      </c>
      <c r="G167" s="68">
        <f>MARÇO!H12</f>
        <v>0</v>
      </c>
      <c r="H167" s="37">
        <f>MARÇO!I12</f>
        <v>46087</v>
      </c>
      <c r="I167" s="34" t="str">
        <f>MARÇO!O12</f>
        <v>DESPESAS</v>
      </c>
      <c r="J167">
        <f t="shared" si="15"/>
        <v>6</v>
      </c>
      <c r="K167">
        <f t="shared" si="16"/>
        <v>3</v>
      </c>
      <c r="L167" t="str">
        <f t="shared" si="17"/>
        <v>MAR</v>
      </c>
      <c r="M167">
        <f t="shared" si="18"/>
        <v>6</v>
      </c>
      <c r="N167">
        <f t="shared" si="19"/>
        <v>3</v>
      </c>
      <c r="O167" t="str">
        <f t="shared" si="21"/>
        <v>MAR</v>
      </c>
      <c r="P167" t="str">
        <f t="shared" si="20"/>
        <v>PAGO</v>
      </c>
    </row>
    <row r="168" spans="2:16" ht="30" x14ac:dyDescent="0.25">
      <c r="C168" s="35">
        <f>MARÇO!C13</f>
        <v>46088</v>
      </c>
      <c r="D168" s="35" t="str">
        <f>MARÇO!D13</f>
        <v>DESPESAS COM PRODUTOS</v>
      </c>
      <c r="E168" s="35" t="str">
        <f>MARÇO!E13</f>
        <v>-</v>
      </c>
      <c r="F168" s="67">
        <f>MARÇO!G13</f>
        <v>0</v>
      </c>
      <c r="G168" s="68">
        <f>MARÇO!H13</f>
        <v>0</v>
      </c>
      <c r="H168" s="37">
        <f>MARÇO!I13</f>
        <v>46088</v>
      </c>
      <c r="I168" s="34" t="str">
        <f>MARÇO!O13</f>
        <v>DESPESAS</v>
      </c>
      <c r="J168">
        <f t="shared" si="15"/>
        <v>7</v>
      </c>
      <c r="K168">
        <f t="shared" si="16"/>
        <v>3</v>
      </c>
      <c r="L168" t="str">
        <f t="shared" si="17"/>
        <v>MAR</v>
      </c>
      <c r="M168">
        <f t="shared" si="18"/>
        <v>7</v>
      </c>
      <c r="N168">
        <f t="shared" si="19"/>
        <v>3</v>
      </c>
      <c r="O168" t="str">
        <f t="shared" si="21"/>
        <v>MAR</v>
      </c>
      <c r="P168" t="str">
        <f t="shared" si="20"/>
        <v>PAGO</v>
      </c>
    </row>
    <row r="169" spans="2:16" x14ac:dyDescent="0.25">
      <c r="C169" s="35">
        <f>MARÇO!C14</f>
        <v>46089</v>
      </c>
      <c r="D169" s="35" t="str">
        <f>MARÇO!D14</f>
        <v>DESPESAS COM RH</v>
      </c>
      <c r="E169" s="35" t="str">
        <f>MARÇO!E14</f>
        <v>ACTUALIZAÇÕES</v>
      </c>
      <c r="F169" s="67">
        <f>MARÇO!G14</f>
        <v>0</v>
      </c>
      <c r="G169" s="68">
        <f>MARÇO!H14</f>
        <v>0</v>
      </c>
      <c r="H169" s="37">
        <f>MARÇO!I14</f>
        <v>46089</v>
      </c>
      <c r="I169" s="34" t="str">
        <f>MARÇO!O14</f>
        <v>DESPESAS</v>
      </c>
      <c r="J169">
        <f t="shared" si="15"/>
        <v>8</v>
      </c>
      <c r="K169">
        <f t="shared" si="16"/>
        <v>3</v>
      </c>
      <c r="L169" t="str">
        <f t="shared" si="17"/>
        <v>MAR</v>
      </c>
      <c r="M169">
        <f t="shared" si="18"/>
        <v>8</v>
      </c>
      <c r="N169">
        <f t="shared" si="19"/>
        <v>3</v>
      </c>
      <c r="O169" t="str">
        <f t="shared" si="21"/>
        <v>MAR</v>
      </c>
      <c r="P169" t="str">
        <f t="shared" si="20"/>
        <v>PAGO</v>
      </c>
    </row>
    <row r="170" spans="2:16" x14ac:dyDescent="0.25">
      <c r="C170" s="35">
        <f>MARÇO!C15</f>
        <v>46090</v>
      </c>
      <c r="D170" s="35" t="str">
        <f>MARÇO!D15</f>
        <v>RECEITAS COM SERVIÇOS</v>
      </c>
      <c r="E170" s="35" t="str">
        <f>MARÇO!E15</f>
        <v>-</v>
      </c>
      <c r="F170" s="67">
        <f>MARÇO!G15</f>
        <v>0</v>
      </c>
      <c r="G170" s="68">
        <f>MARÇO!H15</f>
        <v>0</v>
      </c>
      <c r="H170" s="37">
        <f>MARÇO!I15</f>
        <v>46090</v>
      </c>
      <c r="I170" s="34" t="str">
        <f>MARÇO!O15</f>
        <v>RECEITAS</v>
      </c>
      <c r="J170">
        <f t="shared" si="15"/>
        <v>9</v>
      </c>
      <c r="K170">
        <f t="shared" si="16"/>
        <v>3</v>
      </c>
      <c r="L170" t="str">
        <f t="shared" si="17"/>
        <v>MAR</v>
      </c>
      <c r="M170">
        <f t="shared" si="18"/>
        <v>9</v>
      </c>
      <c r="N170">
        <f t="shared" si="19"/>
        <v>3</v>
      </c>
      <c r="O170" t="str">
        <f t="shared" si="21"/>
        <v>MAR</v>
      </c>
      <c r="P170" t="str">
        <f t="shared" si="20"/>
        <v>PAGO</v>
      </c>
    </row>
    <row r="171" spans="2:16" ht="30" x14ac:dyDescent="0.25">
      <c r="C171" s="35">
        <f>MARÇO!C16</f>
        <v>46091</v>
      </c>
      <c r="D171" s="35" t="str">
        <f>MARÇO!D16</f>
        <v>DESPESAS COM MARKETING</v>
      </c>
      <c r="E171" s="35" t="str">
        <f>MARÇO!E16</f>
        <v>-</v>
      </c>
      <c r="F171" s="67">
        <f>MARÇO!G16</f>
        <v>0</v>
      </c>
      <c r="G171" s="68">
        <f>MARÇO!H16</f>
        <v>0</v>
      </c>
      <c r="H171" s="37">
        <f>MARÇO!I16</f>
        <v>46091</v>
      </c>
      <c r="I171" s="34" t="str">
        <f>MARÇO!O16</f>
        <v>DESPESAS</v>
      </c>
      <c r="J171">
        <f t="shared" si="15"/>
        <v>10</v>
      </c>
      <c r="K171">
        <f t="shared" si="16"/>
        <v>3</v>
      </c>
      <c r="L171" t="str">
        <f t="shared" si="17"/>
        <v>MAR</v>
      </c>
      <c r="M171">
        <f t="shared" si="18"/>
        <v>10</v>
      </c>
      <c r="N171">
        <f t="shared" si="19"/>
        <v>3</v>
      </c>
      <c r="O171" t="str">
        <f t="shared" si="21"/>
        <v>MAR</v>
      </c>
      <c r="P171" t="str">
        <f t="shared" si="20"/>
        <v>PAGO</v>
      </c>
    </row>
    <row r="172" spans="2:16" ht="30" x14ac:dyDescent="0.25">
      <c r="C172" s="35">
        <f>MARÇO!C17</f>
        <v>46092</v>
      </c>
      <c r="D172" s="35" t="str">
        <f>MARÇO!D17</f>
        <v>DESPESAS OPERACIONAIS</v>
      </c>
      <c r="E172" s="35" t="str">
        <f>MARÇO!E17</f>
        <v>ESTUDIOS GRAVAÇÃO</v>
      </c>
      <c r="F172" s="67">
        <f>MARÇO!G17</f>
        <v>0</v>
      </c>
      <c r="G172" s="68">
        <f>MARÇO!H17</f>
        <v>0</v>
      </c>
      <c r="H172" s="37">
        <f>MARÇO!I17</f>
        <v>46092</v>
      </c>
      <c r="I172" s="34" t="str">
        <f>MARÇO!O17</f>
        <v>DESPESAS</v>
      </c>
      <c r="J172">
        <f t="shared" si="15"/>
        <v>11</v>
      </c>
      <c r="K172">
        <f t="shared" si="16"/>
        <v>3</v>
      </c>
      <c r="L172" t="str">
        <f t="shared" si="17"/>
        <v>MAR</v>
      </c>
      <c r="M172">
        <f t="shared" si="18"/>
        <v>11</v>
      </c>
      <c r="N172">
        <f t="shared" si="19"/>
        <v>3</v>
      </c>
      <c r="O172" t="str">
        <f t="shared" si="21"/>
        <v>MAR</v>
      </c>
      <c r="P172" t="str">
        <f t="shared" si="20"/>
        <v>PAGO</v>
      </c>
    </row>
    <row r="173" spans="2:16" ht="30" x14ac:dyDescent="0.25">
      <c r="C173" s="35">
        <f>MARÇO!C18</f>
        <v>46093</v>
      </c>
      <c r="D173" s="35" t="str">
        <f>MARÇO!D18</f>
        <v>DESPESAS COM PRODUTOS</v>
      </c>
      <c r="E173" s="35" t="str">
        <f>MARÇO!E18</f>
        <v>-</v>
      </c>
      <c r="F173" s="67" t="str">
        <f>MARÇO!G18</f>
        <v>CALEMBA 2</v>
      </c>
      <c r="G173" s="68">
        <f>MARÇO!H18</f>
        <v>0</v>
      </c>
      <c r="H173" s="37">
        <f>MARÇO!I18</f>
        <v>46093</v>
      </c>
      <c r="I173" s="34" t="str">
        <f>MARÇO!O18</f>
        <v>DESPESAS</v>
      </c>
      <c r="J173">
        <f t="shared" si="15"/>
        <v>12</v>
      </c>
      <c r="K173">
        <f t="shared" si="16"/>
        <v>3</v>
      </c>
      <c r="L173" t="str">
        <f t="shared" si="17"/>
        <v>MAR</v>
      </c>
      <c r="M173">
        <f t="shared" si="18"/>
        <v>12</v>
      </c>
      <c r="N173">
        <f t="shared" si="19"/>
        <v>3</v>
      </c>
      <c r="O173" t="str">
        <f t="shared" si="21"/>
        <v>MAR</v>
      </c>
      <c r="P173" t="str">
        <f t="shared" si="20"/>
        <v>PAGO</v>
      </c>
    </row>
    <row r="174" spans="2:16" ht="30" x14ac:dyDescent="0.25">
      <c r="C174" s="35">
        <f>MARÇO!C19</f>
        <v>46094</v>
      </c>
      <c r="D174" s="35" t="str">
        <f>MARÇO!D19</f>
        <v>DESPESAS COM PRODUTOS</v>
      </c>
      <c r="E174" s="35" t="str">
        <f>MARÇO!E19</f>
        <v>-</v>
      </c>
      <c r="F174" s="67">
        <f>MARÇO!G19</f>
        <v>0</v>
      </c>
      <c r="G174" s="68">
        <f>MARÇO!H19</f>
        <v>0</v>
      </c>
      <c r="H174" s="37">
        <f>MARÇO!I19</f>
        <v>46094</v>
      </c>
      <c r="I174" s="34" t="str">
        <f>MARÇO!O19</f>
        <v>DESPESAS</v>
      </c>
      <c r="J174">
        <f t="shared" si="15"/>
        <v>13</v>
      </c>
      <c r="K174">
        <f t="shared" si="16"/>
        <v>3</v>
      </c>
      <c r="L174" t="str">
        <f t="shared" si="17"/>
        <v>MAR</v>
      </c>
      <c r="M174">
        <f t="shared" si="18"/>
        <v>13</v>
      </c>
      <c r="N174">
        <f t="shared" si="19"/>
        <v>3</v>
      </c>
      <c r="O174" t="str">
        <f t="shared" si="21"/>
        <v>MAR</v>
      </c>
      <c r="P174" t="str">
        <f t="shared" si="20"/>
        <v>PAGO</v>
      </c>
    </row>
    <row r="175" spans="2:16" ht="30" x14ac:dyDescent="0.25">
      <c r="C175" s="35">
        <f>MARÇO!C20</f>
        <v>46095</v>
      </c>
      <c r="D175" s="35" t="str">
        <f>MARÇO!D20</f>
        <v>DESPESAS COM PRODUTOS</v>
      </c>
      <c r="E175" s="35" t="str">
        <f>MARÇO!E20</f>
        <v>-</v>
      </c>
      <c r="F175" s="67">
        <f>MARÇO!G20</f>
        <v>0</v>
      </c>
      <c r="G175" s="68">
        <f>MARÇO!H20</f>
        <v>0</v>
      </c>
      <c r="H175" s="37">
        <f>MARÇO!I20</f>
        <v>46095</v>
      </c>
      <c r="I175" s="34" t="str">
        <f>MARÇO!O20</f>
        <v>DESPESAS</v>
      </c>
      <c r="J175">
        <f t="shared" si="15"/>
        <v>14</v>
      </c>
      <c r="K175">
        <f t="shared" si="16"/>
        <v>3</v>
      </c>
      <c r="L175" t="str">
        <f t="shared" si="17"/>
        <v>MAR</v>
      </c>
      <c r="M175">
        <f t="shared" si="18"/>
        <v>14</v>
      </c>
      <c r="N175">
        <f t="shared" si="19"/>
        <v>3</v>
      </c>
      <c r="O175" t="str">
        <f t="shared" si="21"/>
        <v>MAR</v>
      </c>
      <c r="P175" t="str">
        <f t="shared" si="20"/>
        <v>PAGO</v>
      </c>
    </row>
    <row r="176" spans="2:16" ht="30" x14ac:dyDescent="0.25">
      <c r="C176" s="35">
        <f>MARÇO!C21</f>
        <v>46096</v>
      </c>
      <c r="D176" s="35" t="str">
        <f>MARÇO!D21</f>
        <v>DESPESAS COM PRODUTOS</v>
      </c>
      <c r="E176" s="35" t="str">
        <f>MARÇO!E21</f>
        <v>-</v>
      </c>
      <c r="F176" s="67">
        <f>MARÇO!G21</f>
        <v>0</v>
      </c>
      <c r="G176" s="68">
        <f>MARÇO!H21</f>
        <v>0</v>
      </c>
      <c r="H176" s="37">
        <f>MARÇO!I21</f>
        <v>46096</v>
      </c>
      <c r="I176" s="34" t="str">
        <f>MARÇO!O21</f>
        <v>DESPESAS</v>
      </c>
      <c r="J176">
        <f t="shared" si="15"/>
        <v>15</v>
      </c>
      <c r="K176">
        <f t="shared" si="16"/>
        <v>3</v>
      </c>
      <c r="L176" t="str">
        <f t="shared" si="17"/>
        <v>MAR</v>
      </c>
      <c r="M176">
        <f t="shared" si="18"/>
        <v>15</v>
      </c>
      <c r="N176">
        <f t="shared" si="19"/>
        <v>3</v>
      </c>
      <c r="O176" t="str">
        <f t="shared" si="21"/>
        <v>MAR</v>
      </c>
      <c r="P176" t="str">
        <f t="shared" si="20"/>
        <v>PAGO</v>
      </c>
    </row>
    <row r="177" spans="3:16" ht="30" x14ac:dyDescent="0.25">
      <c r="C177" s="35">
        <f>MARÇO!C22</f>
        <v>46097</v>
      </c>
      <c r="D177" s="35" t="str">
        <f>MARÇO!D22</f>
        <v>DESPESAS COM PRODUTOS</v>
      </c>
      <c r="E177" s="35" t="str">
        <f>MARÇO!E22</f>
        <v>-</v>
      </c>
      <c r="F177" s="67">
        <f>MARÇO!G22</f>
        <v>0</v>
      </c>
      <c r="G177" s="68">
        <f>MARÇO!H22</f>
        <v>0</v>
      </c>
      <c r="H177" s="37">
        <f>MARÇO!I22</f>
        <v>46097</v>
      </c>
      <c r="I177" s="34" t="str">
        <f>MARÇO!O22</f>
        <v>DESPESAS</v>
      </c>
      <c r="J177">
        <f t="shared" si="15"/>
        <v>16</v>
      </c>
      <c r="K177">
        <f t="shared" si="16"/>
        <v>3</v>
      </c>
      <c r="L177" t="str">
        <f t="shared" si="17"/>
        <v>MAR</v>
      </c>
      <c r="M177">
        <f t="shared" si="18"/>
        <v>16</v>
      </c>
      <c r="N177">
        <f t="shared" si="19"/>
        <v>3</v>
      </c>
      <c r="O177" t="str">
        <f t="shared" si="21"/>
        <v>MAR</v>
      </c>
      <c r="P177" t="str">
        <f t="shared" si="20"/>
        <v>PAGO</v>
      </c>
    </row>
    <row r="178" spans="3:16" ht="30" x14ac:dyDescent="0.25">
      <c r="C178" s="35">
        <f>MARÇO!C23</f>
        <v>46098</v>
      </c>
      <c r="D178" s="35" t="str">
        <f>MARÇO!D23</f>
        <v>DESPESAS COM PRODUTOS</v>
      </c>
      <c r="E178" s="35" t="str">
        <f>MARÇO!E23</f>
        <v>-</v>
      </c>
      <c r="F178" s="67">
        <f>MARÇO!G23</f>
        <v>0</v>
      </c>
      <c r="G178" s="68">
        <f>MARÇO!H23</f>
        <v>0</v>
      </c>
      <c r="H178" s="37">
        <f>MARÇO!I23</f>
        <v>46098</v>
      </c>
      <c r="I178" s="34" t="str">
        <f>MARÇO!O23</f>
        <v>DESPESAS</v>
      </c>
      <c r="J178">
        <f t="shared" si="15"/>
        <v>17</v>
      </c>
      <c r="K178">
        <f t="shared" si="16"/>
        <v>3</v>
      </c>
      <c r="L178" t="str">
        <f t="shared" si="17"/>
        <v>MAR</v>
      </c>
      <c r="M178">
        <f t="shared" si="18"/>
        <v>17</v>
      </c>
      <c r="N178">
        <f t="shared" si="19"/>
        <v>3</v>
      </c>
      <c r="O178" t="str">
        <f t="shared" si="21"/>
        <v>MAR</v>
      </c>
      <c r="P178" t="str">
        <f t="shared" si="20"/>
        <v>PAGO</v>
      </c>
    </row>
    <row r="179" spans="3:16" ht="30" x14ac:dyDescent="0.25">
      <c r="C179" s="35">
        <f>MARÇO!C24</f>
        <v>46099</v>
      </c>
      <c r="D179" s="35" t="str">
        <f>MARÇO!D24</f>
        <v>DESPESAS COM PRODUTOS</v>
      </c>
      <c r="E179" s="35" t="str">
        <f>MARÇO!E24</f>
        <v>-</v>
      </c>
      <c r="F179" s="67">
        <f>MARÇO!G24</f>
        <v>0</v>
      </c>
      <c r="G179" s="68">
        <f>MARÇO!H24</f>
        <v>0</v>
      </c>
      <c r="H179" s="37">
        <f>MARÇO!I24</f>
        <v>46099</v>
      </c>
      <c r="I179" s="34" t="str">
        <f>MARÇO!O24</f>
        <v>DESPESAS</v>
      </c>
      <c r="J179">
        <f t="shared" si="15"/>
        <v>18</v>
      </c>
      <c r="K179">
        <f t="shared" si="16"/>
        <v>3</v>
      </c>
      <c r="L179" t="str">
        <f t="shared" si="17"/>
        <v>MAR</v>
      </c>
      <c r="M179">
        <f t="shared" si="18"/>
        <v>18</v>
      </c>
      <c r="N179">
        <f t="shared" si="19"/>
        <v>3</v>
      </c>
      <c r="O179" t="str">
        <f t="shared" si="21"/>
        <v>MAR</v>
      </c>
      <c r="P179" t="str">
        <f t="shared" si="20"/>
        <v>PAGO</v>
      </c>
    </row>
    <row r="180" spans="3:16" ht="30" x14ac:dyDescent="0.25">
      <c r="C180" s="35">
        <f>MARÇO!C25</f>
        <v>46100</v>
      </c>
      <c r="D180" s="35" t="str">
        <f>MARÇO!D25</f>
        <v>DESPESAS COM PRODUTOS</v>
      </c>
      <c r="E180" s="35" t="str">
        <f>MARÇO!E25</f>
        <v>-</v>
      </c>
      <c r="F180" s="67">
        <f>MARÇO!G25</f>
        <v>0</v>
      </c>
      <c r="G180" s="68">
        <f>MARÇO!H25</f>
        <v>0</v>
      </c>
      <c r="H180" s="37">
        <f>MARÇO!I25</f>
        <v>46100</v>
      </c>
      <c r="I180" s="34" t="str">
        <f>MARÇO!O25</f>
        <v>DESPESAS</v>
      </c>
      <c r="J180">
        <f t="shared" si="15"/>
        <v>19</v>
      </c>
      <c r="K180">
        <f t="shared" si="16"/>
        <v>3</v>
      </c>
      <c r="L180" t="str">
        <f t="shared" si="17"/>
        <v>MAR</v>
      </c>
      <c r="M180">
        <f t="shared" si="18"/>
        <v>19</v>
      </c>
      <c r="N180">
        <f t="shared" si="19"/>
        <v>3</v>
      </c>
      <c r="O180" t="str">
        <f t="shared" si="21"/>
        <v>MAR</v>
      </c>
      <c r="P180" t="str">
        <f t="shared" si="20"/>
        <v>PAGO</v>
      </c>
    </row>
    <row r="181" spans="3:16" ht="30" x14ac:dyDescent="0.25">
      <c r="C181" s="35">
        <f>MARÇO!C26</f>
        <v>46101</v>
      </c>
      <c r="D181" s="35" t="str">
        <f>MARÇO!D26</f>
        <v>DESPESAS COM PRODUTOS</v>
      </c>
      <c r="E181" s="35" t="str">
        <f>MARÇO!E26</f>
        <v>-</v>
      </c>
      <c r="F181" s="67">
        <f>MARÇO!G26</f>
        <v>0</v>
      </c>
      <c r="G181" s="68">
        <f>MARÇO!H26</f>
        <v>0</v>
      </c>
      <c r="H181" s="37">
        <f>MARÇO!I26</f>
        <v>46101</v>
      </c>
      <c r="I181" s="34" t="str">
        <f>MARÇO!O26</f>
        <v>DESPESAS</v>
      </c>
      <c r="J181">
        <f t="shared" si="15"/>
        <v>20</v>
      </c>
      <c r="K181">
        <f t="shared" si="16"/>
        <v>3</v>
      </c>
      <c r="L181" t="str">
        <f t="shared" si="17"/>
        <v>MAR</v>
      </c>
      <c r="M181">
        <f t="shared" si="18"/>
        <v>20</v>
      </c>
      <c r="N181">
        <f t="shared" si="19"/>
        <v>3</v>
      </c>
      <c r="O181" t="str">
        <f t="shared" si="21"/>
        <v>MAR</v>
      </c>
      <c r="P181" t="str">
        <f t="shared" si="20"/>
        <v>PAGO</v>
      </c>
    </row>
    <row r="182" spans="3:16" ht="30" x14ac:dyDescent="0.25">
      <c r="C182" s="35">
        <f>MARÇO!C27</f>
        <v>46102</v>
      </c>
      <c r="D182" s="35" t="str">
        <f>MARÇO!D27</f>
        <v>DESPESAS COM PRODUTOS</v>
      </c>
      <c r="E182" s="35" t="str">
        <f>MARÇO!E27</f>
        <v>-</v>
      </c>
      <c r="F182" s="67">
        <f>MARÇO!G27</f>
        <v>0</v>
      </c>
      <c r="G182" s="68">
        <f>MARÇO!H27</f>
        <v>0</v>
      </c>
      <c r="H182" s="37">
        <f>MARÇO!I27</f>
        <v>46102</v>
      </c>
      <c r="I182" s="34" t="str">
        <f>MARÇO!O27</f>
        <v>DESPESAS</v>
      </c>
      <c r="J182">
        <f t="shared" si="15"/>
        <v>21</v>
      </c>
      <c r="K182">
        <f t="shared" si="16"/>
        <v>3</v>
      </c>
      <c r="L182" t="str">
        <f t="shared" si="17"/>
        <v>MAR</v>
      </c>
      <c r="M182">
        <f t="shared" si="18"/>
        <v>21</v>
      </c>
      <c r="N182">
        <f t="shared" si="19"/>
        <v>3</v>
      </c>
      <c r="O182" t="str">
        <f t="shared" si="21"/>
        <v>MAR</v>
      </c>
      <c r="P182" t="str">
        <f t="shared" si="20"/>
        <v>PAGO</v>
      </c>
    </row>
    <row r="183" spans="3:16" ht="30" x14ac:dyDescent="0.25">
      <c r="C183" s="35">
        <f>MARÇO!C28</f>
        <v>46103</v>
      </c>
      <c r="D183" s="35" t="str">
        <f>MARÇO!D28</f>
        <v>DESPESAS COM PRODUTOS</v>
      </c>
      <c r="E183" s="35" t="str">
        <f>MARÇO!E28</f>
        <v>-</v>
      </c>
      <c r="F183" s="67">
        <f>MARÇO!G28</f>
        <v>0</v>
      </c>
      <c r="G183" s="68">
        <f>MARÇO!H28</f>
        <v>0</v>
      </c>
      <c r="H183" s="37">
        <f>MARÇO!I28</f>
        <v>46103</v>
      </c>
      <c r="I183" s="34" t="str">
        <f>MARÇO!O28</f>
        <v>DESPESAS</v>
      </c>
      <c r="J183">
        <f t="shared" si="15"/>
        <v>22</v>
      </c>
      <c r="K183">
        <f t="shared" si="16"/>
        <v>3</v>
      </c>
      <c r="L183" t="str">
        <f t="shared" si="17"/>
        <v>MAR</v>
      </c>
      <c r="M183">
        <f t="shared" si="18"/>
        <v>22</v>
      </c>
      <c r="N183">
        <f t="shared" si="19"/>
        <v>3</v>
      </c>
      <c r="O183" t="str">
        <f t="shared" si="21"/>
        <v>MAR</v>
      </c>
      <c r="P183" t="str">
        <f t="shared" si="20"/>
        <v>PAGO</v>
      </c>
    </row>
    <row r="184" spans="3:16" ht="30" x14ac:dyDescent="0.25">
      <c r="C184" s="35">
        <f>MARÇO!C29</f>
        <v>46104</v>
      </c>
      <c r="D184" s="35" t="str">
        <f>MARÇO!D29</f>
        <v>DESPESAS COM PRODUTOS</v>
      </c>
      <c r="E184" s="35" t="str">
        <f>MARÇO!E29</f>
        <v>-</v>
      </c>
      <c r="F184" s="67">
        <f>MARÇO!G29</f>
        <v>0</v>
      </c>
      <c r="G184" s="68">
        <f>MARÇO!H29</f>
        <v>0</v>
      </c>
      <c r="H184" s="37">
        <f>MARÇO!I29</f>
        <v>46104</v>
      </c>
      <c r="I184" s="34" t="str">
        <f>MARÇO!O29</f>
        <v>DESPESAS</v>
      </c>
      <c r="J184">
        <f t="shared" si="15"/>
        <v>23</v>
      </c>
      <c r="K184">
        <f t="shared" si="16"/>
        <v>3</v>
      </c>
      <c r="L184" t="str">
        <f t="shared" si="17"/>
        <v>MAR</v>
      </c>
      <c r="M184">
        <f t="shared" si="18"/>
        <v>23</v>
      </c>
      <c r="N184">
        <f t="shared" si="19"/>
        <v>3</v>
      </c>
      <c r="O184" t="str">
        <f t="shared" si="21"/>
        <v>MAR</v>
      </c>
      <c r="P184" t="str">
        <f t="shared" si="20"/>
        <v>PAGO</v>
      </c>
    </row>
    <row r="185" spans="3:16" ht="30" x14ac:dyDescent="0.25">
      <c r="C185" s="35">
        <f>MARÇO!C30</f>
        <v>46105</v>
      </c>
      <c r="D185" s="35" t="str">
        <f>MARÇO!D30</f>
        <v>DESPESAS COM PRODUTOS</v>
      </c>
      <c r="E185" s="35" t="str">
        <f>MARÇO!E30</f>
        <v>-</v>
      </c>
      <c r="F185" s="67">
        <f>MARÇO!G30</f>
        <v>0</v>
      </c>
      <c r="G185" s="68">
        <f>MARÇO!H30</f>
        <v>0</v>
      </c>
      <c r="H185" s="37">
        <f>MARÇO!I30</f>
        <v>46105</v>
      </c>
      <c r="I185" s="34" t="str">
        <f>MARÇO!O30</f>
        <v>DESPESAS</v>
      </c>
      <c r="J185">
        <f t="shared" si="15"/>
        <v>24</v>
      </c>
      <c r="K185">
        <f t="shared" si="16"/>
        <v>3</v>
      </c>
      <c r="L185" t="str">
        <f t="shared" si="17"/>
        <v>MAR</v>
      </c>
      <c r="M185">
        <f t="shared" si="18"/>
        <v>24</v>
      </c>
      <c r="N185">
        <f t="shared" si="19"/>
        <v>3</v>
      </c>
      <c r="O185" t="str">
        <f t="shared" si="21"/>
        <v>MAR</v>
      </c>
      <c r="P185" t="str">
        <f t="shared" si="20"/>
        <v>PAGO</v>
      </c>
    </row>
    <row r="186" spans="3:16" ht="30" x14ac:dyDescent="0.25">
      <c r="C186" s="35">
        <f>MARÇO!C31</f>
        <v>46106</v>
      </c>
      <c r="D186" s="35" t="str">
        <f>MARÇO!D31</f>
        <v>DESPESAS COM PRODUTOS</v>
      </c>
      <c r="E186" s="35" t="str">
        <f>MARÇO!E31</f>
        <v>-</v>
      </c>
      <c r="F186" s="67">
        <f>MARÇO!G31</f>
        <v>0</v>
      </c>
      <c r="G186" s="68">
        <f>MARÇO!H31</f>
        <v>0</v>
      </c>
      <c r="H186" s="37">
        <f>MARÇO!I31</f>
        <v>46106</v>
      </c>
      <c r="I186" s="34" t="str">
        <f>MARÇO!O31</f>
        <v>DESPESAS</v>
      </c>
      <c r="J186">
        <f t="shared" si="15"/>
        <v>25</v>
      </c>
      <c r="K186">
        <f t="shared" si="16"/>
        <v>3</v>
      </c>
      <c r="L186" t="str">
        <f t="shared" si="17"/>
        <v>MAR</v>
      </c>
      <c r="M186">
        <f t="shared" si="18"/>
        <v>25</v>
      </c>
      <c r="N186">
        <f t="shared" si="19"/>
        <v>3</v>
      </c>
      <c r="O186" t="str">
        <f t="shared" si="21"/>
        <v>MAR</v>
      </c>
      <c r="P186" t="str">
        <f t="shared" si="20"/>
        <v>PAGO</v>
      </c>
    </row>
    <row r="187" spans="3:16" ht="30" x14ac:dyDescent="0.25">
      <c r="C187" s="35">
        <f>MARÇO!C32</f>
        <v>46107</v>
      </c>
      <c r="D187" s="35" t="str">
        <f>MARÇO!D32</f>
        <v>DESPESAS COM PRODUTOS</v>
      </c>
      <c r="E187" s="35" t="str">
        <f>MARÇO!E32</f>
        <v>-</v>
      </c>
      <c r="F187" s="67">
        <f>MARÇO!G32</f>
        <v>0</v>
      </c>
      <c r="G187" s="68">
        <f>MARÇO!H32</f>
        <v>0</v>
      </c>
      <c r="H187" s="37">
        <f>MARÇO!I32</f>
        <v>46107</v>
      </c>
      <c r="I187" s="34" t="str">
        <f>MARÇO!O32</f>
        <v>DESPESAS</v>
      </c>
      <c r="J187">
        <f t="shared" si="15"/>
        <v>26</v>
      </c>
      <c r="K187">
        <f t="shared" si="16"/>
        <v>3</v>
      </c>
      <c r="L187" t="str">
        <f t="shared" si="17"/>
        <v>MAR</v>
      </c>
      <c r="M187">
        <f t="shared" si="18"/>
        <v>26</v>
      </c>
      <c r="N187">
        <f t="shared" si="19"/>
        <v>3</v>
      </c>
      <c r="O187" t="str">
        <f t="shared" si="21"/>
        <v>MAR</v>
      </c>
      <c r="P187" t="str">
        <f t="shared" si="20"/>
        <v>PAGO</v>
      </c>
    </row>
    <row r="188" spans="3:16" ht="30" x14ac:dyDescent="0.25">
      <c r="C188" s="35">
        <f>MARÇO!C33</f>
        <v>46108</v>
      </c>
      <c r="D188" s="35" t="str">
        <f>MARÇO!D33</f>
        <v>DESPESAS COM PRODUTOS</v>
      </c>
      <c r="E188" s="35" t="str">
        <f>MARÇO!E33</f>
        <v>-</v>
      </c>
      <c r="F188" s="67">
        <f>MARÇO!G33</f>
        <v>0</v>
      </c>
      <c r="G188" s="68">
        <f>MARÇO!H33</f>
        <v>0</v>
      </c>
      <c r="H188" s="37">
        <f>MARÇO!I33</f>
        <v>46108</v>
      </c>
      <c r="I188" s="34" t="str">
        <f>MARÇO!O33</f>
        <v>DESPESAS</v>
      </c>
      <c r="J188">
        <f t="shared" si="15"/>
        <v>27</v>
      </c>
      <c r="K188">
        <f t="shared" si="16"/>
        <v>3</v>
      </c>
      <c r="L188" t="str">
        <f t="shared" si="17"/>
        <v>MAR</v>
      </c>
      <c r="M188">
        <f t="shared" si="18"/>
        <v>27</v>
      </c>
      <c r="N188">
        <f t="shared" si="19"/>
        <v>3</v>
      </c>
      <c r="O188" t="str">
        <f t="shared" si="21"/>
        <v>MAR</v>
      </c>
      <c r="P188" t="str">
        <f t="shared" si="20"/>
        <v>PAGO</v>
      </c>
    </row>
    <row r="189" spans="3:16" ht="30" x14ac:dyDescent="0.25">
      <c r="C189" s="35">
        <f>MARÇO!C34</f>
        <v>46109</v>
      </c>
      <c r="D189" s="35" t="str">
        <f>MARÇO!D34</f>
        <v>DESPESAS COM PRODUTOS</v>
      </c>
      <c r="E189" s="35" t="str">
        <f>MARÇO!E34</f>
        <v>-</v>
      </c>
      <c r="F189" s="67">
        <f>MARÇO!G34</f>
        <v>0</v>
      </c>
      <c r="G189" s="68">
        <f>MARÇO!H34</f>
        <v>0</v>
      </c>
      <c r="H189" s="37">
        <f>MARÇO!I34</f>
        <v>46109</v>
      </c>
      <c r="I189" s="34" t="str">
        <f>MARÇO!O34</f>
        <v>DESPESAS</v>
      </c>
      <c r="J189">
        <f t="shared" si="15"/>
        <v>28</v>
      </c>
      <c r="K189">
        <f t="shared" si="16"/>
        <v>3</v>
      </c>
      <c r="L189" t="str">
        <f t="shared" si="17"/>
        <v>MAR</v>
      </c>
      <c r="M189">
        <f t="shared" si="18"/>
        <v>28</v>
      </c>
      <c r="N189">
        <f t="shared" si="19"/>
        <v>3</v>
      </c>
      <c r="O189" t="str">
        <f t="shared" si="21"/>
        <v>MAR</v>
      </c>
      <c r="P189" t="str">
        <f t="shared" si="20"/>
        <v>PAGO</v>
      </c>
    </row>
    <row r="190" spans="3:16" ht="30" x14ac:dyDescent="0.25">
      <c r="C190" s="35">
        <f>MARÇO!C35</f>
        <v>46110</v>
      </c>
      <c r="D190" s="35" t="str">
        <f>MARÇO!D35</f>
        <v>DESPESAS COM PRODUTOS</v>
      </c>
      <c r="E190" s="35" t="str">
        <f>MARÇO!E35</f>
        <v>-</v>
      </c>
      <c r="F190" s="67">
        <f>MARÇO!G35</f>
        <v>0</v>
      </c>
      <c r="G190" s="68">
        <f>MARÇO!H35</f>
        <v>0</v>
      </c>
      <c r="H190" s="37">
        <f>MARÇO!I35</f>
        <v>46110</v>
      </c>
      <c r="I190" s="34" t="str">
        <f>MARÇO!O35</f>
        <v>DESPESAS</v>
      </c>
      <c r="J190">
        <f t="shared" si="15"/>
        <v>29</v>
      </c>
      <c r="K190">
        <f t="shared" si="16"/>
        <v>3</v>
      </c>
      <c r="L190" t="str">
        <f t="shared" si="17"/>
        <v>MAR</v>
      </c>
      <c r="M190">
        <f t="shared" si="18"/>
        <v>29</v>
      </c>
      <c r="N190">
        <f t="shared" si="19"/>
        <v>3</v>
      </c>
      <c r="O190" t="str">
        <f t="shared" si="21"/>
        <v>MAR</v>
      </c>
      <c r="P190" t="str">
        <f t="shared" si="20"/>
        <v>PAGO</v>
      </c>
    </row>
    <row r="191" spans="3:16" ht="30" x14ac:dyDescent="0.25">
      <c r="C191" s="35">
        <f>MARÇO!C36</f>
        <v>46111</v>
      </c>
      <c r="D191" s="35" t="str">
        <f>MARÇO!D36</f>
        <v>DESPESAS COM PRODUTOS</v>
      </c>
      <c r="E191" s="35" t="str">
        <f>MARÇO!E36</f>
        <v>-</v>
      </c>
      <c r="F191" s="67">
        <f>MARÇO!G36</f>
        <v>0</v>
      </c>
      <c r="G191" s="68">
        <f>MARÇO!H36</f>
        <v>0</v>
      </c>
      <c r="H191" s="37">
        <f>MARÇO!I36</f>
        <v>46111</v>
      </c>
      <c r="I191" s="34" t="str">
        <f>MARÇO!O36</f>
        <v>DESPESAS</v>
      </c>
      <c r="J191">
        <f t="shared" si="15"/>
        <v>30</v>
      </c>
      <c r="K191">
        <f t="shared" si="16"/>
        <v>3</v>
      </c>
      <c r="L191" t="str">
        <f t="shared" si="17"/>
        <v>MAR</v>
      </c>
      <c r="M191">
        <f t="shared" si="18"/>
        <v>30</v>
      </c>
      <c r="N191">
        <f t="shared" si="19"/>
        <v>3</v>
      </c>
      <c r="O191" t="str">
        <f t="shared" si="21"/>
        <v>MAR</v>
      </c>
      <c r="P191" t="str">
        <f t="shared" si="20"/>
        <v>PAGO</v>
      </c>
    </row>
    <row r="192" spans="3:16" ht="30" x14ac:dyDescent="0.25">
      <c r="C192" s="35">
        <f>MARÇO!C37</f>
        <v>46112</v>
      </c>
      <c r="D192" s="35" t="str">
        <f>MARÇO!D37</f>
        <v>DESPESAS COM PRODUTOS</v>
      </c>
      <c r="E192" s="35" t="str">
        <f>MARÇO!E37</f>
        <v>-</v>
      </c>
      <c r="F192" s="67">
        <f>MARÇO!G37</f>
        <v>0</v>
      </c>
      <c r="G192" s="68">
        <f>MARÇO!H37</f>
        <v>0</v>
      </c>
      <c r="H192" s="37">
        <f>MARÇO!I37</f>
        <v>46112</v>
      </c>
      <c r="I192" s="34" t="str">
        <f>MARÇO!O37</f>
        <v>DESPESAS</v>
      </c>
      <c r="J192">
        <f t="shared" si="15"/>
        <v>31</v>
      </c>
      <c r="K192">
        <f t="shared" si="16"/>
        <v>3</v>
      </c>
      <c r="L192" t="str">
        <f t="shared" si="17"/>
        <v>MAR</v>
      </c>
      <c r="M192">
        <f t="shared" si="18"/>
        <v>31</v>
      </c>
      <c r="N192">
        <f t="shared" si="19"/>
        <v>3</v>
      </c>
      <c r="O192" t="str">
        <f t="shared" si="21"/>
        <v>MAR</v>
      </c>
      <c r="P192" t="str">
        <f t="shared" si="20"/>
        <v>PAGO</v>
      </c>
    </row>
    <row r="193" spans="3:16" ht="30" x14ac:dyDescent="0.25">
      <c r="C193" s="35">
        <f>MARÇO!C38</f>
        <v>46113</v>
      </c>
      <c r="D193" s="35" t="str">
        <f>MARÇO!D38</f>
        <v>DESPESAS COM PRODUTOS</v>
      </c>
      <c r="E193" s="35" t="str">
        <f>MARÇO!E38</f>
        <v>-</v>
      </c>
      <c r="F193" s="67">
        <f>MARÇO!G38</f>
        <v>0</v>
      </c>
      <c r="G193" s="68">
        <f>MARÇO!H38</f>
        <v>0</v>
      </c>
      <c r="H193" s="37">
        <f>MARÇO!I38</f>
        <v>46113</v>
      </c>
      <c r="I193" s="34" t="str">
        <f>MARÇO!O38</f>
        <v>DESPESAS</v>
      </c>
      <c r="J193">
        <f t="shared" si="15"/>
        <v>1</v>
      </c>
      <c r="K193">
        <f t="shared" si="16"/>
        <v>4</v>
      </c>
      <c r="L193" t="str">
        <f t="shared" si="17"/>
        <v>APR</v>
      </c>
      <c r="M193">
        <f t="shared" si="18"/>
        <v>1</v>
      </c>
      <c r="N193">
        <f t="shared" si="19"/>
        <v>4</v>
      </c>
      <c r="O193" t="str">
        <f t="shared" si="21"/>
        <v>APR</v>
      </c>
      <c r="P193" t="str">
        <f t="shared" si="20"/>
        <v>PAGO</v>
      </c>
    </row>
    <row r="194" spans="3:16" ht="30" x14ac:dyDescent="0.25">
      <c r="C194" s="35">
        <f>MARÇO!C39</f>
        <v>46114</v>
      </c>
      <c r="D194" s="35" t="str">
        <f>MARÇO!D39</f>
        <v>DESPESAS COM PRODUTOS</v>
      </c>
      <c r="E194" s="35" t="str">
        <f>MARÇO!E39</f>
        <v>-</v>
      </c>
      <c r="F194" s="67">
        <f>MARÇO!G39</f>
        <v>0</v>
      </c>
      <c r="G194" s="68">
        <f>MARÇO!H39</f>
        <v>0</v>
      </c>
      <c r="H194" s="37">
        <f>MARÇO!I39</f>
        <v>46114</v>
      </c>
      <c r="I194" s="34" t="str">
        <f>MARÇO!O39</f>
        <v>DESPESAS</v>
      </c>
      <c r="J194">
        <f t="shared" si="15"/>
        <v>2</v>
      </c>
      <c r="K194">
        <f t="shared" si="16"/>
        <v>4</v>
      </c>
      <c r="L194" t="str">
        <f t="shared" si="17"/>
        <v>APR</v>
      </c>
      <c r="M194">
        <f t="shared" si="18"/>
        <v>2</v>
      </c>
      <c r="N194">
        <f t="shared" si="19"/>
        <v>4</v>
      </c>
      <c r="O194" t="str">
        <f t="shared" si="21"/>
        <v>APR</v>
      </c>
      <c r="P194" t="str">
        <f t="shared" si="20"/>
        <v>PAGO</v>
      </c>
    </row>
    <row r="195" spans="3:16" ht="30" x14ac:dyDescent="0.25">
      <c r="C195" s="35">
        <f>MARÇO!C40</f>
        <v>46115</v>
      </c>
      <c r="D195" s="35" t="str">
        <f>MARÇO!D40</f>
        <v>DESPESAS COM PRODUTOS</v>
      </c>
      <c r="E195" s="35" t="str">
        <f>MARÇO!E40</f>
        <v>-</v>
      </c>
      <c r="F195" s="67">
        <f>MARÇO!G40</f>
        <v>0</v>
      </c>
      <c r="G195" s="68">
        <f>MARÇO!H40</f>
        <v>0</v>
      </c>
      <c r="H195" s="37">
        <f>MARÇO!I40</f>
        <v>46115</v>
      </c>
      <c r="I195" s="34" t="str">
        <f>MARÇO!O40</f>
        <v>DESPESAS</v>
      </c>
      <c r="J195">
        <f t="shared" si="15"/>
        <v>3</v>
      </c>
      <c r="K195">
        <f t="shared" si="16"/>
        <v>4</v>
      </c>
      <c r="L195" t="str">
        <f t="shared" si="17"/>
        <v>APR</v>
      </c>
      <c r="M195">
        <f t="shared" si="18"/>
        <v>3</v>
      </c>
      <c r="N195">
        <f t="shared" si="19"/>
        <v>4</v>
      </c>
      <c r="O195" t="str">
        <f t="shared" si="21"/>
        <v>APR</v>
      </c>
      <c r="P195" t="str">
        <f t="shared" si="20"/>
        <v>PAGO</v>
      </c>
    </row>
    <row r="196" spans="3:16" ht="30" x14ac:dyDescent="0.25">
      <c r="C196" s="35">
        <f>MARÇO!C41</f>
        <v>46116</v>
      </c>
      <c r="D196" s="35" t="str">
        <f>MARÇO!D41</f>
        <v>DESPESAS COM PRODUTOS</v>
      </c>
      <c r="E196" s="35" t="str">
        <f>MARÇO!E41</f>
        <v>-</v>
      </c>
      <c r="F196" s="67">
        <f>MARÇO!G41</f>
        <v>0</v>
      </c>
      <c r="G196" s="68">
        <f>MARÇO!H41</f>
        <v>0</v>
      </c>
      <c r="H196" s="37">
        <f>MARÇO!I41</f>
        <v>46116</v>
      </c>
      <c r="I196" s="34" t="str">
        <f>MARÇO!O41</f>
        <v>DESPESAS</v>
      </c>
      <c r="J196">
        <f t="shared" si="15"/>
        <v>4</v>
      </c>
      <c r="K196">
        <f t="shared" si="16"/>
        <v>4</v>
      </c>
      <c r="L196" t="str">
        <f t="shared" si="17"/>
        <v>APR</v>
      </c>
      <c r="M196">
        <f t="shared" si="18"/>
        <v>4</v>
      </c>
      <c r="N196">
        <f t="shared" si="19"/>
        <v>4</v>
      </c>
      <c r="O196" t="str">
        <f t="shared" si="21"/>
        <v>APR</v>
      </c>
      <c r="P196" t="str">
        <f t="shared" si="20"/>
        <v>PAGO</v>
      </c>
    </row>
    <row r="197" spans="3:16" ht="30" x14ac:dyDescent="0.25">
      <c r="C197" s="35">
        <f>MARÇO!C42</f>
        <v>46117</v>
      </c>
      <c r="D197" s="35" t="str">
        <f>MARÇO!D42</f>
        <v>DESPESAS COM PRODUTOS</v>
      </c>
      <c r="E197" s="35" t="str">
        <f>MARÇO!E42</f>
        <v>-</v>
      </c>
      <c r="F197" s="67">
        <f>MARÇO!G42</f>
        <v>0</v>
      </c>
      <c r="G197" s="68">
        <f>MARÇO!H42</f>
        <v>0</v>
      </c>
      <c r="H197" s="37">
        <f>MARÇO!I42</f>
        <v>46117</v>
      </c>
      <c r="I197" s="34" t="str">
        <f>MARÇO!O42</f>
        <v>DESPESAS</v>
      </c>
      <c r="J197">
        <f t="shared" si="15"/>
        <v>5</v>
      </c>
      <c r="K197">
        <f t="shared" si="16"/>
        <v>4</v>
      </c>
      <c r="L197" t="str">
        <f t="shared" si="17"/>
        <v>APR</v>
      </c>
      <c r="M197">
        <f t="shared" si="18"/>
        <v>5</v>
      </c>
      <c r="N197">
        <f t="shared" si="19"/>
        <v>4</v>
      </c>
      <c r="O197" t="str">
        <f t="shared" si="21"/>
        <v>APR</v>
      </c>
      <c r="P197" t="str">
        <f t="shared" si="20"/>
        <v>PAGO</v>
      </c>
    </row>
    <row r="198" spans="3:16" ht="30" x14ac:dyDescent="0.25">
      <c r="C198" s="35">
        <f>MARÇO!C43</f>
        <v>46118</v>
      </c>
      <c r="D198" s="35" t="str">
        <f>MARÇO!D43</f>
        <v>DESPESAS COM PRODUTOS</v>
      </c>
      <c r="E198" s="35" t="str">
        <f>MARÇO!E43</f>
        <v>-</v>
      </c>
      <c r="F198" s="67">
        <f>MARÇO!G43</f>
        <v>0</v>
      </c>
      <c r="G198" s="68">
        <f>MARÇO!H43</f>
        <v>0</v>
      </c>
      <c r="H198" s="37">
        <f>MARÇO!I43</f>
        <v>46118</v>
      </c>
      <c r="I198" s="34" t="str">
        <f>MARÇO!O43</f>
        <v>DESPESAS</v>
      </c>
      <c r="J198">
        <f t="shared" si="15"/>
        <v>6</v>
      </c>
      <c r="K198">
        <f t="shared" si="16"/>
        <v>4</v>
      </c>
      <c r="L198" t="str">
        <f t="shared" si="17"/>
        <v>APR</v>
      </c>
      <c r="M198">
        <f t="shared" si="18"/>
        <v>6</v>
      </c>
      <c r="N198">
        <f t="shared" si="19"/>
        <v>4</v>
      </c>
      <c r="O198" t="str">
        <f t="shared" si="21"/>
        <v>APR</v>
      </c>
      <c r="P198" t="str">
        <f t="shared" si="20"/>
        <v>PAGO</v>
      </c>
    </row>
    <row r="199" spans="3:16" ht="30" x14ac:dyDescent="0.25">
      <c r="C199" s="35">
        <f>MARÇO!C44</f>
        <v>46119</v>
      </c>
      <c r="D199" s="35" t="str">
        <f>MARÇO!D44</f>
        <v>DESPESAS COM PRODUTOS</v>
      </c>
      <c r="E199" s="35" t="str">
        <f>MARÇO!E44</f>
        <v>-</v>
      </c>
      <c r="F199" s="67">
        <f>MARÇO!G44</f>
        <v>0</v>
      </c>
      <c r="G199" s="68">
        <f>MARÇO!H44</f>
        <v>0</v>
      </c>
      <c r="H199" s="37">
        <f>MARÇO!I44</f>
        <v>46119</v>
      </c>
      <c r="I199" s="34" t="str">
        <f>MARÇO!O44</f>
        <v>DESPESAS</v>
      </c>
      <c r="J199">
        <f t="shared" ref="J199:J262" si="22">DAY(C199)</f>
        <v>7</v>
      </c>
      <c r="K199">
        <f t="shared" ref="K199:K262" si="23">IF(C199 = 0, " ",MONTH(C199))</f>
        <v>4</v>
      </c>
      <c r="L199" t="str">
        <f t="shared" ref="L199:L262" si="24">IFERROR(VLOOKUP(K199,$R$6:$S$17,2),"")</f>
        <v>APR</v>
      </c>
      <c r="M199">
        <f t="shared" ref="M199:M262" si="25">DAY(H199)</f>
        <v>7</v>
      </c>
      <c r="N199">
        <f t="shared" ref="N199:N262" si="26">IF(H199 = 0, " ",MONTH(H199))</f>
        <v>4</v>
      </c>
      <c r="O199" t="str">
        <f t="shared" si="21"/>
        <v>APR</v>
      </c>
      <c r="P199" t="str">
        <f t="shared" ref="P199:P262" si="27">IF(H199=0,"NAO PAGO","PAGO")</f>
        <v>PAGO</v>
      </c>
    </row>
    <row r="200" spans="3:16" ht="30" x14ac:dyDescent="0.25">
      <c r="C200" s="35">
        <f>MARÇO!C45</f>
        <v>46120</v>
      </c>
      <c r="D200" s="35" t="str">
        <f>MARÇO!D45</f>
        <v>DESPESAS COM PRODUTOS</v>
      </c>
      <c r="E200" s="35" t="str">
        <f>MARÇO!E45</f>
        <v>-</v>
      </c>
      <c r="F200" s="67">
        <f>MARÇO!G45</f>
        <v>0</v>
      </c>
      <c r="G200" s="68">
        <f>MARÇO!H45</f>
        <v>0</v>
      </c>
      <c r="H200" s="37">
        <f>MARÇO!I45</f>
        <v>46120</v>
      </c>
      <c r="I200" s="34" t="str">
        <f>MARÇO!O45</f>
        <v>DESPESAS</v>
      </c>
      <c r="J200">
        <f t="shared" si="22"/>
        <v>8</v>
      </c>
      <c r="K200">
        <f t="shared" si="23"/>
        <v>4</v>
      </c>
      <c r="L200" t="str">
        <f t="shared" si="24"/>
        <v>APR</v>
      </c>
      <c r="M200">
        <f t="shared" si="25"/>
        <v>8</v>
      </c>
      <c r="N200">
        <f t="shared" si="26"/>
        <v>4</v>
      </c>
      <c r="O200" t="str">
        <f t="shared" si="21"/>
        <v>APR</v>
      </c>
      <c r="P200" t="str">
        <f t="shared" si="27"/>
        <v>PAGO</v>
      </c>
    </row>
    <row r="201" spans="3:16" ht="30" x14ac:dyDescent="0.25">
      <c r="C201" s="35">
        <f>MARÇO!C46</f>
        <v>46121</v>
      </c>
      <c r="D201" s="35" t="str">
        <f>MARÇO!D46</f>
        <v>DESPESAS COM PRODUTOS</v>
      </c>
      <c r="E201" s="35" t="str">
        <f>MARÇO!E46</f>
        <v>-</v>
      </c>
      <c r="F201" s="67">
        <f>MARÇO!G46</f>
        <v>0</v>
      </c>
      <c r="G201" s="68">
        <f>MARÇO!H46</f>
        <v>0</v>
      </c>
      <c r="H201" s="37">
        <f>MARÇO!I46</f>
        <v>46121</v>
      </c>
      <c r="I201" s="34" t="str">
        <f>MARÇO!O46</f>
        <v>DESPESAS</v>
      </c>
      <c r="J201">
        <f t="shared" si="22"/>
        <v>9</v>
      </c>
      <c r="K201">
        <f t="shared" si="23"/>
        <v>4</v>
      </c>
      <c r="L201" t="str">
        <f t="shared" si="24"/>
        <v>APR</v>
      </c>
      <c r="M201">
        <f t="shared" si="25"/>
        <v>9</v>
      </c>
      <c r="N201">
        <f t="shared" si="26"/>
        <v>4</v>
      </c>
      <c r="O201" t="str">
        <f t="shared" si="21"/>
        <v>APR</v>
      </c>
      <c r="P201" t="str">
        <f t="shared" si="27"/>
        <v>PAGO</v>
      </c>
    </row>
    <row r="202" spans="3:16" ht="30" x14ac:dyDescent="0.25">
      <c r="C202" s="35">
        <f>MARÇO!C47</f>
        <v>46122</v>
      </c>
      <c r="D202" s="35" t="str">
        <f>MARÇO!D47</f>
        <v>DESPESAS COM PRODUTOS</v>
      </c>
      <c r="E202" s="35" t="str">
        <f>MARÇO!E47</f>
        <v>-</v>
      </c>
      <c r="F202" s="67">
        <f>MARÇO!G47</f>
        <v>0</v>
      </c>
      <c r="G202" s="68">
        <f>MARÇO!H47</f>
        <v>0</v>
      </c>
      <c r="H202" s="37">
        <f>MARÇO!I47</f>
        <v>46122</v>
      </c>
      <c r="I202" s="34" t="str">
        <f>MARÇO!O47</f>
        <v>DESPESAS</v>
      </c>
      <c r="J202">
        <f t="shared" si="22"/>
        <v>10</v>
      </c>
      <c r="K202">
        <f t="shared" si="23"/>
        <v>4</v>
      </c>
      <c r="L202" t="str">
        <f t="shared" si="24"/>
        <v>APR</v>
      </c>
      <c r="M202">
        <f t="shared" si="25"/>
        <v>10</v>
      </c>
      <c r="N202">
        <f t="shared" si="26"/>
        <v>4</v>
      </c>
      <c r="O202" t="str">
        <f t="shared" si="21"/>
        <v>APR</v>
      </c>
      <c r="P202" t="str">
        <f t="shared" si="27"/>
        <v>PAGO</v>
      </c>
    </row>
    <row r="203" spans="3:16" ht="30" x14ac:dyDescent="0.25">
      <c r="C203" s="35">
        <f>MARÇO!C48</f>
        <v>46123</v>
      </c>
      <c r="D203" s="35" t="str">
        <f>MARÇO!D48</f>
        <v>DESPESAS COM PRODUTOS</v>
      </c>
      <c r="E203" s="35" t="str">
        <f>MARÇO!E48</f>
        <v>-</v>
      </c>
      <c r="F203" s="67">
        <f>MARÇO!G48</f>
        <v>0</v>
      </c>
      <c r="G203" s="68">
        <f>MARÇO!H48</f>
        <v>0</v>
      </c>
      <c r="H203" s="37">
        <f>MARÇO!I48</f>
        <v>46123</v>
      </c>
      <c r="I203" s="34" t="str">
        <f>MARÇO!O48</f>
        <v>DESPESAS</v>
      </c>
      <c r="J203">
        <f t="shared" si="22"/>
        <v>11</v>
      </c>
      <c r="K203">
        <f t="shared" si="23"/>
        <v>4</v>
      </c>
      <c r="L203" t="str">
        <f t="shared" si="24"/>
        <v>APR</v>
      </c>
      <c r="M203">
        <f t="shared" si="25"/>
        <v>11</v>
      </c>
      <c r="N203">
        <f t="shared" si="26"/>
        <v>4</v>
      </c>
      <c r="O203" t="str">
        <f t="shared" si="21"/>
        <v>APR</v>
      </c>
      <c r="P203" t="str">
        <f t="shared" si="27"/>
        <v>PAGO</v>
      </c>
    </row>
    <row r="204" spans="3:16" ht="30" x14ac:dyDescent="0.25">
      <c r="C204" s="35">
        <f>MARÇO!C49</f>
        <v>46124</v>
      </c>
      <c r="D204" s="35" t="str">
        <f>MARÇO!D49</f>
        <v>DESPESAS COM PRODUTOS</v>
      </c>
      <c r="E204" s="35" t="str">
        <f>MARÇO!E49</f>
        <v>-</v>
      </c>
      <c r="F204" s="67">
        <f>MARÇO!G49</f>
        <v>0</v>
      </c>
      <c r="G204" s="68">
        <f>MARÇO!H49</f>
        <v>0</v>
      </c>
      <c r="H204" s="37">
        <f>MARÇO!I49</f>
        <v>46124</v>
      </c>
      <c r="I204" s="34" t="str">
        <f>MARÇO!O49</f>
        <v>DESPESAS</v>
      </c>
      <c r="J204">
        <f t="shared" si="22"/>
        <v>12</v>
      </c>
      <c r="K204">
        <f t="shared" si="23"/>
        <v>4</v>
      </c>
      <c r="L204" t="str">
        <f t="shared" si="24"/>
        <v>APR</v>
      </c>
      <c r="M204">
        <f t="shared" si="25"/>
        <v>12</v>
      </c>
      <c r="N204">
        <f t="shared" si="26"/>
        <v>4</v>
      </c>
      <c r="O204" t="str">
        <f t="shared" si="21"/>
        <v>APR</v>
      </c>
      <c r="P204" t="str">
        <f t="shared" si="27"/>
        <v>PAGO</v>
      </c>
    </row>
    <row r="205" spans="3:16" ht="30" x14ac:dyDescent="0.25">
      <c r="C205" s="35">
        <f>MARÇO!C50</f>
        <v>46125</v>
      </c>
      <c r="D205" s="35" t="str">
        <f>MARÇO!D50</f>
        <v>DESPESAS COM PRODUTOS</v>
      </c>
      <c r="E205" s="35" t="str">
        <f>MARÇO!E50</f>
        <v>-</v>
      </c>
      <c r="F205" s="67">
        <f>MARÇO!G50</f>
        <v>0</v>
      </c>
      <c r="G205" s="68">
        <f>MARÇO!H50</f>
        <v>0</v>
      </c>
      <c r="H205" s="37">
        <f>MARÇO!I50</f>
        <v>46125</v>
      </c>
      <c r="I205" s="34" t="str">
        <f>MARÇO!O50</f>
        <v>DESPESAS</v>
      </c>
      <c r="J205">
        <f t="shared" si="22"/>
        <v>13</v>
      </c>
      <c r="K205">
        <f t="shared" si="23"/>
        <v>4</v>
      </c>
      <c r="L205" t="str">
        <f t="shared" si="24"/>
        <v>APR</v>
      </c>
      <c r="M205">
        <f t="shared" si="25"/>
        <v>13</v>
      </c>
      <c r="N205">
        <f t="shared" si="26"/>
        <v>4</v>
      </c>
      <c r="O205" t="str">
        <f t="shared" si="21"/>
        <v>APR</v>
      </c>
      <c r="P205" t="str">
        <f t="shared" si="27"/>
        <v>PAGO</v>
      </c>
    </row>
    <row r="206" spans="3:16" ht="30" x14ac:dyDescent="0.25">
      <c r="C206" s="35">
        <f>MARÇO!C51</f>
        <v>46126</v>
      </c>
      <c r="D206" s="35" t="str">
        <f>MARÇO!D51</f>
        <v>DESPESAS COM PRODUTOS</v>
      </c>
      <c r="E206" s="35" t="str">
        <f>MARÇO!E51</f>
        <v>-</v>
      </c>
      <c r="F206" s="67">
        <f>MARÇO!G51</f>
        <v>0</v>
      </c>
      <c r="G206" s="68">
        <f>MARÇO!H51</f>
        <v>0</v>
      </c>
      <c r="H206" s="37">
        <f>MARÇO!I51</f>
        <v>46126</v>
      </c>
      <c r="I206" s="34" t="str">
        <f>MARÇO!O51</f>
        <v>DESPESAS</v>
      </c>
      <c r="J206">
        <f t="shared" si="22"/>
        <v>14</v>
      </c>
      <c r="K206">
        <f t="shared" si="23"/>
        <v>4</v>
      </c>
      <c r="L206" t="str">
        <f t="shared" si="24"/>
        <v>APR</v>
      </c>
      <c r="M206">
        <f t="shared" si="25"/>
        <v>14</v>
      </c>
      <c r="N206">
        <f t="shared" si="26"/>
        <v>4</v>
      </c>
      <c r="O206" t="str">
        <f t="shared" si="21"/>
        <v>APR</v>
      </c>
      <c r="P206" t="str">
        <f t="shared" si="27"/>
        <v>PAGO</v>
      </c>
    </row>
    <row r="207" spans="3:16" ht="30" x14ac:dyDescent="0.25">
      <c r="C207" s="35">
        <f>MARÇO!C52</f>
        <v>46127</v>
      </c>
      <c r="D207" s="35" t="str">
        <f>MARÇO!D52</f>
        <v>DESPESAS COM PRODUTOS</v>
      </c>
      <c r="E207" s="35" t="str">
        <f>MARÇO!E52</f>
        <v>-</v>
      </c>
      <c r="F207" s="67">
        <f>MARÇO!G52</f>
        <v>0</v>
      </c>
      <c r="G207" s="68">
        <f>MARÇO!H52</f>
        <v>0</v>
      </c>
      <c r="H207" s="37">
        <f>MARÇO!I52</f>
        <v>46127</v>
      </c>
      <c r="I207" s="34" t="str">
        <f>MARÇO!O52</f>
        <v>DESPESAS</v>
      </c>
      <c r="J207">
        <f t="shared" si="22"/>
        <v>15</v>
      </c>
      <c r="K207">
        <f t="shared" si="23"/>
        <v>4</v>
      </c>
      <c r="L207" t="str">
        <f t="shared" si="24"/>
        <v>APR</v>
      </c>
      <c r="M207">
        <f t="shared" si="25"/>
        <v>15</v>
      </c>
      <c r="N207">
        <f t="shared" si="26"/>
        <v>4</v>
      </c>
      <c r="O207" t="str">
        <f t="shared" si="21"/>
        <v>APR</v>
      </c>
      <c r="P207" t="str">
        <f t="shared" si="27"/>
        <v>PAGO</v>
      </c>
    </row>
    <row r="208" spans="3:16" ht="30" x14ac:dyDescent="0.25">
      <c r="C208" s="35">
        <f>MARÇO!C53</f>
        <v>46128</v>
      </c>
      <c r="D208" s="35" t="str">
        <f>MARÇO!D53</f>
        <v>DESPESAS COM PRODUTOS</v>
      </c>
      <c r="E208" s="35" t="str">
        <f>MARÇO!E53</f>
        <v>-</v>
      </c>
      <c r="F208" s="67">
        <f>MARÇO!G53</f>
        <v>0</v>
      </c>
      <c r="G208" s="68">
        <f>MARÇO!H53</f>
        <v>0</v>
      </c>
      <c r="H208" s="37">
        <f>MARÇO!I53</f>
        <v>46128</v>
      </c>
      <c r="I208" s="34" t="str">
        <f>MARÇO!O53</f>
        <v>DESPESAS</v>
      </c>
      <c r="J208">
        <f t="shared" si="22"/>
        <v>16</v>
      </c>
      <c r="K208">
        <f t="shared" si="23"/>
        <v>4</v>
      </c>
      <c r="L208" t="str">
        <f t="shared" si="24"/>
        <v>APR</v>
      </c>
      <c r="M208">
        <f t="shared" si="25"/>
        <v>16</v>
      </c>
      <c r="N208">
        <f t="shared" si="26"/>
        <v>4</v>
      </c>
      <c r="O208" t="str">
        <f t="shared" si="21"/>
        <v>APR</v>
      </c>
      <c r="P208" t="str">
        <f t="shared" si="27"/>
        <v>PAGO</v>
      </c>
    </row>
    <row r="209" spans="3:16" ht="30" x14ac:dyDescent="0.25">
      <c r="C209" s="35">
        <f>MARÇO!C54</f>
        <v>46129</v>
      </c>
      <c r="D209" s="35" t="str">
        <f>MARÇO!D54</f>
        <v>DESPESAS COM PRODUTOS</v>
      </c>
      <c r="E209" s="35" t="str">
        <f>MARÇO!E54</f>
        <v>-</v>
      </c>
      <c r="F209" s="67">
        <f>MARÇO!G54</f>
        <v>0</v>
      </c>
      <c r="G209" s="68">
        <f>MARÇO!H54</f>
        <v>0</v>
      </c>
      <c r="H209" s="37">
        <f>MARÇO!I54</f>
        <v>46129</v>
      </c>
      <c r="I209" s="34" t="str">
        <f>MARÇO!O54</f>
        <v>DESPESAS</v>
      </c>
      <c r="J209">
        <f t="shared" si="22"/>
        <v>17</v>
      </c>
      <c r="K209">
        <f t="shared" si="23"/>
        <v>4</v>
      </c>
      <c r="L209" t="str">
        <f t="shared" si="24"/>
        <v>APR</v>
      </c>
      <c r="M209">
        <f t="shared" si="25"/>
        <v>17</v>
      </c>
      <c r="N209">
        <f t="shared" si="26"/>
        <v>4</v>
      </c>
      <c r="O209" t="str">
        <f t="shared" si="21"/>
        <v>APR</v>
      </c>
      <c r="P209" t="str">
        <f t="shared" si="27"/>
        <v>PAGO</v>
      </c>
    </row>
    <row r="210" spans="3:16" ht="30" x14ac:dyDescent="0.25">
      <c r="C210" s="35">
        <f>MARÇO!C55</f>
        <v>46130</v>
      </c>
      <c r="D210" s="35" t="str">
        <f>MARÇO!D55</f>
        <v>DESPESAS COM PRODUTOS</v>
      </c>
      <c r="E210" s="35" t="str">
        <f>MARÇO!E55</f>
        <v>-</v>
      </c>
      <c r="F210" s="67">
        <f>MARÇO!G55</f>
        <v>0</v>
      </c>
      <c r="G210" s="68">
        <f>MARÇO!H55</f>
        <v>0</v>
      </c>
      <c r="H210" s="37">
        <f>MARÇO!I55</f>
        <v>46130</v>
      </c>
      <c r="I210" s="34" t="str">
        <f>MARÇO!O55</f>
        <v>DESPESAS</v>
      </c>
      <c r="J210">
        <f t="shared" si="22"/>
        <v>18</v>
      </c>
      <c r="K210">
        <f t="shared" si="23"/>
        <v>4</v>
      </c>
      <c r="L210" t="str">
        <f t="shared" si="24"/>
        <v>APR</v>
      </c>
      <c r="M210">
        <f t="shared" si="25"/>
        <v>18</v>
      </c>
      <c r="N210">
        <f t="shared" si="26"/>
        <v>4</v>
      </c>
      <c r="O210" t="str">
        <f t="shared" si="21"/>
        <v>APR</v>
      </c>
      <c r="P210" t="str">
        <f t="shared" si="27"/>
        <v>PAGO</v>
      </c>
    </row>
    <row r="211" spans="3:16" ht="30" x14ac:dyDescent="0.25">
      <c r="C211" s="35">
        <f>MARÇO!C56</f>
        <v>46131</v>
      </c>
      <c r="D211" s="35" t="str">
        <f>MARÇO!D56</f>
        <v>DESPESAS COM PRODUTOS</v>
      </c>
      <c r="E211" s="35" t="str">
        <f>MARÇO!E56</f>
        <v>-</v>
      </c>
      <c r="F211" s="67">
        <f>MARÇO!G56</f>
        <v>0</v>
      </c>
      <c r="G211" s="68">
        <f>MARÇO!H56</f>
        <v>0</v>
      </c>
      <c r="H211" s="37">
        <f>MARÇO!I56</f>
        <v>46131</v>
      </c>
      <c r="I211" s="34" t="str">
        <f>MARÇO!O56</f>
        <v>DESPESAS</v>
      </c>
      <c r="J211">
        <f t="shared" si="22"/>
        <v>19</v>
      </c>
      <c r="K211">
        <f t="shared" si="23"/>
        <v>4</v>
      </c>
      <c r="L211" t="str">
        <f t="shared" si="24"/>
        <v>APR</v>
      </c>
      <c r="M211">
        <f t="shared" si="25"/>
        <v>19</v>
      </c>
      <c r="N211">
        <f t="shared" si="26"/>
        <v>4</v>
      </c>
      <c r="O211" t="str">
        <f t="shared" si="21"/>
        <v>APR</v>
      </c>
      <c r="P211" t="str">
        <f t="shared" si="27"/>
        <v>PAGO</v>
      </c>
    </row>
    <row r="212" spans="3:16" ht="30" x14ac:dyDescent="0.25">
      <c r="C212" s="35">
        <f>MARÇO!C57</f>
        <v>46132</v>
      </c>
      <c r="D212" s="35" t="str">
        <f>MARÇO!D57</f>
        <v>DESPESAS COM PRODUTOS</v>
      </c>
      <c r="E212" s="35" t="str">
        <f>MARÇO!E57</f>
        <v>-</v>
      </c>
      <c r="F212" s="67">
        <f>MARÇO!G57</f>
        <v>0</v>
      </c>
      <c r="G212" s="68">
        <f>MARÇO!H57</f>
        <v>0</v>
      </c>
      <c r="H212" s="37">
        <f>MARÇO!I57</f>
        <v>46132</v>
      </c>
      <c r="I212" s="34" t="str">
        <f>MARÇO!O57</f>
        <v>DESPESAS</v>
      </c>
      <c r="J212">
        <f t="shared" si="22"/>
        <v>20</v>
      </c>
      <c r="K212">
        <f t="shared" si="23"/>
        <v>4</v>
      </c>
      <c r="L212" t="str">
        <f t="shared" si="24"/>
        <v>APR</v>
      </c>
      <c r="M212">
        <f t="shared" si="25"/>
        <v>20</v>
      </c>
      <c r="N212">
        <f t="shared" si="26"/>
        <v>4</v>
      </c>
      <c r="O212" t="str">
        <f t="shared" si="21"/>
        <v>APR</v>
      </c>
      <c r="P212" t="str">
        <f t="shared" si="27"/>
        <v>PAGO</v>
      </c>
    </row>
    <row r="213" spans="3:16" ht="30" x14ac:dyDescent="0.25">
      <c r="C213" s="35">
        <f>MARÇO!C58</f>
        <v>46133</v>
      </c>
      <c r="D213" s="35" t="str">
        <f>MARÇO!D58</f>
        <v>DESPESAS COM PRODUTOS</v>
      </c>
      <c r="E213" s="35" t="str">
        <f>MARÇO!E58</f>
        <v>-</v>
      </c>
      <c r="F213" s="67">
        <f>MARÇO!G58</f>
        <v>0</v>
      </c>
      <c r="G213" s="68">
        <f>MARÇO!H58</f>
        <v>0</v>
      </c>
      <c r="H213" s="37">
        <f>MARÇO!I58</f>
        <v>46133</v>
      </c>
      <c r="I213" s="34" t="str">
        <f>MARÇO!O58</f>
        <v>DESPESAS</v>
      </c>
      <c r="J213">
        <f t="shared" si="22"/>
        <v>21</v>
      </c>
      <c r="K213">
        <f t="shared" si="23"/>
        <v>4</v>
      </c>
      <c r="L213" t="str">
        <f t="shared" si="24"/>
        <v>APR</v>
      </c>
      <c r="M213">
        <f t="shared" si="25"/>
        <v>21</v>
      </c>
      <c r="N213">
        <f t="shared" si="26"/>
        <v>4</v>
      </c>
      <c r="O213" t="str">
        <f t="shared" si="21"/>
        <v>APR</v>
      </c>
      <c r="P213" t="str">
        <f t="shared" si="27"/>
        <v>PAGO</v>
      </c>
    </row>
    <row r="214" spans="3:16" ht="30" x14ac:dyDescent="0.25">
      <c r="C214" s="35">
        <f>MARÇO!C59</f>
        <v>46134</v>
      </c>
      <c r="D214" s="35" t="str">
        <f>MARÇO!D59</f>
        <v>DESPESAS COM PRODUTOS</v>
      </c>
      <c r="E214" s="35" t="str">
        <f>MARÇO!E59</f>
        <v>-</v>
      </c>
      <c r="F214" s="67">
        <f>MARÇO!G59</f>
        <v>0</v>
      </c>
      <c r="G214" s="68">
        <f>MARÇO!H59</f>
        <v>0</v>
      </c>
      <c r="H214" s="37">
        <f>MARÇO!I59</f>
        <v>46134</v>
      </c>
      <c r="I214" s="34" t="str">
        <f>MARÇO!O59</f>
        <v>DESPESAS</v>
      </c>
      <c r="J214">
        <f t="shared" si="22"/>
        <v>22</v>
      </c>
      <c r="K214">
        <f t="shared" si="23"/>
        <v>4</v>
      </c>
      <c r="L214" t="str">
        <f t="shared" si="24"/>
        <v>APR</v>
      </c>
      <c r="M214">
        <f t="shared" si="25"/>
        <v>22</v>
      </c>
      <c r="N214">
        <f t="shared" si="26"/>
        <v>4</v>
      </c>
      <c r="O214" t="str">
        <f t="shared" si="21"/>
        <v>APR</v>
      </c>
      <c r="P214" t="str">
        <f t="shared" si="27"/>
        <v>PAGO</v>
      </c>
    </row>
    <row r="215" spans="3:16" ht="30" x14ac:dyDescent="0.25">
      <c r="C215" s="35">
        <f>MARÇO!C60</f>
        <v>46135</v>
      </c>
      <c r="D215" s="35" t="str">
        <f>MARÇO!D60</f>
        <v>DESPESAS COM PRODUTOS</v>
      </c>
      <c r="E215" s="35" t="str">
        <f>MARÇO!E60</f>
        <v>-</v>
      </c>
      <c r="F215" s="67">
        <f>MARÇO!G60</f>
        <v>0</v>
      </c>
      <c r="G215" s="68">
        <f>MARÇO!H60</f>
        <v>0</v>
      </c>
      <c r="H215" s="37">
        <f>MARÇO!I60</f>
        <v>46135</v>
      </c>
      <c r="I215" s="34" t="str">
        <f>MARÇO!O60</f>
        <v>DESPESAS</v>
      </c>
      <c r="J215">
        <f t="shared" si="22"/>
        <v>23</v>
      </c>
      <c r="K215">
        <f t="shared" si="23"/>
        <v>4</v>
      </c>
      <c r="L215" t="str">
        <f t="shared" si="24"/>
        <v>APR</v>
      </c>
      <c r="M215">
        <f t="shared" si="25"/>
        <v>23</v>
      </c>
      <c r="N215">
        <f t="shared" si="26"/>
        <v>4</v>
      </c>
      <c r="O215" t="str">
        <f t="shared" ref="O215:O278" si="28">IFERROR(VLOOKUP(N215,$R$6:$S$17,2),"")</f>
        <v>APR</v>
      </c>
      <c r="P215" t="str">
        <f t="shared" si="27"/>
        <v>PAGO</v>
      </c>
    </row>
    <row r="216" spans="3:16" ht="30" x14ac:dyDescent="0.25">
      <c r="C216" s="35">
        <f>MARÇO!C61</f>
        <v>46136</v>
      </c>
      <c r="D216" s="35" t="str">
        <f>MARÇO!D61</f>
        <v>DESPESAS COM PRODUTOS</v>
      </c>
      <c r="E216" s="35" t="str">
        <f>MARÇO!E61</f>
        <v>-</v>
      </c>
      <c r="F216" s="67">
        <f>MARÇO!G61</f>
        <v>0</v>
      </c>
      <c r="G216" s="68">
        <f>MARÇO!H61</f>
        <v>0</v>
      </c>
      <c r="H216" s="37">
        <f>MARÇO!I61</f>
        <v>46136</v>
      </c>
      <c r="I216" s="34" t="str">
        <f>MARÇO!O61</f>
        <v>DESPESAS</v>
      </c>
      <c r="J216">
        <f t="shared" si="22"/>
        <v>24</v>
      </c>
      <c r="K216">
        <f t="shared" si="23"/>
        <v>4</v>
      </c>
      <c r="L216" t="str">
        <f t="shared" si="24"/>
        <v>APR</v>
      </c>
      <c r="M216">
        <f t="shared" si="25"/>
        <v>24</v>
      </c>
      <c r="N216">
        <f t="shared" si="26"/>
        <v>4</v>
      </c>
      <c r="O216" t="str">
        <f t="shared" si="28"/>
        <v>APR</v>
      </c>
      <c r="P216" t="str">
        <f t="shared" si="27"/>
        <v>PAGO</v>
      </c>
    </row>
    <row r="217" spans="3:16" ht="30" x14ac:dyDescent="0.25">
      <c r="C217" s="35">
        <f>MARÇO!C62</f>
        <v>46137</v>
      </c>
      <c r="D217" s="35" t="str">
        <f>MARÇO!D62</f>
        <v>DESPESAS COM PRODUTOS</v>
      </c>
      <c r="E217" s="35" t="str">
        <f>MARÇO!E62</f>
        <v>-</v>
      </c>
      <c r="F217" s="67">
        <f>MARÇO!G62</f>
        <v>0</v>
      </c>
      <c r="G217" s="68">
        <f>MARÇO!H62</f>
        <v>0</v>
      </c>
      <c r="H217" s="37">
        <f>MARÇO!I62</f>
        <v>46137</v>
      </c>
      <c r="I217" s="34" t="str">
        <f>MARÇO!O62</f>
        <v>DESPESAS</v>
      </c>
      <c r="J217">
        <f t="shared" si="22"/>
        <v>25</v>
      </c>
      <c r="K217">
        <f t="shared" si="23"/>
        <v>4</v>
      </c>
      <c r="L217" t="str">
        <f t="shared" si="24"/>
        <v>APR</v>
      </c>
      <c r="M217">
        <f t="shared" si="25"/>
        <v>25</v>
      </c>
      <c r="N217">
        <f t="shared" si="26"/>
        <v>4</v>
      </c>
      <c r="O217" t="str">
        <f t="shared" si="28"/>
        <v>APR</v>
      </c>
      <c r="P217" t="str">
        <f t="shared" si="27"/>
        <v>PAGO</v>
      </c>
    </row>
    <row r="218" spans="3:16" ht="30" x14ac:dyDescent="0.25">
      <c r="C218" s="35">
        <f>MARÇO!C63</f>
        <v>46138</v>
      </c>
      <c r="D218" s="35" t="str">
        <f>MARÇO!D63</f>
        <v>DESPESAS COM PRODUTOS</v>
      </c>
      <c r="E218" s="35" t="str">
        <f>MARÇO!E63</f>
        <v>-</v>
      </c>
      <c r="F218" s="67">
        <f>MARÇO!G63</f>
        <v>0</v>
      </c>
      <c r="G218" s="68">
        <f>MARÇO!H63</f>
        <v>0</v>
      </c>
      <c r="H218" s="37">
        <f>MARÇO!I63</f>
        <v>46138</v>
      </c>
      <c r="I218" s="34" t="str">
        <f>MARÇO!O63</f>
        <v>DESPESAS</v>
      </c>
      <c r="J218">
        <f t="shared" si="22"/>
        <v>26</v>
      </c>
      <c r="K218">
        <f t="shared" si="23"/>
        <v>4</v>
      </c>
      <c r="L218" t="str">
        <f t="shared" si="24"/>
        <v>APR</v>
      </c>
      <c r="M218">
        <f t="shared" si="25"/>
        <v>26</v>
      </c>
      <c r="N218">
        <f t="shared" si="26"/>
        <v>4</v>
      </c>
      <c r="O218" t="str">
        <f t="shared" si="28"/>
        <v>APR</v>
      </c>
      <c r="P218" t="str">
        <f t="shared" si="27"/>
        <v>PAGO</v>
      </c>
    </row>
    <row r="219" spans="3:16" ht="30" x14ac:dyDescent="0.25">
      <c r="C219" s="35">
        <f>MARÇO!C64</f>
        <v>46139</v>
      </c>
      <c r="D219" s="35" t="str">
        <f>MARÇO!D64</f>
        <v>DESPESAS COM PRODUTOS</v>
      </c>
      <c r="E219" s="35" t="str">
        <f>MARÇO!E64</f>
        <v>-</v>
      </c>
      <c r="F219" s="67">
        <f>MARÇO!G64</f>
        <v>0</v>
      </c>
      <c r="G219" s="68">
        <f>MARÇO!H64</f>
        <v>0</v>
      </c>
      <c r="H219" s="37">
        <f>MARÇO!I64</f>
        <v>46139</v>
      </c>
      <c r="I219" s="34" t="str">
        <f>MARÇO!O64</f>
        <v>DESPESAS</v>
      </c>
      <c r="J219">
        <f t="shared" si="22"/>
        <v>27</v>
      </c>
      <c r="K219">
        <f t="shared" si="23"/>
        <v>4</v>
      </c>
      <c r="L219" t="str">
        <f t="shared" si="24"/>
        <v>APR</v>
      </c>
      <c r="M219">
        <f t="shared" si="25"/>
        <v>27</v>
      </c>
      <c r="N219">
        <f t="shared" si="26"/>
        <v>4</v>
      </c>
      <c r="O219" t="str">
        <f t="shared" si="28"/>
        <v>APR</v>
      </c>
      <c r="P219" t="str">
        <f t="shared" si="27"/>
        <v>PAGO</v>
      </c>
    </row>
    <row r="220" spans="3:16" ht="30" x14ac:dyDescent="0.25">
      <c r="C220" s="35">
        <f>MARÇO!C65</f>
        <v>46140</v>
      </c>
      <c r="D220" s="35" t="str">
        <f>MARÇO!D65</f>
        <v>DESPESAS COM PRODUTOS</v>
      </c>
      <c r="E220" s="35" t="str">
        <f>MARÇO!E65</f>
        <v>-</v>
      </c>
      <c r="F220" s="67">
        <f>MARÇO!G65</f>
        <v>0</v>
      </c>
      <c r="G220" s="68">
        <f>MARÇO!H65</f>
        <v>0</v>
      </c>
      <c r="H220" s="37">
        <f>MARÇO!I65</f>
        <v>46140</v>
      </c>
      <c r="I220" s="34" t="str">
        <f>MARÇO!O65</f>
        <v>DESPESAS</v>
      </c>
      <c r="J220">
        <f t="shared" si="22"/>
        <v>28</v>
      </c>
      <c r="K220">
        <f t="shared" si="23"/>
        <v>4</v>
      </c>
      <c r="L220" t="str">
        <f t="shared" si="24"/>
        <v>APR</v>
      </c>
      <c r="M220">
        <f t="shared" si="25"/>
        <v>28</v>
      </c>
      <c r="N220">
        <f t="shared" si="26"/>
        <v>4</v>
      </c>
      <c r="O220" t="str">
        <f t="shared" si="28"/>
        <v>APR</v>
      </c>
      <c r="P220" t="str">
        <f t="shared" si="27"/>
        <v>PAGO</v>
      </c>
    </row>
    <row r="221" spans="3:16" ht="30" x14ac:dyDescent="0.25">
      <c r="C221" s="35">
        <f>MARÇO!C66</f>
        <v>46141</v>
      </c>
      <c r="D221" s="35" t="str">
        <f>MARÇO!D66</f>
        <v>DESPESAS COM PRODUTOS</v>
      </c>
      <c r="E221" s="35" t="str">
        <f>MARÇO!E66</f>
        <v>-</v>
      </c>
      <c r="F221" s="67">
        <f>MARÇO!G66</f>
        <v>0</v>
      </c>
      <c r="G221" s="68">
        <f>MARÇO!H66</f>
        <v>0</v>
      </c>
      <c r="H221" s="37">
        <f>MARÇO!I66</f>
        <v>46141</v>
      </c>
      <c r="I221" s="34" t="str">
        <f>MARÇO!O66</f>
        <v>DESPESAS</v>
      </c>
      <c r="J221">
        <f t="shared" si="22"/>
        <v>29</v>
      </c>
      <c r="K221">
        <f t="shared" si="23"/>
        <v>4</v>
      </c>
      <c r="L221" t="str">
        <f t="shared" si="24"/>
        <v>APR</v>
      </c>
      <c r="M221">
        <f t="shared" si="25"/>
        <v>29</v>
      </c>
      <c r="N221">
        <f t="shared" si="26"/>
        <v>4</v>
      </c>
      <c r="O221" t="str">
        <f t="shared" si="28"/>
        <v>APR</v>
      </c>
      <c r="P221" t="str">
        <f t="shared" si="27"/>
        <v>PAGO</v>
      </c>
    </row>
    <row r="222" spans="3:16" ht="30" x14ac:dyDescent="0.25">
      <c r="C222" s="35">
        <f>MARÇO!C67</f>
        <v>46142</v>
      </c>
      <c r="D222" s="35" t="str">
        <f>MARÇO!D67</f>
        <v>DESPESAS COM PRODUTOS</v>
      </c>
      <c r="E222" s="35" t="str">
        <f>MARÇO!E67</f>
        <v>-</v>
      </c>
      <c r="F222" s="67">
        <f>MARÇO!G67</f>
        <v>0</v>
      </c>
      <c r="G222" s="68">
        <f>MARÇO!H67</f>
        <v>0</v>
      </c>
      <c r="H222" s="37">
        <f>MARÇO!I67</f>
        <v>46142</v>
      </c>
      <c r="I222" s="34" t="str">
        <f>MARÇO!O67</f>
        <v>DESPESAS</v>
      </c>
      <c r="J222">
        <f t="shared" si="22"/>
        <v>30</v>
      </c>
      <c r="K222">
        <f t="shared" si="23"/>
        <v>4</v>
      </c>
      <c r="L222" t="str">
        <f t="shared" si="24"/>
        <v>APR</v>
      </c>
      <c r="M222">
        <f t="shared" si="25"/>
        <v>30</v>
      </c>
      <c r="N222">
        <f t="shared" si="26"/>
        <v>4</v>
      </c>
      <c r="O222" t="str">
        <f t="shared" si="28"/>
        <v>APR</v>
      </c>
      <c r="P222" t="str">
        <f t="shared" si="27"/>
        <v>PAGO</v>
      </c>
    </row>
    <row r="223" spans="3:16" ht="30" x14ac:dyDescent="0.25">
      <c r="C223" s="35">
        <f>MARÇO!C68</f>
        <v>46143</v>
      </c>
      <c r="D223" s="35" t="str">
        <f>MARÇO!D68</f>
        <v>DESPESAS COM PRODUTOS</v>
      </c>
      <c r="E223" s="35" t="str">
        <f>MARÇO!E68</f>
        <v>-</v>
      </c>
      <c r="F223" s="67">
        <f>MARÇO!G68</f>
        <v>0</v>
      </c>
      <c r="G223" s="68">
        <f>MARÇO!H68</f>
        <v>0</v>
      </c>
      <c r="H223" s="37">
        <f>MARÇO!I68</f>
        <v>46143</v>
      </c>
      <c r="I223" s="34" t="str">
        <f>MARÇO!O68</f>
        <v>DESPESAS</v>
      </c>
      <c r="J223">
        <f t="shared" si="22"/>
        <v>1</v>
      </c>
      <c r="K223">
        <f t="shared" si="23"/>
        <v>5</v>
      </c>
      <c r="L223" t="str">
        <f t="shared" si="24"/>
        <v>MAY</v>
      </c>
      <c r="M223">
        <f t="shared" si="25"/>
        <v>1</v>
      </c>
      <c r="N223">
        <f t="shared" si="26"/>
        <v>5</v>
      </c>
      <c r="O223" t="str">
        <f t="shared" si="28"/>
        <v>MAY</v>
      </c>
      <c r="P223" t="str">
        <f t="shared" si="27"/>
        <v>PAGO</v>
      </c>
    </row>
    <row r="224" spans="3:16" ht="30" x14ac:dyDescent="0.25">
      <c r="C224" s="35">
        <f>MARÇO!C69</f>
        <v>46144</v>
      </c>
      <c r="D224" s="35" t="str">
        <f>MARÇO!D69</f>
        <v>DESPESAS COM PRODUTOS</v>
      </c>
      <c r="E224" s="35" t="str">
        <f>MARÇO!E69</f>
        <v>-</v>
      </c>
      <c r="F224" s="67">
        <f>MARÇO!G69</f>
        <v>0</v>
      </c>
      <c r="G224" s="68">
        <f>MARÇO!H69</f>
        <v>0</v>
      </c>
      <c r="H224" s="37">
        <f>MARÇO!I69</f>
        <v>46144</v>
      </c>
      <c r="I224" s="34" t="str">
        <f>MARÇO!O69</f>
        <v>DESPESAS</v>
      </c>
      <c r="J224">
        <f t="shared" si="22"/>
        <v>2</v>
      </c>
      <c r="K224">
        <f t="shared" si="23"/>
        <v>5</v>
      </c>
      <c r="L224" t="str">
        <f t="shared" si="24"/>
        <v>MAY</v>
      </c>
      <c r="M224">
        <f t="shared" si="25"/>
        <v>2</v>
      </c>
      <c r="N224">
        <f t="shared" si="26"/>
        <v>5</v>
      </c>
      <c r="O224" t="str">
        <f t="shared" si="28"/>
        <v>MAY</v>
      </c>
      <c r="P224" t="str">
        <f t="shared" si="27"/>
        <v>PAGO</v>
      </c>
    </row>
    <row r="225" spans="3:16" ht="30" x14ac:dyDescent="0.25">
      <c r="C225" s="35">
        <f>MARÇO!C70</f>
        <v>46145</v>
      </c>
      <c r="D225" s="35" t="str">
        <f>MARÇO!D70</f>
        <v>DESPESAS COM PRODUTOS</v>
      </c>
      <c r="E225" s="35" t="str">
        <f>MARÇO!E70</f>
        <v>-</v>
      </c>
      <c r="F225" s="67">
        <f>MARÇO!G70</f>
        <v>0</v>
      </c>
      <c r="G225" s="68">
        <f>MARÇO!H70</f>
        <v>0</v>
      </c>
      <c r="H225" s="37">
        <f>MARÇO!I70</f>
        <v>46145</v>
      </c>
      <c r="I225" s="34" t="str">
        <f>MARÇO!O70</f>
        <v>DESPESAS</v>
      </c>
      <c r="J225">
        <f t="shared" si="22"/>
        <v>3</v>
      </c>
      <c r="K225">
        <f t="shared" si="23"/>
        <v>5</v>
      </c>
      <c r="L225" t="str">
        <f t="shared" si="24"/>
        <v>MAY</v>
      </c>
      <c r="M225">
        <f t="shared" si="25"/>
        <v>3</v>
      </c>
      <c r="N225">
        <f t="shared" si="26"/>
        <v>5</v>
      </c>
      <c r="O225" t="str">
        <f t="shared" si="28"/>
        <v>MAY</v>
      </c>
      <c r="P225" t="str">
        <f t="shared" si="27"/>
        <v>PAGO</v>
      </c>
    </row>
    <row r="226" spans="3:16" ht="30" x14ac:dyDescent="0.25">
      <c r="C226" s="35">
        <f>MARÇO!C71</f>
        <v>46146</v>
      </c>
      <c r="D226" s="35" t="str">
        <f>MARÇO!D71</f>
        <v>DESPESAS COM PRODUTOS</v>
      </c>
      <c r="E226" s="35" t="str">
        <f>MARÇO!E71</f>
        <v>-</v>
      </c>
      <c r="F226" s="67">
        <f>MARÇO!G71</f>
        <v>0</v>
      </c>
      <c r="G226" s="68">
        <f>MARÇO!H71</f>
        <v>0</v>
      </c>
      <c r="H226" s="37">
        <f>MARÇO!I71</f>
        <v>46146</v>
      </c>
      <c r="I226" s="34" t="str">
        <f>MARÇO!O71</f>
        <v>DESPESAS</v>
      </c>
      <c r="J226">
        <f t="shared" si="22"/>
        <v>4</v>
      </c>
      <c r="K226">
        <f t="shared" si="23"/>
        <v>5</v>
      </c>
      <c r="L226" t="str">
        <f t="shared" si="24"/>
        <v>MAY</v>
      </c>
      <c r="M226">
        <f t="shared" si="25"/>
        <v>4</v>
      </c>
      <c r="N226">
        <f t="shared" si="26"/>
        <v>5</v>
      </c>
      <c r="O226" t="str">
        <f t="shared" si="28"/>
        <v>MAY</v>
      </c>
      <c r="P226" t="str">
        <f t="shared" si="27"/>
        <v>PAGO</v>
      </c>
    </row>
    <row r="227" spans="3:16" ht="30" x14ac:dyDescent="0.25">
      <c r="C227" s="35">
        <f>MARÇO!C72</f>
        <v>46147</v>
      </c>
      <c r="D227" s="35" t="str">
        <f>MARÇO!D72</f>
        <v>DESPESAS COM PRODUTOS</v>
      </c>
      <c r="E227" s="35" t="str">
        <f>MARÇO!E72</f>
        <v>-</v>
      </c>
      <c r="F227" s="67">
        <f>MARÇO!G72</f>
        <v>0</v>
      </c>
      <c r="G227" s="68">
        <f>MARÇO!H72</f>
        <v>0</v>
      </c>
      <c r="H227" s="37">
        <f>MARÇO!I72</f>
        <v>46147</v>
      </c>
      <c r="I227" s="34" t="str">
        <f>MARÇO!O72</f>
        <v>DESPESAS</v>
      </c>
      <c r="J227">
        <f t="shared" si="22"/>
        <v>5</v>
      </c>
      <c r="K227">
        <f t="shared" si="23"/>
        <v>5</v>
      </c>
      <c r="L227" t="str">
        <f t="shared" si="24"/>
        <v>MAY</v>
      </c>
      <c r="M227">
        <f t="shared" si="25"/>
        <v>5</v>
      </c>
      <c r="N227">
        <f t="shared" si="26"/>
        <v>5</v>
      </c>
      <c r="O227" t="str">
        <f t="shared" si="28"/>
        <v>MAY</v>
      </c>
      <c r="P227" t="str">
        <f t="shared" si="27"/>
        <v>PAGO</v>
      </c>
    </row>
    <row r="228" spans="3:16" ht="30" x14ac:dyDescent="0.25">
      <c r="C228" s="35">
        <f>MARÇO!C73</f>
        <v>46148</v>
      </c>
      <c r="D228" s="35" t="str">
        <f>MARÇO!D73</f>
        <v>DESPESAS COM PRODUTOS</v>
      </c>
      <c r="E228" s="35" t="str">
        <f>MARÇO!E73</f>
        <v>-</v>
      </c>
      <c r="F228" s="67">
        <f>MARÇO!G73</f>
        <v>0</v>
      </c>
      <c r="G228" s="68">
        <f>MARÇO!H73</f>
        <v>0</v>
      </c>
      <c r="H228" s="37">
        <f>MARÇO!I73</f>
        <v>46148</v>
      </c>
      <c r="I228" s="34" t="str">
        <f>MARÇO!O73</f>
        <v>DESPESAS</v>
      </c>
      <c r="J228">
        <f t="shared" si="22"/>
        <v>6</v>
      </c>
      <c r="K228">
        <f t="shared" si="23"/>
        <v>5</v>
      </c>
      <c r="L228" t="str">
        <f t="shared" si="24"/>
        <v>MAY</v>
      </c>
      <c r="M228">
        <f t="shared" si="25"/>
        <v>6</v>
      </c>
      <c r="N228">
        <f t="shared" si="26"/>
        <v>5</v>
      </c>
      <c r="O228" t="str">
        <f t="shared" si="28"/>
        <v>MAY</v>
      </c>
      <c r="P228" t="str">
        <f t="shared" si="27"/>
        <v>PAGO</v>
      </c>
    </row>
    <row r="229" spans="3:16" ht="30" x14ac:dyDescent="0.25">
      <c r="C229" s="35">
        <f>MARÇO!C74</f>
        <v>46149</v>
      </c>
      <c r="D229" s="35" t="str">
        <f>MARÇO!D74</f>
        <v>DESPESAS COM PRODUTOS</v>
      </c>
      <c r="E229" s="35" t="str">
        <f>MARÇO!E74</f>
        <v>-</v>
      </c>
      <c r="F229" s="67">
        <f>MARÇO!G74</f>
        <v>0</v>
      </c>
      <c r="G229" s="68">
        <f>MARÇO!H74</f>
        <v>0</v>
      </c>
      <c r="H229" s="37">
        <f>MARÇO!I74</f>
        <v>46149</v>
      </c>
      <c r="I229" s="34" t="str">
        <f>MARÇO!O74</f>
        <v>DESPESAS</v>
      </c>
      <c r="J229">
        <f t="shared" si="22"/>
        <v>7</v>
      </c>
      <c r="K229">
        <f t="shared" si="23"/>
        <v>5</v>
      </c>
      <c r="L229" t="str">
        <f t="shared" si="24"/>
        <v>MAY</v>
      </c>
      <c r="M229">
        <f t="shared" si="25"/>
        <v>7</v>
      </c>
      <c r="N229">
        <f t="shared" si="26"/>
        <v>5</v>
      </c>
      <c r="O229" t="str">
        <f t="shared" si="28"/>
        <v>MAY</v>
      </c>
      <c r="P229" t="str">
        <f t="shared" si="27"/>
        <v>PAGO</v>
      </c>
    </row>
    <row r="230" spans="3:16" ht="30" x14ac:dyDescent="0.25">
      <c r="C230" s="35">
        <f>MARÇO!C75</f>
        <v>46150</v>
      </c>
      <c r="D230" s="35" t="str">
        <f>MARÇO!D75</f>
        <v>DESPESAS COM PRODUTOS</v>
      </c>
      <c r="E230" s="35" t="str">
        <f>MARÇO!E75</f>
        <v>-</v>
      </c>
      <c r="F230" s="67">
        <f>MARÇO!G75</f>
        <v>0</v>
      </c>
      <c r="G230" s="68">
        <f>MARÇO!H75</f>
        <v>0</v>
      </c>
      <c r="H230" s="37">
        <f>MARÇO!I75</f>
        <v>46150</v>
      </c>
      <c r="I230" s="34" t="str">
        <f>MARÇO!O75</f>
        <v>DESPESAS</v>
      </c>
      <c r="J230">
        <f t="shared" si="22"/>
        <v>8</v>
      </c>
      <c r="K230">
        <f t="shared" si="23"/>
        <v>5</v>
      </c>
      <c r="L230" t="str">
        <f t="shared" si="24"/>
        <v>MAY</v>
      </c>
      <c r="M230">
        <f t="shared" si="25"/>
        <v>8</v>
      </c>
      <c r="N230">
        <f t="shared" si="26"/>
        <v>5</v>
      </c>
      <c r="O230" t="str">
        <f t="shared" si="28"/>
        <v>MAY</v>
      </c>
      <c r="P230" t="str">
        <f t="shared" si="27"/>
        <v>PAGO</v>
      </c>
    </row>
    <row r="231" spans="3:16" ht="30" x14ac:dyDescent="0.25">
      <c r="C231" s="35">
        <f>MARÇO!C76</f>
        <v>46151</v>
      </c>
      <c r="D231" s="35" t="str">
        <f>MARÇO!D76</f>
        <v>DESPESAS COM PRODUTOS</v>
      </c>
      <c r="E231" s="35" t="str">
        <f>MARÇO!E76</f>
        <v>-</v>
      </c>
      <c r="F231" s="67">
        <f>MARÇO!G76</f>
        <v>0</v>
      </c>
      <c r="G231" s="68">
        <f>MARÇO!H76</f>
        <v>0</v>
      </c>
      <c r="H231" s="37">
        <f>MARÇO!I76</f>
        <v>46151</v>
      </c>
      <c r="I231" s="34" t="str">
        <f>MARÇO!O76</f>
        <v>DESPESAS</v>
      </c>
      <c r="J231">
        <f t="shared" si="22"/>
        <v>9</v>
      </c>
      <c r="K231">
        <f t="shared" si="23"/>
        <v>5</v>
      </c>
      <c r="L231" t="str">
        <f t="shared" si="24"/>
        <v>MAY</v>
      </c>
      <c r="M231">
        <f t="shared" si="25"/>
        <v>9</v>
      </c>
      <c r="N231">
        <f t="shared" si="26"/>
        <v>5</v>
      </c>
      <c r="O231" t="str">
        <f t="shared" si="28"/>
        <v>MAY</v>
      </c>
      <c r="P231" t="str">
        <f t="shared" si="27"/>
        <v>PAGO</v>
      </c>
    </row>
    <row r="232" spans="3:16" ht="30" x14ac:dyDescent="0.25">
      <c r="C232" s="35">
        <f>MARÇO!C77</f>
        <v>46152</v>
      </c>
      <c r="D232" s="35" t="str">
        <f>MARÇO!D77</f>
        <v>DESPESAS COM PRODUTOS</v>
      </c>
      <c r="E232" s="35" t="str">
        <f>MARÇO!E77</f>
        <v>-</v>
      </c>
      <c r="F232" s="67">
        <f>MARÇO!G77</f>
        <v>0</v>
      </c>
      <c r="G232" s="68">
        <f>MARÇO!H77</f>
        <v>0</v>
      </c>
      <c r="H232" s="37">
        <f>MARÇO!I77</f>
        <v>46152</v>
      </c>
      <c r="I232" s="34" t="str">
        <f>MARÇO!O77</f>
        <v>DESPESAS</v>
      </c>
      <c r="J232">
        <f t="shared" si="22"/>
        <v>10</v>
      </c>
      <c r="K232">
        <f t="shared" si="23"/>
        <v>5</v>
      </c>
      <c r="L232" t="str">
        <f t="shared" si="24"/>
        <v>MAY</v>
      </c>
      <c r="M232">
        <f t="shared" si="25"/>
        <v>10</v>
      </c>
      <c r="N232">
        <f t="shared" si="26"/>
        <v>5</v>
      </c>
      <c r="O232" t="str">
        <f t="shared" si="28"/>
        <v>MAY</v>
      </c>
      <c r="P232" t="str">
        <f t="shared" si="27"/>
        <v>PAGO</v>
      </c>
    </row>
    <row r="233" spans="3:16" ht="30" x14ac:dyDescent="0.25">
      <c r="C233" s="35">
        <f>MARÇO!C78</f>
        <v>46153</v>
      </c>
      <c r="D233" s="35" t="str">
        <f>MARÇO!D78</f>
        <v>DESPESAS COM PRODUTOS</v>
      </c>
      <c r="E233" s="35" t="str">
        <f>MARÇO!E78</f>
        <v>-</v>
      </c>
      <c r="F233" s="67">
        <f>MARÇO!G78</f>
        <v>0</v>
      </c>
      <c r="G233" s="68">
        <f>MARÇO!H78</f>
        <v>0</v>
      </c>
      <c r="H233" s="37">
        <f>MARÇO!I78</f>
        <v>46153</v>
      </c>
      <c r="I233" s="34" t="str">
        <f>MARÇO!O78</f>
        <v>DESPESAS</v>
      </c>
      <c r="J233">
        <f t="shared" si="22"/>
        <v>11</v>
      </c>
      <c r="K233">
        <f t="shared" si="23"/>
        <v>5</v>
      </c>
      <c r="L233" t="str">
        <f t="shared" si="24"/>
        <v>MAY</v>
      </c>
      <c r="M233">
        <f t="shared" si="25"/>
        <v>11</v>
      </c>
      <c r="N233">
        <f t="shared" si="26"/>
        <v>5</v>
      </c>
      <c r="O233" t="str">
        <f t="shared" si="28"/>
        <v>MAY</v>
      </c>
      <c r="P233" t="str">
        <f t="shared" si="27"/>
        <v>PAGO</v>
      </c>
    </row>
    <row r="234" spans="3:16" ht="30" x14ac:dyDescent="0.25">
      <c r="C234" s="35">
        <f>MARÇO!C79</f>
        <v>46154</v>
      </c>
      <c r="D234" s="35" t="str">
        <f>MARÇO!D79</f>
        <v>DESPESAS COM PRODUTOS</v>
      </c>
      <c r="E234" s="35" t="str">
        <f>MARÇO!E79</f>
        <v>-</v>
      </c>
      <c r="F234" s="67">
        <f>MARÇO!G79</f>
        <v>0</v>
      </c>
      <c r="G234" s="68">
        <f>MARÇO!H79</f>
        <v>0</v>
      </c>
      <c r="H234" s="37">
        <f>MARÇO!I79</f>
        <v>46154</v>
      </c>
      <c r="I234" s="34" t="str">
        <f>MARÇO!O79</f>
        <v>DESPESAS</v>
      </c>
      <c r="J234">
        <f t="shared" si="22"/>
        <v>12</v>
      </c>
      <c r="K234">
        <f t="shared" si="23"/>
        <v>5</v>
      </c>
      <c r="L234" t="str">
        <f t="shared" si="24"/>
        <v>MAY</v>
      </c>
      <c r="M234">
        <f t="shared" si="25"/>
        <v>12</v>
      </c>
      <c r="N234">
        <f t="shared" si="26"/>
        <v>5</v>
      </c>
      <c r="O234" t="str">
        <f t="shared" si="28"/>
        <v>MAY</v>
      </c>
      <c r="P234" t="str">
        <f t="shared" si="27"/>
        <v>PAGO</v>
      </c>
    </row>
    <row r="235" spans="3:16" ht="30" x14ac:dyDescent="0.25">
      <c r="C235" s="35">
        <f>MARÇO!C80</f>
        <v>46155</v>
      </c>
      <c r="D235" s="35" t="str">
        <f>MARÇO!D80</f>
        <v>DESPESAS COM PRODUTOS</v>
      </c>
      <c r="E235" s="35" t="str">
        <f>MARÇO!E80</f>
        <v>-</v>
      </c>
      <c r="F235" s="67" t="str">
        <f>MARÇO!G80</f>
        <v>BENFICA</v>
      </c>
      <c r="G235" s="68">
        <f>MARÇO!H80</f>
        <v>0</v>
      </c>
      <c r="H235" s="37">
        <f>MARÇO!I80</f>
        <v>46155</v>
      </c>
      <c r="I235" s="34" t="str">
        <f>MARÇO!O80</f>
        <v>DESPESAS</v>
      </c>
      <c r="J235">
        <f t="shared" si="22"/>
        <v>13</v>
      </c>
      <c r="K235">
        <f t="shared" si="23"/>
        <v>5</v>
      </c>
      <c r="L235" t="str">
        <f t="shared" si="24"/>
        <v>MAY</v>
      </c>
      <c r="M235">
        <f t="shared" si="25"/>
        <v>13</v>
      </c>
      <c r="N235">
        <f t="shared" si="26"/>
        <v>5</v>
      </c>
      <c r="O235" t="str">
        <f t="shared" si="28"/>
        <v>MAY</v>
      </c>
      <c r="P235" t="str">
        <f t="shared" si="27"/>
        <v>PAGO</v>
      </c>
    </row>
    <row r="236" spans="3:16" ht="30" x14ac:dyDescent="0.25">
      <c r="C236" s="35">
        <f>MARÇO!C81</f>
        <v>46156</v>
      </c>
      <c r="D236" s="35" t="str">
        <f>MARÇO!D81</f>
        <v>DESPESAS COM PRODUTOS</v>
      </c>
      <c r="E236" s="35" t="str">
        <f>MARÇO!E81</f>
        <v>-</v>
      </c>
      <c r="F236" s="67">
        <f>MARÇO!G81</f>
        <v>0</v>
      </c>
      <c r="G236" s="68">
        <f>MARÇO!H81</f>
        <v>0</v>
      </c>
      <c r="H236" s="37">
        <f>MARÇO!I81</f>
        <v>46156</v>
      </c>
      <c r="I236" s="34" t="str">
        <f>MARÇO!O81</f>
        <v>DESPESAS</v>
      </c>
      <c r="J236">
        <f t="shared" si="22"/>
        <v>14</v>
      </c>
      <c r="K236">
        <f t="shared" si="23"/>
        <v>5</v>
      </c>
      <c r="L236" t="str">
        <f t="shared" si="24"/>
        <v>MAY</v>
      </c>
      <c r="M236">
        <f t="shared" si="25"/>
        <v>14</v>
      </c>
      <c r="N236">
        <f t="shared" si="26"/>
        <v>5</v>
      </c>
      <c r="O236" t="str">
        <f t="shared" si="28"/>
        <v>MAY</v>
      </c>
      <c r="P236" t="str">
        <f t="shared" si="27"/>
        <v>PAGO</v>
      </c>
    </row>
    <row r="237" spans="3:16" ht="30" x14ac:dyDescent="0.25">
      <c r="C237" s="35">
        <f>MARÇO!C82</f>
        <v>46157</v>
      </c>
      <c r="D237" s="35" t="str">
        <f>MARÇO!D82</f>
        <v>DESPESAS COM PRODUTOS</v>
      </c>
      <c r="E237" s="35" t="str">
        <f>MARÇO!E82</f>
        <v>-</v>
      </c>
      <c r="F237" s="67">
        <f>MARÇO!G82</f>
        <v>0</v>
      </c>
      <c r="G237" s="68">
        <f>MARÇO!H82</f>
        <v>0</v>
      </c>
      <c r="H237" s="37">
        <f>MARÇO!I82</f>
        <v>46157</v>
      </c>
      <c r="I237" s="34" t="str">
        <f>MARÇO!O82</f>
        <v>DESPESAS</v>
      </c>
      <c r="J237">
        <f t="shared" si="22"/>
        <v>15</v>
      </c>
      <c r="K237">
        <f t="shared" si="23"/>
        <v>5</v>
      </c>
      <c r="L237" t="str">
        <f t="shared" si="24"/>
        <v>MAY</v>
      </c>
      <c r="M237">
        <f t="shared" si="25"/>
        <v>15</v>
      </c>
      <c r="N237">
        <f t="shared" si="26"/>
        <v>5</v>
      </c>
      <c r="O237" t="str">
        <f t="shared" si="28"/>
        <v>MAY</v>
      </c>
      <c r="P237" t="str">
        <f t="shared" si="27"/>
        <v>PAGO</v>
      </c>
    </row>
    <row r="238" spans="3:16" ht="30" x14ac:dyDescent="0.25">
      <c r="C238" s="35">
        <f>MARÇO!C83</f>
        <v>46158</v>
      </c>
      <c r="D238" s="35" t="str">
        <f>MARÇO!D83</f>
        <v>DESPESAS COM PRODUTOS</v>
      </c>
      <c r="E238" s="35" t="str">
        <f>MARÇO!E83</f>
        <v>-</v>
      </c>
      <c r="F238" s="67">
        <f>MARÇO!G83</f>
        <v>0</v>
      </c>
      <c r="G238" s="68">
        <f>MARÇO!H83</f>
        <v>0</v>
      </c>
      <c r="H238" s="37">
        <f>MARÇO!I83</f>
        <v>46158</v>
      </c>
      <c r="I238" s="34" t="str">
        <f>MARÇO!O83</f>
        <v>DESPESAS</v>
      </c>
      <c r="J238">
        <f t="shared" si="22"/>
        <v>16</v>
      </c>
      <c r="K238">
        <f t="shared" si="23"/>
        <v>5</v>
      </c>
      <c r="L238" t="str">
        <f t="shared" si="24"/>
        <v>MAY</v>
      </c>
      <c r="M238">
        <f t="shared" si="25"/>
        <v>16</v>
      </c>
      <c r="N238">
        <f t="shared" si="26"/>
        <v>5</v>
      </c>
      <c r="O238" t="str">
        <f t="shared" si="28"/>
        <v>MAY</v>
      </c>
      <c r="P238" t="str">
        <f t="shared" si="27"/>
        <v>PAGO</v>
      </c>
    </row>
    <row r="239" spans="3:16" ht="30" x14ac:dyDescent="0.25">
      <c r="C239" s="35">
        <f>MARÇO!C84</f>
        <v>46159</v>
      </c>
      <c r="D239" s="35" t="str">
        <f>MARÇO!D84</f>
        <v>DESPESAS COM PRODUTOS</v>
      </c>
      <c r="E239" s="35" t="str">
        <f>MARÇO!E84</f>
        <v>-</v>
      </c>
      <c r="F239" s="67">
        <f>MARÇO!G84</f>
        <v>0</v>
      </c>
      <c r="G239" s="68">
        <f>MARÇO!H84</f>
        <v>0</v>
      </c>
      <c r="H239" s="37">
        <f>MARÇO!I84</f>
        <v>46159</v>
      </c>
      <c r="I239" s="34" t="str">
        <f>MARÇO!O84</f>
        <v>DESPESAS</v>
      </c>
      <c r="J239">
        <f t="shared" si="22"/>
        <v>17</v>
      </c>
      <c r="K239">
        <f t="shared" si="23"/>
        <v>5</v>
      </c>
      <c r="L239" t="str">
        <f t="shared" si="24"/>
        <v>MAY</v>
      </c>
      <c r="M239">
        <f t="shared" si="25"/>
        <v>17</v>
      </c>
      <c r="N239">
        <f t="shared" si="26"/>
        <v>5</v>
      </c>
      <c r="O239" t="str">
        <f t="shared" si="28"/>
        <v>MAY</v>
      </c>
      <c r="P239" t="str">
        <f t="shared" si="27"/>
        <v>PAGO</v>
      </c>
    </row>
    <row r="240" spans="3:16" x14ac:dyDescent="0.25">
      <c r="C240" s="35">
        <f>ABRIL!C7</f>
        <v>46113</v>
      </c>
      <c r="D240" s="35" t="str">
        <f>ABRIL!D7</f>
        <v>RECEITAS COM SERVIÇOS</v>
      </c>
      <c r="E240" s="35" t="str">
        <f>ABRIL!E7</f>
        <v>-</v>
      </c>
      <c r="F240" s="67">
        <f>ABRIL!G7</f>
        <v>0</v>
      </c>
      <c r="G240" s="68">
        <f>ABRIL!H7</f>
        <v>12</v>
      </c>
      <c r="H240" s="37">
        <f>ABRIL!I7</f>
        <v>46307</v>
      </c>
      <c r="I240" s="34" t="str">
        <f>ABRIL!O7</f>
        <v>RECEITAS</v>
      </c>
      <c r="J240">
        <f t="shared" si="22"/>
        <v>1</v>
      </c>
      <c r="K240">
        <f t="shared" si="23"/>
        <v>4</v>
      </c>
      <c r="L240" t="str">
        <f t="shared" si="24"/>
        <v>APR</v>
      </c>
      <c r="M240">
        <f t="shared" si="25"/>
        <v>12</v>
      </c>
      <c r="N240">
        <f t="shared" si="26"/>
        <v>10</v>
      </c>
      <c r="O240" t="str">
        <f t="shared" si="28"/>
        <v>OCT</v>
      </c>
      <c r="P240" t="str">
        <f t="shared" si="27"/>
        <v>PAGO</v>
      </c>
    </row>
    <row r="241" spans="3:16" ht="30" x14ac:dyDescent="0.25">
      <c r="C241" s="35">
        <f>ABRIL!C8</f>
        <v>46114</v>
      </c>
      <c r="D241" s="35" t="str">
        <f>ABRIL!D8</f>
        <v>DESPESAS COM PRODUTOS</v>
      </c>
      <c r="E241" s="35" t="str">
        <f>ABRIL!E8</f>
        <v>-</v>
      </c>
      <c r="F241" s="67">
        <f>ABRIL!G8</f>
        <v>0</v>
      </c>
      <c r="G241" s="68">
        <f>ABRIL!H8</f>
        <v>1</v>
      </c>
      <c r="H241" s="37">
        <f>ABRIL!I8</f>
        <v>46308</v>
      </c>
      <c r="I241" s="34" t="str">
        <f>ABRIL!O8</f>
        <v>DESPESAS</v>
      </c>
      <c r="J241">
        <f t="shared" si="22"/>
        <v>2</v>
      </c>
      <c r="K241">
        <f t="shared" si="23"/>
        <v>4</v>
      </c>
      <c r="L241" t="str">
        <f t="shared" si="24"/>
        <v>APR</v>
      </c>
      <c r="M241">
        <f t="shared" si="25"/>
        <v>13</v>
      </c>
      <c r="N241">
        <f t="shared" si="26"/>
        <v>10</v>
      </c>
      <c r="O241" t="str">
        <f t="shared" si="28"/>
        <v>OCT</v>
      </c>
      <c r="P241" t="str">
        <f t="shared" si="27"/>
        <v>PAGO</v>
      </c>
    </row>
    <row r="242" spans="3:16" x14ac:dyDescent="0.25">
      <c r="C242" s="35">
        <f>ABRIL!C9</f>
        <v>46115</v>
      </c>
      <c r="D242" s="35" t="str">
        <f>ABRIL!D9</f>
        <v>DESPESAS COM RH</v>
      </c>
      <c r="E242" s="35" t="str">
        <f>ABRIL!E9</f>
        <v>MARKETING OFFLINE</v>
      </c>
      <c r="F242" s="67">
        <f>ABRIL!G9</f>
        <v>0</v>
      </c>
      <c r="G242" s="68">
        <f>ABRIL!H9</f>
        <v>2</v>
      </c>
      <c r="H242" s="37">
        <f>ABRIL!I9</f>
        <v>46309</v>
      </c>
      <c r="I242" s="34" t="str">
        <f>ABRIL!O9</f>
        <v>DESPESAS</v>
      </c>
      <c r="J242">
        <f t="shared" si="22"/>
        <v>3</v>
      </c>
      <c r="K242">
        <f t="shared" si="23"/>
        <v>4</v>
      </c>
      <c r="L242" t="str">
        <f t="shared" si="24"/>
        <v>APR</v>
      </c>
      <c r="M242">
        <f t="shared" si="25"/>
        <v>14</v>
      </c>
      <c r="N242">
        <f t="shared" si="26"/>
        <v>10</v>
      </c>
      <c r="O242" t="str">
        <f t="shared" si="28"/>
        <v>OCT</v>
      </c>
      <c r="P242" t="str">
        <f t="shared" si="27"/>
        <v>PAGO</v>
      </c>
    </row>
    <row r="243" spans="3:16" ht="30" x14ac:dyDescent="0.25">
      <c r="C243" s="35">
        <f>ABRIL!C10</f>
        <v>46116</v>
      </c>
      <c r="D243" s="35" t="str">
        <f>ABRIL!D10</f>
        <v>DESPESAS COM PRODUTOS</v>
      </c>
      <c r="E243" s="35" t="str">
        <f>ABRIL!E10</f>
        <v>-</v>
      </c>
      <c r="F243" s="67">
        <f>ABRIL!G10</f>
        <v>0</v>
      </c>
      <c r="G243" s="68">
        <f>ABRIL!H10</f>
        <v>3</v>
      </c>
      <c r="H243" s="37">
        <f>ABRIL!I10</f>
        <v>46310</v>
      </c>
      <c r="I243" s="34" t="str">
        <f>ABRIL!O10</f>
        <v>DESPESAS</v>
      </c>
      <c r="J243">
        <f t="shared" si="22"/>
        <v>4</v>
      </c>
      <c r="K243">
        <f t="shared" si="23"/>
        <v>4</v>
      </c>
      <c r="L243" t="str">
        <f t="shared" si="24"/>
        <v>APR</v>
      </c>
      <c r="M243">
        <f t="shared" si="25"/>
        <v>15</v>
      </c>
      <c r="N243">
        <f t="shared" si="26"/>
        <v>10</v>
      </c>
      <c r="O243" t="str">
        <f t="shared" si="28"/>
        <v>OCT</v>
      </c>
      <c r="P243" t="str">
        <f t="shared" si="27"/>
        <v>PAGO</v>
      </c>
    </row>
    <row r="244" spans="3:16" ht="30" x14ac:dyDescent="0.25">
      <c r="C244" s="35">
        <f>ABRIL!C11</f>
        <v>46117</v>
      </c>
      <c r="D244" s="35" t="str">
        <f>ABRIL!D11</f>
        <v>DESPESAS COM PRODUTOS</v>
      </c>
      <c r="E244" s="35" t="str">
        <f>ABRIL!E11</f>
        <v>-</v>
      </c>
      <c r="F244" s="67">
        <f>ABRIL!G11</f>
        <v>0</v>
      </c>
      <c r="G244" s="68">
        <f>ABRIL!H11</f>
        <v>-2</v>
      </c>
      <c r="H244" s="37">
        <f>ABRIL!I11</f>
        <v>46311</v>
      </c>
      <c r="I244" s="34" t="str">
        <f>ABRIL!O11</f>
        <v>DESPESAS</v>
      </c>
      <c r="J244">
        <f t="shared" si="22"/>
        <v>5</v>
      </c>
      <c r="K244">
        <f t="shared" si="23"/>
        <v>4</v>
      </c>
      <c r="L244" t="str">
        <f t="shared" si="24"/>
        <v>APR</v>
      </c>
      <c r="M244">
        <f t="shared" si="25"/>
        <v>16</v>
      </c>
      <c r="N244">
        <f t="shared" si="26"/>
        <v>10</v>
      </c>
      <c r="O244" t="str">
        <f t="shared" si="28"/>
        <v>OCT</v>
      </c>
      <c r="P244" t="str">
        <f t="shared" si="27"/>
        <v>PAGO</v>
      </c>
    </row>
    <row r="245" spans="3:16" ht="30" x14ac:dyDescent="0.25">
      <c r="C245" s="35">
        <f>ABRIL!C12</f>
        <v>46118</v>
      </c>
      <c r="D245" s="35" t="str">
        <f>ABRIL!D12</f>
        <v>DESPESAS COM PRODUTOS</v>
      </c>
      <c r="E245" s="35" t="str">
        <f>ABRIL!E12</f>
        <v>-</v>
      </c>
      <c r="F245" s="67" t="str">
        <f>ABRIL!G12</f>
        <v>BENFICA</v>
      </c>
      <c r="G245" s="68">
        <f>ABRIL!H12</f>
        <v>-4.5999999999999996</v>
      </c>
      <c r="H245" s="37">
        <f>ABRIL!I12</f>
        <v>46312</v>
      </c>
      <c r="I245" s="34" t="str">
        <f>ABRIL!O12</f>
        <v>DESPESAS</v>
      </c>
      <c r="J245">
        <f t="shared" si="22"/>
        <v>6</v>
      </c>
      <c r="K245">
        <f t="shared" si="23"/>
        <v>4</v>
      </c>
      <c r="L245" t="str">
        <f t="shared" si="24"/>
        <v>APR</v>
      </c>
      <c r="M245">
        <f t="shared" si="25"/>
        <v>17</v>
      </c>
      <c r="N245">
        <f t="shared" si="26"/>
        <v>10</v>
      </c>
      <c r="O245" t="str">
        <f t="shared" si="28"/>
        <v>OCT</v>
      </c>
      <c r="P245" t="str">
        <f t="shared" si="27"/>
        <v>PAGO</v>
      </c>
    </row>
    <row r="246" spans="3:16" ht="30" x14ac:dyDescent="0.25">
      <c r="C246" s="35">
        <f>ABRIL!C13</f>
        <v>46119</v>
      </c>
      <c r="D246" s="35" t="str">
        <f>ABRIL!D13</f>
        <v>DESPESAS COM PRODUTOS</v>
      </c>
      <c r="E246" s="35" t="str">
        <f>ABRIL!E13</f>
        <v>-</v>
      </c>
      <c r="F246" s="67">
        <f>ABRIL!G13</f>
        <v>0</v>
      </c>
      <c r="G246" s="68">
        <f>ABRIL!H13</f>
        <v>-7.2</v>
      </c>
      <c r="H246" s="37">
        <f>ABRIL!I13</f>
        <v>46313</v>
      </c>
      <c r="I246" s="34" t="str">
        <f>ABRIL!O13</f>
        <v>DESPESAS</v>
      </c>
      <c r="J246">
        <f t="shared" si="22"/>
        <v>7</v>
      </c>
      <c r="K246">
        <f t="shared" si="23"/>
        <v>4</v>
      </c>
      <c r="L246" t="str">
        <f t="shared" si="24"/>
        <v>APR</v>
      </c>
      <c r="M246">
        <f t="shared" si="25"/>
        <v>18</v>
      </c>
      <c r="N246">
        <f t="shared" si="26"/>
        <v>10</v>
      </c>
      <c r="O246" t="str">
        <f t="shared" si="28"/>
        <v>OCT</v>
      </c>
      <c r="P246" t="str">
        <f t="shared" si="27"/>
        <v>PAGO</v>
      </c>
    </row>
    <row r="247" spans="3:16" x14ac:dyDescent="0.25">
      <c r="C247" s="35">
        <f>ABRIL!C14</f>
        <v>46120</v>
      </c>
      <c r="D247" s="35" t="str">
        <f>ABRIL!D14</f>
        <v>DESPESAS COM RH</v>
      </c>
      <c r="E247" s="35" t="str">
        <f>ABRIL!E14</f>
        <v>ACTUALIZAÇÕES</v>
      </c>
      <c r="F247" s="67">
        <f>ABRIL!G14</f>
        <v>0</v>
      </c>
      <c r="G247" s="68">
        <f>ABRIL!H14</f>
        <v>-9.8000000000000007</v>
      </c>
      <c r="H247" s="37">
        <f>ABRIL!I14</f>
        <v>46314</v>
      </c>
      <c r="I247" s="34" t="str">
        <f>ABRIL!O14</f>
        <v>DESPESAS</v>
      </c>
      <c r="J247">
        <f t="shared" si="22"/>
        <v>8</v>
      </c>
      <c r="K247">
        <f t="shared" si="23"/>
        <v>4</v>
      </c>
      <c r="L247" t="str">
        <f t="shared" si="24"/>
        <v>APR</v>
      </c>
      <c r="M247">
        <f t="shared" si="25"/>
        <v>19</v>
      </c>
      <c r="N247">
        <f t="shared" si="26"/>
        <v>10</v>
      </c>
      <c r="O247" t="str">
        <f t="shared" si="28"/>
        <v>OCT</v>
      </c>
      <c r="P247" t="str">
        <f t="shared" si="27"/>
        <v>PAGO</v>
      </c>
    </row>
    <row r="248" spans="3:16" x14ac:dyDescent="0.25">
      <c r="C248" s="35">
        <f>ABRIL!C15</f>
        <v>46121</v>
      </c>
      <c r="D248" s="35" t="str">
        <f>ABRIL!D15</f>
        <v>RECEITAS COM SERVIÇOS</v>
      </c>
      <c r="E248" s="35" t="str">
        <f>ABRIL!E15</f>
        <v>-</v>
      </c>
      <c r="F248" s="67">
        <f>ABRIL!G15</f>
        <v>0</v>
      </c>
      <c r="G248" s="68">
        <f>ABRIL!H15</f>
        <v>1</v>
      </c>
      <c r="H248" s="37">
        <f>ABRIL!I15</f>
        <v>46315</v>
      </c>
      <c r="I248" s="34" t="str">
        <f>ABRIL!O15</f>
        <v>RECEITAS</v>
      </c>
      <c r="J248">
        <f t="shared" si="22"/>
        <v>9</v>
      </c>
      <c r="K248">
        <f t="shared" si="23"/>
        <v>4</v>
      </c>
      <c r="L248" t="str">
        <f t="shared" si="24"/>
        <v>APR</v>
      </c>
      <c r="M248">
        <f t="shared" si="25"/>
        <v>20</v>
      </c>
      <c r="N248">
        <f t="shared" si="26"/>
        <v>10</v>
      </c>
      <c r="O248" t="str">
        <f t="shared" si="28"/>
        <v>OCT</v>
      </c>
      <c r="P248" t="str">
        <f t="shared" si="27"/>
        <v>PAGO</v>
      </c>
    </row>
    <row r="249" spans="3:16" x14ac:dyDescent="0.25">
      <c r="C249" s="35">
        <f>ABRIL!C16</f>
        <v>46122</v>
      </c>
      <c r="D249" s="35" t="str">
        <f>ABRIL!D16</f>
        <v>RECEITAS COM SERVIÇOS</v>
      </c>
      <c r="E249" s="35" t="str">
        <f>ABRIL!E16</f>
        <v>-</v>
      </c>
      <c r="F249" s="67">
        <f>ABRIL!G16</f>
        <v>0</v>
      </c>
      <c r="G249" s="68">
        <f>ABRIL!H16</f>
        <v>1</v>
      </c>
      <c r="H249" s="37">
        <f>ABRIL!I16</f>
        <v>46316</v>
      </c>
      <c r="I249" s="34" t="str">
        <f>ABRIL!O16</f>
        <v>RECEITAS</v>
      </c>
      <c r="J249">
        <f t="shared" si="22"/>
        <v>10</v>
      </c>
      <c r="K249">
        <f t="shared" si="23"/>
        <v>4</v>
      </c>
      <c r="L249" t="str">
        <f t="shared" si="24"/>
        <v>APR</v>
      </c>
      <c r="M249">
        <f t="shared" si="25"/>
        <v>21</v>
      </c>
      <c r="N249">
        <f t="shared" si="26"/>
        <v>10</v>
      </c>
      <c r="O249" t="str">
        <f t="shared" si="28"/>
        <v>OCT</v>
      </c>
      <c r="P249" t="str">
        <f t="shared" si="27"/>
        <v>PAGO</v>
      </c>
    </row>
    <row r="250" spans="3:16" ht="30" x14ac:dyDescent="0.25">
      <c r="C250" s="35">
        <f>ABRIL!C17</f>
        <v>46123</v>
      </c>
      <c r="D250" s="35" t="str">
        <f>ABRIL!D17</f>
        <v>RECEITAS COM SERVIÇOS</v>
      </c>
      <c r="E250" s="35" t="str">
        <f>ABRIL!E17</f>
        <v>ESTUDIOS GRAVAÇÃO</v>
      </c>
      <c r="F250" s="67">
        <f>ABRIL!G17</f>
        <v>0</v>
      </c>
      <c r="G250" s="68">
        <f>ABRIL!H17</f>
        <v>1</v>
      </c>
      <c r="H250" s="37">
        <f>ABRIL!I17</f>
        <v>46317</v>
      </c>
      <c r="I250" s="34" t="str">
        <f>ABRIL!O17</f>
        <v>RECEITAS</v>
      </c>
      <c r="J250">
        <f t="shared" si="22"/>
        <v>11</v>
      </c>
      <c r="K250">
        <f t="shared" si="23"/>
        <v>4</v>
      </c>
      <c r="L250" t="str">
        <f t="shared" si="24"/>
        <v>APR</v>
      </c>
      <c r="M250">
        <f t="shared" si="25"/>
        <v>22</v>
      </c>
      <c r="N250">
        <f t="shared" si="26"/>
        <v>10</v>
      </c>
      <c r="O250" t="str">
        <f t="shared" si="28"/>
        <v>OCT</v>
      </c>
      <c r="P250" t="str">
        <f t="shared" si="27"/>
        <v>PAGO</v>
      </c>
    </row>
    <row r="251" spans="3:16" x14ac:dyDescent="0.25">
      <c r="C251" s="35">
        <f>ABRIL!C18</f>
        <v>46124</v>
      </c>
      <c r="D251" s="35" t="str">
        <f>ABRIL!D18</f>
        <v>RECEITAS COM SERVIÇOS</v>
      </c>
      <c r="E251" s="35" t="str">
        <f>ABRIL!E18</f>
        <v>-</v>
      </c>
      <c r="F251" s="67" t="str">
        <f>ABRIL!G18</f>
        <v>CALEMBA 2</v>
      </c>
      <c r="G251" s="68">
        <f>ABRIL!H18</f>
        <v>1</v>
      </c>
      <c r="H251" s="37">
        <f>ABRIL!I18</f>
        <v>46318</v>
      </c>
      <c r="I251" s="34" t="str">
        <f>ABRIL!O18</f>
        <v>RECEITAS</v>
      </c>
      <c r="J251">
        <f t="shared" si="22"/>
        <v>12</v>
      </c>
      <c r="K251">
        <f t="shared" si="23"/>
        <v>4</v>
      </c>
      <c r="L251" t="str">
        <f t="shared" si="24"/>
        <v>APR</v>
      </c>
      <c r="M251">
        <f t="shared" si="25"/>
        <v>23</v>
      </c>
      <c r="N251">
        <f t="shared" si="26"/>
        <v>10</v>
      </c>
      <c r="O251" t="str">
        <f t="shared" si="28"/>
        <v>OCT</v>
      </c>
      <c r="P251" t="str">
        <f t="shared" si="27"/>
        <v>PAGO</v>
      </c>
    </row>
    <row r="252" spans="3:16" x14ac:dyDescent="0.25">
      <c r="C252" s="35">
        <f>ABRIL!C19</f>
        <v>46125</v>
      </c>
      <c r="D252" s="35" t="str">
        <f>ABRIL!D19</f>
        <v>RECEITAS COM SERVIÇOS</v>
      </c>
      <c r="E252" s="35" t="str">
        <f>ABRIL!E19</f>
        <v>-</v>
      </c>
      <c r="F252" s="67">
        <f>ABRIL!G19</f>
        <v>0</v>
      </c>
      <c r="G252" s="68">
        <f>ABRIL!H19</f>
        <v>1</v>
      </c>
      <c r="H252" s="37">
        <f>ABRIL!I19</f>
        <v>46319</v>
      </c>
      <c r="I252" s="34" t="str">
        <f>ABRIL!O19</f>
        <v>RECEITAS</v>
      </c>
      <c r="J252">
        <f t="shared" si="22"/>
        <v>13</v>
      </c>
      <c r="K252">
        <f t="shared" si="23"/>
        <v>4</v>
      </c>
      <c r="L252" t="str">
        <f t="shared" si="24"/>
        <v>APR</v>
      </c>
      <c r="M252">
        <f t="shared" si="25"/>
        <v>24</v>
      </c>
      <c r="N252">
        <f t="shared" si="26"/>
        <v>10</v>
      </c>
      <c r="O252" t="str">
        <f t="shared" si="28"/>
        <v>OCT</v>
      </c>
      <c r="P252" t="str">
        <f t="shared" si="27"/>
        <v>PAGO</v>
      </c>
    </row>
    <row r="253" spans="3:16" x14ac:dyDescent="0.25">
      <c r="C253" s="35">
        <f>ABRIL!C20</f>
        <v>46126</v>
      </c>
      <c r="D253" s="35" t="str">
        <f>ABRIL!D20</f>
        <v>RECEITAS COM SERVIÇOS</v>
      </c>
      <c r="E253" s="35" t="str">
        <f>ABRIL!E20</f>
        <v>-</v>
      </c>
      <c r="F253" s="67">
        <f>ABRIL!G20</f>
        <v>0</v>
      </c>
      <c r="G253" s="68">
        <f>ABRIL!H20</f>
        <v>1</v>
      </c>
      <c r="H253" s="37">
        <f>ABRIL!I20</f>
        <v>46320</v>
      </c>
      <c r="I253" s="34" t="str">
        <f>ABRIL!O20</f>
        <v>RECEITAS</v>
      </c>
      <c r="J253">
        <f t="shared" si="22"/>
        <v>14</v>
      </c>
      <c r="K253">
        <f t="shared" si="23"/>
        <v>4</v>
      </c>
      <c r="L253" t="str">
        <f t="shared" si="24"/>
        <v>APR</v>
      </c>
      <c r="M253">
        <f t="shared" si="25"/>
        <v>25</v>
      </c>
      <c r="N253">
        <f t="shared" si="26"/>
        <v>10</v>
      </c>
      <c r="O253" t="str">
        <f t="shared" si="28"/>
        <v>OCT</v>
      </c>
      <c r="P253" t="str">
        <f t="shared" si="27"/>
        <v>PAGO</v>
      </c>
    </row>
    <row r="254" spans="3:16" x14ac:dyDescent="0.25">
      <c r="C254" s="35">
        <f>ABRIL!C21</f>
        <v>46127</v>
      </c>
      <c r="D254" s="35" t="str">
        <f>ABRIL!D21</f>
        <v>RECEITAS COM SERVIÇOS</v>
      </c>
      <c r="E254" s="35" t="str">
        <f>ABRIL!E21</f>
        <v>-</v>
      </c>
      <c r="F254" s="67">
        <f>ABRIL!G21</f>
        <v>0</v>
      </c>
      <c r="G254" s="68">
        <f>ABRIL!H21</f>
        <v>1</v>
      </c>
      <c r="H254" s="37">
        <f>ABRIL!I21</f>
        <v>46321</v>
      </c>
      <c r="I254" s="34" t="str">
        <f>ABRIL!O21</f>
        <v>RECEITAS</v>
      </c>
      <c r="J254">
        <f t="shared" si="22"/>
        <v>15</v>
      </c>
      <c r="K254">
        <f t="shared" si="23"/>
        <v>4</v>
      </c>
      <c r="L254" t="str">
        <f t="shared" si="24"/>
        <v>APR</v>
      </c>
      <c r="M254">
        <f t="shared" si="25"/>
        <v>26</v>
      </c>
      <c r="N254">
        <f t="shared" si="26"/>
        <v>10</v>
      </c>
      <c r="O254" t="str">
        <f t="shared" si="28"/>
        <v>OCT</v>
      </c>
      <c r="P254" t="str">
        <f t="shared" si="27"/>
        <v>PAGO</v>
      </c>
    </row>
    <row r="255" spans="3:16" x14ac:dyDescent="0.25">
      <c r="C255" s="35">
        <f>ABRIL!C22</f>
        <v>46128</v>
      </c>
      <c r="D255" s="35" t="str">
        <f>ABRIL!D22</f>
        <v>RECEITAS COM SERVIÇOS</v>
      </c>
      <c r="E255" s="35" t="str">
        <f>ABRIL!E22</f>
        <v>-</v>
      </c>
      <c r="F255" s="67">
        <f>ABRIL!G22</f>
        <v>0</v>
      </c>
      <c r="G255" s="68">
        <f>ABRIL!H22</f>
        <v>1</v>
      </c>
      <c r="H255" s="37">
        <f>ABRIL!I22</f>
        <v>46322</v>
      </c>
      <c r="I255" s="34" t="str">
        <f>ABRIL!O22</f>
        <v>RECEITAS</v>
      </c>
      <c r="J255">
        <f t="shared" si="22"/>
        <v>16</v>
      </c>
      <c r="K255">
        <f t="shared" si="23"/>
        <v>4</v>
      </c>
      <c r="L255" t="str">
        <f t="shared" si="24"/>
        <v>APR</v>
      </c>
      <c r="M255">
        <f t="shared" si="25"/>
        <v>27</v>
      </c>
      <c r="N255">
        <f t="shared" si="26"/>
        <v>10</v>
      </c>
      <c r="O255" t="str">
        <f t="shared" si="28"/>
        <v>OCT</v>
      </c>
      <c r="P255" t="str">
        <f t="shared" si="27"/>
        <v>PAGO</v>
      </c>
    </row>
    <row r="256" spans="3:16" x14ac:dyDescent="0.25">
      <c r="C256" s="35">
        <f>ABRIL!C23</f>
        <v>46129</v>
      </c>
      <c r="D256" s="35" t="str">
        <f>ABRIL!D23</f>
        <v>RECEITAS COM SERVIÇOS</v>
      </c>
      <c r="E256" s="35" t="str">
        <f>ABRIL!E23</f>
        <v>-</v>
      </c>
      <c r="F256" s="67">
        <f>ABRIL!G23</f>
        <v>0</v>
      </c>
      <c r="G256" s="68">
        <f>ABRIL!H23</f>
        <v>1</v>
      </c>
      <c r="H256" s="37">
        <f>ABRIL!I23</f>
        <v>46323</v>
      </c>
      <c r="I256" s="34" t="str">
        <f>ABRIL!O23</f>
        <v>RECEITAS</v>
      </c>
      <c r="J256">
        <f t="shared" si="22"/>
        <v>17</v>
      </c>
      <c r="K256">
        <f t="shared" si="23"/>
        <v>4</v>
      </c>
      <c r="L256" t="str">
        <f t="shared" si="24"/>
        <v>APR</v>
      </c>
      <c r="M256">
        <f t="shared" si="25"/>
        <v>28</v>
      </c>
      <c r="N256">
        <f t="shared" si="26"/>
        <v>10</v>
      </c>
      <c r="O256" t="str">
        <f t="shared" si="28"/>
        <v>OCT</v>
      </c>
      <c r="P256" t="str">
        <f t="shared" si="27"/>
        <v>PAGO</v>
      </c>
    </row>
    <row r="257" spans="3:16" x14ac:dyDescent="0.25">
      <c r="C257" s="35">
        <f>ABRIL!C24</f>
        <v>46130</v>
      </c>
      <c r="D257" s="35" t="str">
        <f>ABRIL!D24</f>
        <v>RECEITAS COM SERVIÇOS</v>
      </c>
      <c r="E257" s="35" t="str">
        <f>ABRIL!E24</f>
        <v>-</v>
      </c>
      <c r="F257" s="67">
        <f>ABRIL!G24</f>
        <v>0</v>
      </c>
      <c r="G257" s="68">
        <f>ABRIL!H24</f>
        <v>1</v>
      </c>
      <c r="H257" s="37">
        <f>ABRIL!I24</f>
        <v>46324</v>
      </c>
      <c r="I257" s="34" t="str">
        <f>ABRIL!O24</f>
        <v>RECEITAS</v>
      </c>
      <c r="J257">
        <f t="shared" si="22"/>
        <v>18</v>
      </c>
      <c r="K257">
        <f t="shared" si="23"/>
        <v>4</v>
      </c>
      <c r="L257" t="str">
        <f t="shared" si="24"/>
        <v>APR</v>
      </c>
      <c r="M257">
        <f t="shared" si="25"/>
        <v>29</v>
      </c>
      <c r="N257">
        <f t="shared" si="26"/>
        <v>10</v>
      </c>
      <c r="O257" t="str">
        <f t="shared" si="28"/>
        <v>OCT</v>
      </c>
      <c r="P257" t="str">
        <f t="shared" si="27"/>
        <v>PAGO</v>
      </c>
    </row>
    <row r="258" spans="3:16" x14ac:dyDescent="0.25">
      <c r="C258" s="35">
        <f>ABRIL!C25</f>
        <v>46131</v>
      </c>
      <c r="D258" s="35" t="str">
        <f>ABRIL!D25</f>
        <v>RECEITAS COM SERVIÇOS</v>
      </c>
      <c r="E258" s="35" t="str">
        <f>ABRIL!E25</f>
        <v>-</v>
      </c>
      <c r="F258" s="67">
        <f>ABRIL!G25</f>
        <v>0</v>
      </c>
      <c r="G258" s="68">
        <f>ABRIL!H25</f>
        <v>1</v>
      </c>
      <c r="H258" s="37">
        <f>ABRIL!I25</f>
        <v>46325</v>
      </c>
      <c r="I258" s="34" t="str">
        <f>ABRIL!O25</f>
        <v>RECEITAS</v>
      </c>
      <c r="J258">
        <f t="shared" si="22"/>
        <v>19</v>
      </c>
      <c r="K258">
        <f t="shared" si="23"/>
        <v>4</v>
      </c>
      <c r="L258" t="str">
        <f t="shared" si="24"/>
        <v>APR</v>
      </c>
      <c r="M258">
        <f t="shared" si="25"/>
        <v>30</v>
      </c>
      <c r="N258">
        <f t="shared" si="26"/>
        <v>10</v>
      </c>
      <c r="O258" t="str">
        <f t="shared" si="28"/>
        <v>OCT</v>
      </c>
      <c r="P258" t="str">
        <f t="shared" si="27"/>
        <v>PAGO</v>
      </c>
    </row>
    <row r="259" spans="3:16" x14ac:dyDescent="0.25">
      <c r="C259" s="35">
        <f>ABRIL!C26</f>
        <v>46132</v>
      </c>
      <c r="D259" s="35" t="str">
        <f>ABRIL!D26</f>
        <v>RECEITAS COM SERVIÇOS</v>
      </c>
      <c r="E259" s="35" t="str">
        <f>ABRIL!E26</f>
        <v>-</v>
      </c>
      <c r="F259" s="67">
        <f>ABRIL!G26</f>
        <v>0</v>
      </c>
      <c r="G259" s="68">
        <f>ABRIL!H26</f>
        <v>1</v>
      </c>
      <c r="H259" s="37">
        <f>ABRIL!I26</f>
        <v>46326</v>
      </c>
      <c r="I259" s="34" t="str">
        <f>ABRIL!O26</f>
        <v>RECEITAS</v>
      </c>
      <c r="J259">
        <f t="shared" si="22"/>
        <v>20</v>
      </c>
      <c r="K259">
        <f t="shared" si="23"/>
        <v>4</v>
      </c>
      <c r="L259" t="str">
        <f t="shared" si="24"/>
        <v>APR</v>
      </c>
      <c r="M259">
        <f t="shared" si="25"/>
        <v>31</v>
      </c>
      <c r="N259">
        <f t="shared" si="26"/>
        <v>10</v>
      </c>
      <c r="O259" t="str">
        <f t="shared" si="28"/>
        <v>OCT</v>
      </c>
      <c r="P259" t="str">
        <f t="shared" si="27"/>
        <v>PAGO</v>
      </c>
    </row>
    <row r="260" spans="3:16" x14ac:dyDescent="0.25">
      <c r="C260" s="35">
        <f>ABRIL!C27</f>
        <v>46133</v>
      </c>
      <c r="D260" s="35" t="str">
        <f>ABRIL!D27</f>
        <v>RECEITAS COM SERVIÇOS</v>
      </c>
      <c r="E260" s="35" t="str">
        <f>ABRIL!E27</f>
        <v>-</v>
      </c>
      <c r="F260" s="67">
        <f>ABRIL!G27</f>
        <v>0</v>
      </c>
      <c r="G260" s="68">
        <f>ABRIL!H27</f>
        <v>1</v>
      </c>
      <c r="H260" s="37">
        <f>ABRIL!I27</f>
        <v>46327</v>
      </c>
      <c r="I260" s="34" t="str">
        <f>ABRIL!O27</f>
        <v>RECEITAS</v>
      </c>
      <c r="J260">
        <f t="shared" si="22"/>
        <v>21</v>
      </c>
      <c r="K260">
        <f t="shared" si="23"/>
        <v>4</v>
      </c>
      <c r="L260" t="str">
        <f t="shared" si="24"/>
        <v>APR</v>
      </c>
      <c r="M260">
        <f t="shared" si="25"/>
        <v>1</v>
      </c>
      <c r="N260">
        <f t="shared" si="26"/>
        <v>11</v>
      </c>
      <c r="O260" t="str">
        <f t="shared" si="28"/>
        <v>NOV</v>
      </c>
      <c r="P260" t="str">
        <f t="shared" si="27"/>
        <v>PAGO</v>
      </c>
    </row>
    <row r="261" spans="3:16" x14ac:dyDescent="0.25">
      <c r="C261" s="35">
        <f>ABRIL!C28</f>
        <v>46134</v>
      </c>
      <c r="D261" s="35" t="str">
        <f>ABRIL!D28</f>
        <v>RECEITAS COM SERVIÇOS</v>
      </c>
      <c r="E261" s="35" t="str">
        <f>ABRIL!E28</f>
        <v>-</v>
      </c>
      <c r="F261" s="67">
        <f>ABRIL!G28</f>
        <v>0</v>
      </c>
      <c r="G261" s="68">
        <f>ABRIL!H28</f>
        <v>1</v>
      </c>
      <c r="H261" s="37">
        <f>ABRIL!I28</f>
        <v>46328</v>
      </c>
      <c r="I261" s="34" t="str">
        <f>ABRIL!O28</f>
        <v>RECEITAS</v>
      </c>
      <c r="J261">
        <f t="shared" si="22"/>
        <v>22</v>
      </c>
      <c r="K261">
        <f t="shared" si="23"/>
        <v>4</v>
      </c>
      <c r="L261" t="str">
        <f t="shared" si="24"/>
        <v>APR</v>
      </c>
      <c r="M261">
        <f t="shared" si="25"/>
        <v>2</v>
      </c>
      <c r="N261">
        <f t="shared" si="26"/>
        <v>11</v>
      </c>
      <c r="O261" t="str">
        <f t="shared" si="28"/>
        <v>NOV</v>
      </c>
      <c r="P261" t="str">
        <f t="shared" si="27"/>
        <v>PAGO</v>
      </c>
    </row>
    <row r="262" spans="3:16" x14ac:dyDescent="0.25">
      <c r="C262" s="35">
        <f>ABRIL!C29</f>
        <v>46135</v>
      </c>
      <c r="D262" s="35" t="str">
        <f>ABRIL!D29</f>
        <v>RECEITAS COM SERVIÇOS</v>
      </c>
      <c r="E262" s="35" t="str">
        <f>ABRIL!E29</f>
        <v>-</v>
      </c>
      <c r="F262" s="67">
        <f>ABRIL!G29</f>
        <v>0</v>
      </c>
      <c r="G262" s="68">
        <f>ABRIL!H29</f>
        <v>1</v>
      </c>
      <c r="H262" s="37">
        <f>ABRIL!I29</f>
        <v>46329</v>
      </c>
      <c r="I262" s="34" t="str">
        <f>ABRIL!O29</f>
        <v>RECEITAS</v>
      </c>
      <c r="J262">
        <f t="shared" si="22"/>
        <v>23</v>
      </c>
      <c r="K262">
        <f t="shared" si="23"/>
        <v>4</v>
      </c>
      <c r="L262" t="str">
        <f t="shared" si="24"/>
        <v>APR</v>
      </c>
      <c r="M262">
        <f t="shared" si="25"/>
        <v>3</v>
      </c>
      <c r="N262">
        <f t="shared" si="26"/>
        <v>11</v>
      </c>
      <c r="O262" t="str">
        <f t="shared" si="28"/>
        <v>NOV</v>
      </c>
      <c r="P262" t="str">
        <f t="shared" si="27"/>
        <v>PAGO</v>
      </c>
    </row>
    <row r="263" spans="3:16" x14ac:dyDescent="0.25">
      <c r="C263" s="35">
        <f>ABRIL!C30</f>
        <v>46136</v>
      </c>
      <c r="D263" s="35" t="str">
        <f>ABRIL!D30</f>
        <v>RECEITAS COM SERVIÇOS</v>
      </c>
      <c r="E263" s="35" t="str">
        <f>ABRIL!E30</f>
        <v>-</v>
      </c>
      <c r="F263" s="67">
        <f>ABRIL!G30</f>
        <v>0</v>
      </c>
      <c r="G263" s="68">
        <f>ABRIL!H30</f>
        <v>1</v>
      </c>
      <c r="H263" s="37">
        <f>ABRIL!I30</f>
        <v>46330</v>
      </c>
      <c r="I263" s="34" t="str">
        <f>ABRIL!O30</f>
        <v>RECEITAS</v>
      </c>
      <c r="J263">
        <f t="shared" ref="J263:J326" si="29">DAY(C263)</f>
        <v>24</v>
      </c>
      <c r="K263">
        <f t="shared" ref="K263:K326" si="30">IF(C263 = 0, " ",MONTH(C263))</f>
        <v>4</v>
      </c>
      <c r="L263" t="str">
        <f t="shared" ref="L263:L326" si="31">IFERROR(VLOOKUP(K263,$R$6:$S$17,2),"")</f>
        <v>APR</v>
      </c>
      <c r="M263">
        <f t="shared" ref="M263:M326" si="32">DAY(H263)</f>
        <v>4</v>
      </c>
      <c r="N263">
        <f t="shared" ref="N263:N326" si="33">IF(H263 = 0, " ",MONTH(H263))</f>
        <v>11</v>
      </c>
      <c r="O263" t="str">
        <f t="shared" si="28"/>
        <v>NOV</v>
      </c>
      <c r="P263" t="str">
        <f t="shared" ref="P263:P326" si="34">IF(H263=0,"NAO PAGO","PAGO")</f>
        <v>PAGO</v>
      </c>
    </row>
    <row r="264" spans="3:16" x14ac:dyDescent="0.25">
      <c r="C264" s="35">
        <f>ABRIL!C31</f>
        <v>46137</v>
      </c>
      <c r="D264" s="35" t="str">
        <f>ABRIL!D31</f>
        <v>RECEITAS COM SERVIÇOS</v>
      </c>
      <c r="E264" s="35" t="str">
        <f>ABRIL!E31</f>
        <v>-</v>
      </c>
      <c r="F264" s="67">
        <f>ABRIL!G31</f>
        <v>0</v>
      </c>
      <c r="G264" s="68">
        <f>ABRIL!H31</f>
        <v>1</v>
      </c>
      <c r="H264" s="37">
        <f>ABRIL!I31</f>
        <v>46331</v>
      </c>
      <c r="I264" s="34" t="str">
        <f>ABRIL!O31</f>
        <v>RECEITAS</v>
      </c>
      <c r="J264">
        <f t="shared" si="29"/>
        <v>25</v>
      </c>
      <c r="K264">
        <f t="shared" si="30"/>
        <v>4</v>
      </c>
      <c r="L264" t="str">
        <f t="shared" si="31"/>
        <v>APR</v>
      </c>
      <c r="M264">
        <f t="shared" si="32"/>
        <v>5</v>
      </c>
      <c r="N264">
        <f t="shared" si="33"/>
        <v>11</v>
      </c>
      <c r="O264" t="str">
        <f t="shared" si="28"/>
        <v>NOV</v>
      </c>
      <c r="P264" t="str">
        <f t="shared" si="34"/>
        <v>PAGO</v>
      </c>
    </row>
    <row r="265" spans="3:16" x14ac:dyDescent="0.25">
      <c r="C265" s="35">
        <f>ABRIL!C32</f>
        <v>46138</v>
      </c>
      <c r="D265" s="35" t="str">
        <f>ABRIL!D32</f>
        <v>RECEITAS COM SERVIÇOS</v>
      </c>
      <c r="E265" s="35" t="str">
        <f>ABRIL!E32</f>
        <v>-</v>
      </c>
      <c r="F265" s="67">
        <f>ABRIL!G32</f>
        <v>0</v>
      </c>
      <c r="G265" s="68">
        <f>ABRIL!H32</f>
        <v>1</v>
      </c>
      <c r="H265" s="37">
        <f>ABRIL!I32</f>
        <v>46332</v>
      </c>
      <c r="I265" s="34" t="str">
        <f>ABRIL!O32</f>
        <v>RECEITAS</v>
      </c>
      <c r="J265">
        <f t="shared" si="29"/>
        <v>26</v>
      </c>
      <c r="K265">
        <f t="shared" si="30"/>
        <v>4</v>
      </c>
      <c r="L265" t="str">
        <f t="shared" si="31"/>
        <v>APR</v>
      </c>
      <c r="M265">
        <f t="shared" si="32"/>
        <v>6</v>
      </c>
      <c r="N265">
        <f t="shared" si="33"/>
        <v>11</v>
      </c>
      <c r="O265" t="str">
        <f t="shared" si="28"/>
        <v>NOV</v>
      </c>
      <c r="P265" t="str">
        <f t="shared" si="34"/>
        <v>PAGO</v>
      </c>
    </row>
    <row r="266" spans="3:16" x14ac:dyDescent="0.25">
      <c r="C266" s="35">
        <f>ABRIL!C33</f>
        <v>46139</v>
      </c>
      <c r="D266" s="35" t="str">
        <f>ABRIL!D33</f>
        <v>RECEITAS COM SERVIÇOS</v>
      </c>
      <c r="E266" s="35" t="str">
        <f>ABRIL!E33</f>
        <v>-</v>
      </c>
      <c r="F266" s="67">
        <f>ABRIL!G33</f>
        <v>0</v>
      </c>
      <c r="G266" s="68">
        <f>ABRIL!H33</f>
        <v>1</v>
      </c>
      <c r="H266" s="37">
        <f>ABRIL!I33</f>
        <v>46333</v>
      </c>
      <c r="I266" s="34" t="str">
        <f>ABRIL!O33</f>
        <v>RECEITAS</v>
      </c>
      <c r="J266">
        <f t="shared" si="29"/>
        <v>27</v>
      </c>
      <c r="K266">
        <f t="shared" si="30"/>
        <v>4</v>
      </c>
      <c r="L266" t="str">
        <f t="shared" si="31"/>
        <v>APR</v>
      </c>
      <c r="M266">
        <f t="shared" si="32"/>
        <v>7</v>
      </c>
      <c r="N266">
        <f t="shared" si="33"/>
        <v>11</v>
      </c>
      <c r="O266" t="str">
        <f t="shared" si="28"/>
        <v>NOV</v>
      </c>
      <c r="P266" t="str">
        <f t="shared" si="34"/>
        <v>PAGO</v>
      </c>
    </row>
    <row r="267" spans="3:16" x14ac:dyDescent="0.25">
      <c r="C267" s="35">
        <f>ABRIL!C34</f>
        <v>46140</v>
      </c>
      <c r="D267" s="35" t="str">
        <f>ABRIL!D34</f>
        <v>RECEITAS COM SERVIÇOS</v>
      </c>
      <c r="E267" s="35" t="str">
        <f>ABRIL!E34</f>
        <v>-</v>
      </c>
      <c r="F267" s="67">
        <f>ABRIL!G34</f>
        <v>0</v>
      </c>
      <c r="G267" s="68">
        <f>ABRIL!H34</f>
        <v>1</v>
      </c>
      <c r="H267" s="37">
        <f>ABRIL!I34</f>
        <v>46334</v>
      </c>
      <c r="I267" s="34" t="str">
        <f>ABRIL!O34</f>
        <v>RECEITAS</v>
      </c>
      <c r="J267">
        <f t="shared" si="29"/>
        <v>28</v>
      </c>
      <c r="K267">
        <f t="shared" si="30"/>
        <v>4</v>
      </c>
      <c r="L267" t="str">
        <f t="shared" si="31"/>
        <v>APR</v>
      </c>
      <c r="M267">
        <f t="shared" si="32"/>
        <v>8</v>
      </c>
      <c r="N267">
        <f t="shared" si="33"/>
        <v>11</v>
      </c>
      <c r="O267" t="str">
        <f t="shared" si="28"/>
        <v>NOV</v>
      </c>
      <c r="P267" t="str">
        <f t="shared" si="34"/>
        <v>PAGO</v>
      </c>
    </row>
    <row r="268" spans="3:16" x14ac:dyDescent="0.25">
      <c r="C268" s="35">
        <f>ABRIL!C35</f>
        <v>46141</v>
      </c>
      <c r="D268" s="35" t="str">
        <f>ABRIL!D35</f>
        <v>RECEITAS COM SERVIÇOS</v>
      </c>
      <c r="E268" s="35" t="str">
        <f>ABRIL!E35</f>
        <v>-</v>
      </c>
      <c r="F268" s="67">
        <f>ABRIL!G35</f>
        <v>0</v>
      </c>
      <c r="G268" s="68">
        <f>ABRIL!H35</f>
        <v>1</v>
      </c>
      <c r="H268" s="37">
        <f>ABRIL!I35</f>
        <v>46335</v>
      </c>
      <c r="I268" s="34" t="str">
        <f>ABRIL!O35</f>
        <v>RECEITAS</v>
      </c>
      <c r="J268">
        <f t="shared" si="29"/>
        <v>29</v>
      </c>
      <c r="K268">
        <f t="shared" si="30"/>
        <v>4</v>
      </c>
      <c r="L268" t="str">
        <f t="shared" si="31"/>
        <v>APR</v>
      </c>
      <c r="M268">
        <f t="shared" si="32"/>
        <v>9</v>
      </c>
      <c r="N268">
        <f t="shared" si="33"/>
        <v>11</v>
      </c>
      <c r="O268" t="str">
        <f t="shared" si="28"/>
        <v>NOV</v>
      </c>
      <c r="P268" t="str">
        <f t="shared" si="34"/>
        <v>PAGO</v>
      </c>
    </row>
    <row r="269" spans="3:16" x14ac:dyDescent="0.25">
      <c r="C269" s="35">
        <f>ABRIL!C36</f>
        <v>46142</v>
      </c>
      <c r="D269" s="35" t="str">
        <f>ABRIL!D36</f>
        <v>RECEITAS COM SERVIÇOS</v>
      </c>
      <c r="E269" s="35" t="str">
        <f>ABRIL!E36</f>
        <v>-</v>
      </c>
      <c r="F269" s="67">
        <f>ABRIL!G36</f>
        <v>0</v>
      </c>
      <c r="G269" s="68">
        <f>ABRIL!H36</f>
        <v>1</v>
      </c>
      <c r="H269" s="37">
        <f>ABRIL!I36</f>
        <v>46336</v>
      </c>
      <c r="I269" s="34" t="str">
        <f>ABRIL!O36</f>
        <v>RECEITAS</v>
      </c>
      <c r="J269">
        <f t="shared" si="29"/>
        <v>30</v>
      </c>
      <c r="K269">
        <f t="shared" si="30"/>
        <v>4</v>
      </c>
      <c r="L269" t="str">
        <f t="shared" si="31"/>
        <v>APR</v>
      </c>
      <c r="M269">
        <f t="shared" si="32"/>
        <v>10</v>
      </c>
      <c r="N269">
        <f t="shared" si="33"/>
        <v>11</v>
      </c>
      <c r="O269" t="str">
        <f t="shared" si="28"/>
        <v>NOV</v>
      </c>
      <c r="P269" t="str">
        <f t="shared" si="34"/>
        <v>PAGO</v>
      </c>
    </row>
    <row r="270" spans="3:16" x14ac:dyDescent="0.25">
      <c r="C270" s="35">
        <f>ABRIL!C37</f>
        <v>46143</v>
      </c>
      <c r="D270" s="35" t="str">
        <f>ABRIL!D37</f>
        <v>RECEITAS COM SERVIÇOS</v>
      </c>
      <c r="E270" s="35" t="str">
        <f>ABRIL!E37</f>
        <v>-</v>
      </c>
      <c r="F270" s="67">
        <f>ABRIL!G37</f>
        <v>0</v>
      </c>
      <c r="G270" s="68">
        <f>ABRIL!H37</f>
        <v>1</v>
      </c>
      <c r="H270" s="37">
        <f>ABRIL!I37</f>
        <v>46337</v>
      </c>
      <c r="I270" s="34" t="str">
        <f>ABRIL!O37</f>
        <v>RECEITAS</v>
      </c>
      <c r="J270">
        <f t="shared" si="29"/>
        <v>1</v>
      </c>
      <c r="K270">
        <f t="shared" si="30"/>
        <v>5</v>
      </c>
      <c r="L270" t="str">
        <f t="shared" si="31"/>
        <v>MAY</v>
      </c>
      <c r="M270">
        <f t="shared" si="32"/>
        <v>11</v>
      </c>
      <c r="N270">
        <f t="shared" si="33"/>
        <v>11</v>
      </c>
      <c r="O270" t="str">
        <f t="shared" si="28"/>
        <v>NOV</v>
      </c>
      <c r="P270" t="str">
        <f t="shared" si="34"/>
        <v>PAGO</v>
      </c>
    </row>
    <row r="271" spans="3:16" x14ac:dyDescent="0.25">
      <c r="C271" s="35">
        <f>ABRIL!C38</f>
        <v>46144</v>
      </c>
      <c r="D271" s="35" t="str">
        <f>ABRIL!D38</f>
        <v>RECEITAS COM SERVIÇOS</v>
      </c>
      <c r="E271" s="35" t="str">
        <f>ABRIL!E38</f>
        <v>-</v>
      </c>
      <c r="F271" s="67">
        <f>ABRIL!G38</f>
        <v>0</v>
      </c>
      <c r="G271" s="68">
        <f>ABRIL!H38</f>
        <v>0</v>
      </c>
      <c r="H271" s="37">
        <f>ABRIL!I38</f>
        <v>46338</v>
      </c>
      <c r="I271" s="34" t="str">
        <f>ABRIL!O38</f>
        <v>RECEITAS</v>
      </c>
      <c r="J271">
        <f t="shared" si="29"/>
        <v>2</v>
      </c>
      <c r="K271">
        <f t="shared" si="30"/>
        <v>5</v>
      </c>
      <c r="L271" t="str">
        <f t="shared" si="31"/>
        <v>MAY</v>
      </c>
      <c r="M271">
        <f t="shared" si="32"/>
        <v>12</v>
      </c>
      <c r="N271">
        <f t="shared" si="33"/>
        <v>11</v>
      </c>
      <c r="O271" t="str">
        <f t="shared" si="28"/>
        <v>NOV</v>
      </c>
      <c r="P271" t="str">
        <f t="shared" si="34"/>
        <v>PAGO</v>
      </c>
    </row>
    <row r="272" spans="3:16" x14ac:dyDescent="0.25">
      <c r="C272" s="35">
        <f>ABRIL!C39</f>
        <v>46145</v>
      </c>
      <c r="D272" s="35" t="str">
        <f>ABRIL!D39</f>
        <v>RECEITAS COM SERVIÇOS</v>
      </c>
      <c r="E272" s="35" t="str">
        <f>ABRIL!E39</f>
        <v>-</v>
      </c>
      <c r="F272" s="67">
        <f>ABRIL!G39</f>
        <v>0</v>
      </c>
      <c r="G272" s="68">
        <f>ABRIL!H39</f>
        <v>0</v>
      </c>
      <c r="H272" s="37">
        <f>ABRIL!I39</f>
        <v>46339</v>
      </c>
      <c r="I272" s="34" t="str">
        <f>ABRIL!O39</f>
        <v>RECEITAS</v>
      </c>
      <c r="J272">
        <f t="shared" si="29"/>
        <v>3</v>
      </c>
      <c r="K272">
        <f t="shared" si="30"/>
        <v>5</v>
      </c>
      <c r="L272" t="str">
        <f t="shared" si="31"/>
        <v>MAY</v>
      </c>
      <c r="M272">
        <f t="shared" si="32"/>
        <v>13</v>
      </c>
      <c r="N272">
        <f t="shared" si="33"/>
        <v>11</v>
      </c>
      <c r="O272" t="str">
        <f t="shared" si="28"/>
        <v>NOV</v>
      </c>
      <c r="P272" t="str">
        <f t="shared" si="34"/>
        <v>PAGO</v>
      </c>
    </row>
    <row r="273" spans="3:16" x14ac:dyDescent="0.25">
      <c r="C273" s="35">
        <f>ABRIL!C40</f>
        <v>46146</v>
      </c>
      <c r="D273" s="35" t="str">
        <f>ABRIL!D40</f>
        <v>RECEITAS COM SERVIÇOS</v>
      </c>
      <c r="E273" s="35" t="str">
        <f>ABRIL!E40</f>
        <v>-</v>
      </c>
      <c r="F273" s="67">
        <f>ABRIL!G40</f>
        <v>0</v>
      </c>
      <c r="G273" s="68">
        <f>ABRIL!H40</f>
        <v>0</v>
      </c>
      <c r="H273" s="37">
        <f>ABRIL!I40</f>
        <v>46340</v>
      </c>
      <c r="I273" s="34" t="str">
        <f>ABRIL!O40</f>
        <v>RECEITAS</v>
      </c>
      <c r="J273">
        <f t="shared" si="29"/>
        <v>4</v>
      </c>
      <c r="K273">
        <f t="shared" si="30"/>
        <v>5</v>
      </c>
      <c r="L273" t="str">
        <f t="shared" si="31"/>
        <v>MAY</v>
      </c>
      <c r="M273">
        <f t="shared" si="32"/>
        <v>14</v>
      </c>
      <c r="N273">
        <f t="shared" si="33"/>
        <v>11</v>
      </c>
      <c r="O273" t="str">
        <f t="shared" si="28"/>
        <v>NOV</v>
      </c>
      <c r="P273" t="str">
        <f t="shared" si="34"/>
        <v>PAGO</v>
      </c>
    </row>
    <row r="274" spans="3:16" x14ac:dyDescent="0.25">
      <c r="C274" s="35">
        <f>ABRIL!C41</f>
        <v>46147</v>
      </c>
      <c r="D274" s="35" t="str">
        <f>ABRIL!D41</f>
        <v>RECEITAS COM SERVIÇOS</v>
      </c>
      <c r="E274" s="35" t="str">
        <f>ABRIL!E41</f>
        <v>-</v>
      </c>
      <c r="F274" s="67">
        <f>ABRIL!G41</f>
        <v>0</v>
      </c>
      <c r="G274" s="68">
        <f>ABRIL!H41</f>
        <v>0</v>
      </c>
      <c r="H274" s="37">
        <f>ABRIL!I41</f>
        <v>46341</v>
      </c>
      <c r="I274" s="34" t="str">
        <f>ABRIL!O41</f>
        <v>RECEITAS</v>
      </c>
      <c r="J274">
        <f t="shared" si="29"/>
        <v>5</v>
      </c>
      <c r="K274">
        <f t="shared" si="30"/>
        <v>5</v>
      </c>
      <c r="L274" t="str">
        <f t="shared" si="31"/>
        <v>MAY</v>
      </c>
      <c r="M274">
        <f t="shared" si="32"/>
        <v>15</v>
      </c>
      <c r="N274">
        <f t="shared" si="33"/>
        <v>11</v>
      </c>
      <c r="O274" t="str">
        <f t="shared" si="28"/>
        <v>NOV</v>
      </c>
      <c r="P274" t="str">
        <f t="shared" si="34"/>
        <v>PAGO</v>
      </c>
    </row>
    <row r="275" spans="3:16" x14ac:dyDescent="0.25">
      <c r="C275" s="35">
        <f>ABRIL!C42</f>
        <v>46148</v>
      </c>
      <c r="D275" s="35" t="str">
        <f>ABRIL!D42</f>
        <v>RECEITAS COM SERVIÇOS</v>
      </c>
      <c r="E275" s="35" t="str">
        <f>ABRIL!E42</f>
        <v>-</v>
      </c>
      <c r="F275" s="67">
        <f>ABRIL!G42</f>
        <v>0</v>
      </c>
      <c r="G275" s="68">
        <f>ABRIL!H42</f>
        <v>0</v>
      </c>
      <c r="H275" s="37">
        <f>ABRIL!I42</f>
        <v>46342</v>
      </c>
      <c r="I275" s="34" t="str">
        <f>ABRIL!O42</f>
        <v>RECEITAS</v>
      </c>
      <c r="J275">
        <f t="shared" si="29"/>
        <v>6</v>
      </c>
      <c r="K275">
        <f t="shared" si="30"/>
        <v>5</v>
      </c>
      <c r="L275" t="str">
        <f t="shared" si="31"/>
        <v>MAY</v>
      </c>
      <c r="M275">
        <f t="shared" si="32"/>
        <v>16</v>
      </c>
      <c r="N275">
        <f t="shared" si="33"/>
        <v>11</v>
      </c>
      <c r="O275" t="str">
        <f t="shared" si="28"/>
        <v>NOV</v>
      </c>
      <c r="P275" t="str">
        <f t="shared" si="34"/>
        <v>PAGO</v>
      </c>
    </row>
    <row r="276" spans="3:16" x14ac:dyDescent="0.25">
      <c r="C276" s="35">
        <f>ABRIL!C43</f>
        <v>46149</v>
      </c>
      <c r="D276" s="35" t="str">
        <f>ABRIL!D43</f>
        <v>RECEITAS COM SERVIÇOS</v>
      </c>
      <c r="E276" s="35" t="str">
        <f>ABRIL!E43</f>
        <v>-</v>
      </c>
      <c r="F276" s="67">
        <f>ABRIL!G43</f>
        <v>0</v>
      </c>
      <c r="G276" s="68">
        <f>ABRIL!H43</f>
        <v>0</v>
      </c>
      <c r="H276" s="37">
        <f>ABRIL!I43</f>
        <v>46343</v>
      </c>
      <c r="I276" s="34" t="str">
        <f>ABRIL!O43</f>
        <v>RECEITAS</v>
      </c>
      <c r="J276">
        <f t="shared" si="29"/>
        <v>7</v>
      </c>
      <c r="K276">
        <f t="shared" si="30"/>
        <v>5</v>
      </c>
      <c r="L276" t="str">
        <f t="shared" si="31"/>
        <v>MAY</v>
      </c>
      <c r="M276">
        <f t="shared" si="32"/>
        <v>17</v>
      </c>
      <c r="N276">
        <f t="shared" si="33"/>
        <v>11</v>
      </c>
      <c r="O276" t="str">
        <f t="shared" si="28"/>
        <v>NOV</v>
      </c>
      <c r="P276" t="str">
        <f t="shared" si="34"/>
        <v>PAGO</v>
      </c>
    </row>
    <row r="277" spans="3:16" x14ac:dyDescent="0.25">
      <c r="C277" s="35">
        <f>ABRIL!C44</f>
        <v>46150</v>
      </c>
      <c r="D277" s="35" t="str">
        <f>ABRIL!D44</f>
        <v>RECEITAS COM SERVIÇOS</v>
      </c>
      <c r="E277" s="35" t="str">
        <f>ABRIL!E44</f>
        <v>-</v>
      </c>
      <c r="F277" s="67">
        <f>ABRIL!G44</f>
        <v>0</v>
      </c>
      <c r="G277" s="68">
        <f>ABRIL!H44</f>
        <v>0</v>
      </c>
      <c r="H277" s="37">
        <f>ABRIL!I44</f>
        <v>46344</v>
      </c>
      <c r="I277" s="34" t="str">
        <f>ABRIL!O44</f>
        <v>RECEITAS</v>
      </c>
      <c r="J277">
        <f t="shared" si="29"/>
        <v>8</v>
      </c>
      <c r="K277">
        <f t="shared" si="30"/>
        <v>5</v>
      </c>
      <c r="L277" t="str">
        <f t="shared" si="31"/>
        <v>MAY</v>
      </c>
      <c r="M277">
        <f t="shared" si="32"/>
        <v>18</v>
      </c>
      <c r="N277">
        <f t="shared" si="33"/>
        <v>11</v>
      </c>
      <c r="O277" t="str">
        <f t="shared" si="28"/>
        <v>NOV</v>
      </c>
      <c r="P277" t="str">
        <f t="shared" si="34"/>
        <v>PAGO</v>
      </c>
    </row>
    <row r="278" spans="3:16" x14ac:dyDescent="0.25">
      <c r="C278" s="35">
        <f>ABRIL!C45</f>
        <v>46151</v>
      </c>
      <c r="D278" s="35" t="str">
        <f>ABRIL!D45</f>
        <v>RECEITAS COM SERVIÇOS</v>
      </c>
      <c r="E278" s="35" t="str">
        <f>ABRIL!E45</f>
        <v>-</v>
      </c>
      <c r="F278" s="67">
        <f>ABRIL!G45</f>
        <v>0</v>
      </c>
      <c r="G278" s="68">
        <f>ABRIL!H45</f>
        <v>0</v>
      </c>
      <c r="H278" s="37">
        <f>ABRIL!I45</f>
        <v>46345</v>
      </c>
      <c r="I278" s="34" t="str">
        <f>ABRIL!O45</f>
        <v>RECEITAS</v>
      </c>
      <c r="J278">
        <f t="shared" si="29"/>
        <v>9</v>
      </c>
      <c r="K278">
        <f t="shared" si="30"/>
        <v>5</v>
      </c>
      <c r="L278" t="str">
        <f t="shared" si="31"/>
        <v>MAY</v>
      </c>
      <c r="M278">
        <f t="shared" si="32"/>
        <v>19</v>
      </c>
      <c r="N278">
        <f t="shared" si="33"/>
        <v>11</v>
      </c>
      <c r="O278" t="str">
        <f t="shared" si="28"/>
        <v>NOV</v>
      </c>
      <c r="P278" t="str">
        <f t="shared" si="34"/>
        <v>PAGO</v>
      </c>
    </row>
    <row r="279" spans="3:16" x14ac:dyDescent="0.25">
      <c r="C279" s="35">
        <f>ABRIL!C46</f>
        <v>46152</v>
      </c>
      <c r="D279" s="35" t="str">
        <f>ABRIL!D46</f>
        <v>RECEITAS COM SERVIÇOS</v>
      </c>
      <c r="E279" s="35" t="str">
        <f>ABRIL!E46</f>
        <v>-</v>
      </c>
      <c r="F279" s="67">
        <f>ABRIL!G46</f>
        <v>0</v>
      </c>
      <c r="G279" s="68">
        <f>ABRIL!H46</f>
        <v>0</v>
      </c>
      <c r="H279" s="37">
        <f>ABRIL!I46</f>
        <v>46346</v>
      </c>
      <c r="I279" s="34" t="str">
        <f>ABRIL!O46</f>
        <v>RECEITAS</v>
      </c>
      <c r="J279">
        <f t="shared" si="29"/>
        <v>10</v>
      </c>
      <c r="K279">
        <f t="shared" si="30"/>
        <v>5</v>
      </c>
      <c r="L279" t="str">
        <f t="shared" si="31"/>
        <v>MAY</v>
      </c>
      <c r="M279">
        <f t="shared" si="32"/>
        <v>20</v>
      </c>
      <c r="N279">
        <f t="shared" si="33"/>
        <v>11</v>
      </c>
      <c r="O279" t="str">
        <f t="shared" ref="O279:O342" si="35">IFERROR(VLOOKUP(N279,$R$6:$S$17,2),"")</f>
        <v>NOV</v>
      </c>
      <c r="P279" t="str">
        <f t="shared" si="34"/>
        <v>PAGO</v>
      </c>
    </row>
    <row r="280" spans="3:16" x14ac:dyDescent="0.25">
      <c r="C280" s="35">
        <f>ABRIL!C47</f>
        <v>46153</v>
      </c>
      <c r="D280" s="35" t="str">
        <f>ABRIL!D47</f>
        <v>RECEITAS COM SERVIÇOS</v>
      </c>
      <c r="E280" s="35" t="str">
        <f>ABRIL!E47</f>
        <v>-</v>
      </c>
      <c r="F280" s="67">
        <f>ABRIL!G47</f>
        <v>0</v>
      </c>
      <c r="G280" s="68">
        <f>ABRIL!H47</f>
        <v>0</v>
      </c>
      <c r="H280" s="37">
        <f>ABRIL!I47</f>
        <v>46347</v>
      </c>
      <c r="I280" s="34" t="str">
        <f>ABRIL!O47</f>
        <v>RECEITAS</v>
      </c>
      <c r="J280">
        <f t="shared" si="29"/>
        <v>11</v>
      </c>
      <c r="K280">
        <f t="shared" si="30"/>
        <v>5</v>
      </c>
      <c r="L280" t="str">
        <f t="shared" si="31"/>
        <v>MAY</v>
      </c>
      <c r="M280">
        <f t="shared" si="32"/>
        <v>21</v>
      </c>
      <c r="N280">
        <f t="shared" si="33"/>
        <v>11</v>
      </c>
      <c r="O280" t="str">
        <f t="shared" si="35"/>
        <v>NOV</v>
      </c>
      <c r="P280" t="str">
        <f t="shared" si="34"/>
        <v>PAGO</v>
      </c>
    </row>
    <row r="281" spans="3:16" x14ac:dyDescent="0.25">
      <c r="C281" s="35">
        <f>ABRIL!C48</f>
        <v>46154</v>
      </c>
      <c r="D281" s="35" t="str">
        <f>ABRIL!D48</f>
        <v>RECEITAS COM SERVIÇOS</v>
      </c>
      <c r="E281" s="35" t="str">
        <f>ABRIL!E48</f>
        <v>-</v>
      </c>
      <c r="F281" s="67">
        <f>ABRIL!G48</f>
        <v>0</v>
      </c>
      <c r="G281" s="68">
        <f>ABRIL!H48</f>
        <v>0</v>
      </c>
      <c r="H281" s="37">
        <f>ABRIL!I48</f>
        <v>46348</v>
      </c>
      <c r="I281" s="34" t="str">
        <f>ABRIL!O48</f>
        <v>RECEITAS</v>
      </c>
      <c r="J281">
        <f t="shared" si="29"/>
        <v>12</v>
      </c>
      <c r="K281">
        <f t="shared" si="30"/>
        <v>5</v>
      </c>
      <c r="L281" t="str">
        <f t="shared" si="31"/>
        <v>MAY</v>
      </c>
      <c r="M281">
        <f t="shared" si="32"/>
        <v>22</v>
      </c>
      <c r="N281">
        <f t="shared" si="33"/>
        <v>11</v>
      </c>
      <c r="O281" t="str">
        <f t="shared" si="35"/>
        <v>NOV</v>
      </c>
      <c r="P281" t="str">
        <f t="shared" si="34"/>
        <v>PAGO</v>
      </c>
    </row>
    <row r="282" spans="3:16" x14ac:dyDescent="0.25">
      <c r="C282" s="35">
        <f>ABRIL!C49</f>
        <v>46155</v>
      </c>
      <c r="D282" s="35" t="str">
        <f>ABRIL!D49</f>
        <v>RECEITAS COM SERVIÇOS</v>
      </c>
      <c r="E282" s="35" t="str">
        <f>ABRIL!E49</f>
        <v>-</v>
      </c>
      <c r="F282" s="67">
        <f>ABRIL!G49</f>
        <v>0</v>
      </c>
      <c r="G282" s="68">
        <f>ABRIL!H49</f>
        <v>0</v>
      </c>
      <c r="H282" s="37">
        <f>ABRIL!I49</f>
        <v>46349</v>
      </c>
      <c r="I282" s="34" t="str">
        <f>ABRIL!O49</f>
        <v>RECEITAS</v>
      </c>
      <c r="J282">
        <f t="shared" si="29"/>
        <v>13</v>
      </c>
      <c r="K282">
        <f t="shared" si="30"/>
        <v>5</v>
      </c>
      <c r="L282" t="str">
        <f t="shared" si="31"/>
        <v>MAY</v>
      </c>
      <c r="M282">
        <f t="shared" si="32"/>
        <v>23</v>
      </c>
      <c r="N282">
        <f t="shared" si="33"/>
        <v>11</v>
      </c>
      <c r="O282" t="str">
        <f t="shared" si="35"/>
        <v>NOV</v>
      </c>
      <c r="P282" t="str">
        <f t="shared" si="34"/>
        <v>PAGO</v>
      </c>
    </row>
    <row r="283" spans="3:16" x14ac:dyDescent="0.25">
      <c r="C283" s="35">
        <f>ABRIL!C50</f>
        <v>46156</v>
      </c>
      <c r="D283" s="35" t="str">
        <f>ABRIL!D50</f>
        <v>RECEITAS COM SERVIÇOS</v>
      </c>
      <c r="E283" s="35" t="str">
        <f>ABRIL!E50</f>
        <v>-</v>
      </c>
      <c r="F283" s="67">
        <f>ABRIL!G50</f>
        <v>0</v>
      </c>
      <c r="G283" s="68">
        <f>ABRIL!H50</f>
        <v>0</v>
      </c>
      <c r="H283" s="37">
        <f>ABRIL!I50</f>
        <v>46350</v>
      </c>
      <c r="I283" s="34" t="str">
        <f>ABRIL!O50</f>
        <v>RECEITAS</v>
      </c>
      <c r="J283">
        <f t="shared" si="29"/>
        <v>14</v>
      </c>
      <c r="K283">
        <f t="shared" si="30"/>
        <v>5</v>
      </c>
      <c r="L283" t="str">
        <f t="shared" si="31"/>
        <v>MAY</v>
      </c>
      <c r="M283">
        <f t="shared" si="32"/>
        <v>24</v>
      </c>
      <c r="N283">
        <f t="shared" si="33"/>
        <v>11</v>
      </c>
      <c r="O283" t="str">
        <f t="shared" si="35"/>
        <v>NOV</v>
      </c>
      <c r="P283" t="str">
        <f t="shared" si="34"/>
        <v>PAGO</v>
      </c>
    </row>
    <row r="284" spans="3:16" x14ac:dyDescent="0.25">
      <c r="C284" s="35">
        <f>ABRIL!C51</f>
        <v>46157</v>
      </c>
      <c r="D284" s="35" t="str">
        <f>ABRIL!D51</f>
        <v>RECEITAS COM SERVIÇOS</v>
      </c>
      <c r="E284" s="35" t="str">
        <f>ABRIL!E51</f>
        <v>-</v>
      </c>
      <c r="F284" s="67">
        <f>ABRIL!G51</f>
        <v>0</v>
      </c>
      <c r="G284" s="68">
        <f>ABRIL!H51</f>
        <v>0</v>
      </c>
      <c r="H284" s="37">
        <f>ABRIL!I51</f>
        <v>46351</v>
      </c>
      <c r="I284" s="34" t="str">
        <f>ABRIL!O51</f>
        <v>RECEITAS</v>
      </c>
      <c r="J284">
        <f t="shared" si="29"/>
        <v>15</v>
      </c>
      <c r="K284">
        <f t="shared" si="30"/>
        <v>5</v>
      </c>
      <c r="L284" t="str">
        <f t="shared" si="31"/>
        <v>MAY</v>
      </c>
      <c r="M284">
        <f t="shared" si="32"/>
        <v>25</v>
      </c>
      <c r="N284">
        <f t="shared" si="33"/>
        <v>11</v>
      </c>
      <c r="O284" t="str">
        <f t="shared" si="35"/>
        <v>NOV</v>
      </c>
      <c r="P284" t="str">
        <f t="shared" si="34"/>
        <v>PAGO</v>
      </c>
    </row>
    <row r="285" spans="3:16" x14ac:dyDescent="0.25">
      <c r="C285" s="35">
        <f>ABRIL!C52</f>
        <v>46158</v>
      </c>
      <c r="D285" s="35" t="str">
        <f>ABRIL!D52</f>
        <v>RECEITAS COM SERVIÇOS</v>
      </c>
      <c r="E285" s="35" t="str">
        <f>ABRIL!E52</f>
        <v>-</v>
      </c>
      <c r="F285" s="67">
        <f>ABRIL!G52</f>
        <v>0</v>
      </c>
      <c r="G285" s="68">
        <f>ABRIL!H52</f>
        <v>0</v>
      </c>
      <c r="H285" s="37">
        <f>ABRIL!I52</f>
        <v>46352</v>
      </c>
      <c r="I285" s="34" t="str">
        <f>ABRIL!O52</f>
        <v>RECEITAS</v>
      </c>
      <c r="J285">
        <f t="shared" si="29"/>
        <v>16</v>
      </c>
      <c r="K285">
        <f t="shared" si="30"/>
        <v>5</v>
      </c>
      <c r="L285" t="str">
        <f t="shared" si="31"/>
        <v>MAY</v>
      </c>
      <c r="M285">
        <f t="shared" si="32"/>
        <v>26</v>
      </c>
      <c r="N285">
        <f t="shared" si="33"/>
        <v>11</v>
      </c>
      <c r="O285" t="str">
        <f t="shared" si="35"/>
        <v>NOV</v>
      </c>
      <c r="P285" t="str">
        <f t="shared" si="34"/>
        <v>PAGO</v>
      </c>
    </row>
    <row r="286" spans="3:16" x14ac:dyDescent="0.25">
      <c r="C286" s="35">
        <f>ABRIL!C53</f>
        <v>46159</v>
      </c>
      <c r="D286" s="35" t="str">
        <f>ABRIL!D53</f>
        <v>RECEITAS COM SERVIÇOS</v>
      </c>
      <c r="E286" s="35" t="str">
        <f>ABRIL!E53</f>
        <v>-</v>
      </c>
      <c r="F286" s="67">
        <f>ABRIL!G53</f>
        <v>0</v>
      </c>
      <c r="G286" s="68">
        <f>ABRIL!H53</f>
        <v>0</v>
      </c>
      <c r="H286" s="37">
        <f>ABRIL!I53</f>
        <v>46353</v>
      </c>
      <c r="I286" s="34" t="str">
        <f>ABRIL!O53</f>
        <v>RECEITAS</v>
      </c>
      <c r="J286">
        <f t="shared" si="29"/>
        <v>17</v>
      </c>
      <c r="K286">
        <f t="shared" si="30"/>
        <v>5</v>
      </c>
      <c r="L286" t="str">
        <f t="shared" si="31"/>
        <v>MAY</v>
      </c>
      <c r="M286">
        <f t="shared" si="32"/>
        <v>27</v>
      </c>
      <c r="N286">
        <f t="shared" si="33"/>
        <v>11</v>
      </c>
      <c r="O286" t="str">
        <f t="shared" si="35"/>
        <v>NOV</v>
      </c>
      <c r="P286" t="str">
        <f t="shared" si="34"/>
        <v>PAGO</v>
      </c>
    </row>
    <row r="287" spans="3:16" x14ac:dyDescent="0.25">
      <c r="C287" s="35">
        <f>ABRIL!C54</f>
        <v>46160</v>
      </c>
      <c r="D287" s="35" t="str">
        <f>ABRIL!D54</f>
        <v>RECEITAS COM SERVIÇOS</v>
      </c>
      <c r="E287" s="35" t="str">
        <f>ABRIL!E54</f>
        <v>-</v>
      </c>
      <c r="F287" s="67">
        <f>ABRIL!G54</f>
        <v>0</v>
      </c>
      <c r="G287" s="68">
        <f>ABRIL!H54</f>
        <v>0</v>
      </c>
      <c r="H287" s="37">
        <f>ABRIL!I54</f>
        <v>46354</v>
      </c>
      <c r="I287" s="34" t="str">
        <f>ABRIL!O54</f>
        <v>RECEITAS</v>
      </c>
      <c r="J287">
        <f t="shared" si="29"/>
        <v>18</v>
      </c>
      <c r="K287">
        <f t="shared" si="30"/>
        <v>5</v>
      </c>
      <c r="L287" t="str">
        <f t="shared" si="31"/>
        <v>MAY</v>
      </c>
      <c r="M287">
        <f t="shared" si="32"/>
        <v>28</v>
      </c>
      <c r="N287">
        <f t="shared" si="33"/>
        <v>11</v>
      </c>
      <c r="O287" t="str">
        <f t="shared" si="35"/>
        <v>NOV</v>
      </c>
      <c r="P287" t="str">
        <f t="shared" si="34"/>
        <v>PAGO</v>
      </c>
    </row>
    <row r="288" spans="3:16" x14ac:dyDescent="0.25">
      <c r="C288" s="35">
        <f>ABRIL!C55</f>
        <v>46161</v>
      </c>
      <c r="D288" s="35" t="str">
        <f>ABRIL!D55</f>
        <v>RECEITAS COM SERVIÇOS</v>
      </c>
      <c r="E288" s="35" t="str">
        <f>ABRIL!E55</f>
        <v>-</v>
      </c>
      <c r="F288" s="67">
        <f>ABRIL!G55</f>
        <v>0</v>
      </c>
      <c r="G288" s="68">
        <f>ABRIL!H55</f>
        <v>0</v>
      </c>
      <c r="H288" s="37">
        <f>ABRIL!I55</f>
        <v>46355</v>
      </c>
      <c r="I288" s="34" t="str">
        <f>ABRIL!O55</f>
        <v>RECEITAS</v>
      </c>
      <c r="J288">
        <f t="shared" si="29"/>
        <v>19</v>
      </c>
      <c r="K288">
        <f t="shared" si="30"/>
        <v>5</v>
      </c>
      <c r="L288" t="str">
        <f t="shared" si="31"/>
        <v>MAY</v>
      </c>
      <c r="M288">
        <f t="shared" si="32"/>
        <v>29</v>
      </c>
      <c r="N288">
        <f t="shared" si="33"/>
        <v>11</v>
      </c>
      <c r="O288" t="str">
        <f t="shared" si="35"/>
        <v>NOV</v>
      </c>
      <c r="P288" t="str">
        <f t="shared" si="34"/>
        <v>PAGO</v>
      </c>
    </row>
    <row r="289" spans="3:16" x14ac:dyDescent="0.25">
      <c r="C289" s="35">
        <f>ABRIL!C56</f>
        <v>46162</v>
      </c>
      <c r="D289" s="35" t="str">
        <f>ABRIL!D56</f>
        <v>RECEITAS COM SERVIÇOS</v>
      </c>
      <c r="E289" s="35" t="str">
        <f>ABRIL!E56</f>
        <v>-</v>
      </c>
      <c r="F289" s="67">
        <f>ABRIL!G56</f>
        <v>0</v>
      </c>
      <c r="G289" s="68">
        <f>ABRIL!H56</f>
        <v>0</v>
      </c>
      <c r="H289" s="37">
        <f>ABRIL!I56</f>
        <v>46356</v>
      </c>
      <c r="I289" s="34" t="str">
        <f>ABRIL!O56</f>
        <v>RECEITAS</v>
      </c>
      <c r="J289">
        <f t="shared" si="29"/>
        <v>20</v>
      </c>
      <c r="K289">
        <f t="shared" si="30"/>
        <v>5</v>
      </c>
      <c r="L289" t="str">
        <f t="shared" si="31"/>
        <v>MAY</v>
      </c>
      <c r="M289">
        <f t="shared" si="32"/>
        <v>30</v>
      </c>
      <c r="N289">
        <f t="shared" si="33"/>
        <v>11</v>
      </c>
      <c r="O289" t="str">
        <f t="shared" si="35"/>
        <v>NOV</v>
      </c>
      <c r="P289" t="str">
        <f t="shared" si="34"/>
        <v>PAGO</v>
      </c>
    </row>
    <row r="290" spans="3:16" x14ac:dyDescent="0.25">
      <c r="C290" s="35">
        <f>ABRIL!C57</f>
        <v>46163</v>
      </c>
      <c r="D290" s="35" t="str">
        <f>ABRIL!D57</f>
        <v>RECEITAS COM SERVIÇOS</v>
      </c>
      <c r="E290" s="35" t="str">
        <f>ABRIL!E57</f>
        <v>-</v>
      </c>
      <c r="F290" s="67">
        <f>ABRIL!G57</f>
        <v>0</v>
      </c>
      <c r="G290" s="68">
        <f>ABRIL!H57</f>
        <v>0</v>
      </c>
      <c r="H290" s="37">
        <f>ABRIL!I57</f>
        <v>46357</v>
      </c>
      <c r="I290" s="34" t="str">
        <f>ABRIL!O57</f>
        <v>RECEITAS</v>
      </c>
      <c r="J290">
        <f t="shared" si="29"/>
        <v>21</v>
      </c>
      <c r="K290">
        <f t="shared" si="30"/>
        <v>5</v>
      </c>
      <c r="L290" t="str">
        <f t="shared" si="31"/>
        <v>MAY</v>
      </c>
      <c r="M290">
        <f t="shared" si="32"/>
        <v>1</v>
      </c>
      <c r="N290">
        <f t="shared" si="33"/>
        <v>12</v>
      </c>
      <c r="O290" t="str">
        <f t="shared" si="35"/>
        <v>DEC</v>
      </c>
      <c r="P290" t="str">
        <f t="shared" si="34"/>
        <v>PAGO</v>
      </c>
    </row>
    <row r="291" spans="3:16" x14ac:dyDescent="0.25">
      <c r="C291" s="35">
        <f>ABRIL!C58</f>
        <v>46164</v>
      </c>
      <c r="D291" s="35" t="str">
        <f>ABRIL!D58</f>
        <v>RECEITAS COM SERVIÇOS</v>
      </c>
      <c r="E291" s="35" t="str">
        <f>ABRIL!E58</f>
        <v>-</v>
      </c>
      <c r="F291" s="67">
        <f>ABRIL!G58</f>
        <v>0</v>
      </c>
      <c r="G291" s="68">
        <f>ABRIL!H58</f>
        <v>0</v>
      </c>
      <c r="H291" s="37">
        <f>ABRIL!I58</f>
        <v>46358</v>
      </c>
      <c r="I291" s="34" t="str">
        <f>ABRIL!O58</f>
        <v>RECEITAS</v>
      </c>
      <c r="J291">
        <f t="shared" si="29"/>
        <v>22</v>
      </c>
      <c r="K291">
        <f t="shared" si="30"/>
        <v>5</v>
      </c>
      <c r="L291" t="str">
        <f t="shared" si="31"/>
        <v>MAY</v>
      </c>
      <c r="M291">
        <f t="shared" si="32"/>
        <v>2</v>
      </c>
      <c r="N291">
        <f t="shared" si="33"/>
        <v>12</v>
      </c>
      <c r="O291" t="str">
        <f t="shared" si="35"/>
        <v>DEC</v>
      </c>
      <c r="P291" t="str">
        <f t="shared" si="34"/>
        <v>PAGO</v>
      </c>
    </row>
    <row r="292" spans="3:16" x14ac:dyDescent="0.25">
      <c r="C292" s="35">
        <f>ABRIL!C59</f>
        <v>46165</v>
      </c>
      <c r="D292" s="35" t="str">
        <f>ABRIL!D59</f>
        <v>RECEITAS COM SERVIÇOS</v>
      </c>
      <c r="E292" s="35" t="str">
        <f>ABRIL!E59</f>
        <v>-</v>
      </c>
      <c r="F292" s="67">
        <f>ABRIL!G59</f>
        <v>0</v>
      </c>
      <c r="G292" s="68">
        <f>ABRIL!H59</f>
        <v>0</v>
      </c>
      <c r="H292" s="37">
        <f>ABRIL!I59</f>
        <v>46359</v>
      </c>
      <c r="I292" s="34" t="str">
        <f>ABRIL!O59</f>
        <v>RECEITAS</v>
      </c>
      <c r="J292">
        <f t="shared" si="29"/>
        <v>23</v>
      </c>
      <c r="K292">
        <f t="shared" si="30"/>
        <v>5</v>
      </c>
      <c r="L292" t="str">
        <f t="shared" si="31"/>
        <v>MAY</v>
      </c>
      <c r="M292">
        <f t="shared" si="32"/>
        <v>3</v>
      </c>
      <c r="N292">
        <f t="shared" si="33"/>
        <v>12</v>
      </c>
      <c r="O292" t="str">
        <f t="shared" si="35"/>
        <v>DEC</v>
      </c>
      <c r="P292" t="str">
        <f t="shared" si="34"/>
        <v>PAGO</v>
      </c>
    </row>
    <row r="293" spans="3:16" x14ac:dyDescent="0.25">
      <c r="C293" s="35">
        <f>ABRIL!C60</f>
        <v>46166</v>
      </c>
      <c r="D293" s="35" t="str">
        <f>ABRIL!D60</f>
        <v>RECEITAS COM SERVIÇOS</v>
      </c>
      <c r="E293" s="35" t="str">
        <f>ABRIL!E60</f>
        <v>-</v>
      </c>
      <c r="F293" s="67">
        <f>ABRIL!G60</f>
        <v>0</v>
      </c>
      <c r="G293" s="68">
        <f>ABRIL!H60</f>
        <v>0</v>
      </c>
      <c r="H293" s="37">
        <f>ABRIL!I60</f>
        <v>46360</v>
      </c>
      <c r="I293" s="34" t="str">
        <f>ABRIL!O60</f>
        <v>RECEITAS</v>
      </c>
      <c r="J293">
        <f t="shared" si="29"/>
        <v>24</v>
      </c>
      <c r="K293">
        <f t="shared" si="30"/>
        <v>5</v>
      </c>
      <c r="L293" t="str">
        <f t="shared" si="31"/>
        <v>MAY</v>
      </c>
      <c r="M293">
        <f t="shared" si="32"/>
        <v>4</v>
      </c>
      <c r="N293">
        <f t="shared" si="33"/>
        <v>12</v>
      </c>
      <c r="O293" t="str">
        <f t="shared" si="35"/>
        <v>DEC</v>
      </c>
      <c r="P293" t="str">
        <f t="shared" si="34"/>
        <v>PAGO</v>
      </c>
    </row>
    <row r="294" spans="3:16" x14ac:dyDescent="0.25">
      <c r="C294" s="35">
        <f>ABRIL!C61</f>
        <v>46167</v>
      </c>
      <c r="D294" s="35" t="str">
        <f>ABRIL!D61</f>
        <v>RECEITAS COM SERVIÇOS</v>
      </c>
      <c r="E294" s="35" t="str">
        <f>ABRIL!E61</f>
        <v>-</v>
      </c>
      <c r="F294" s="67">
        <f>ABRIL!G61</f>
        <v>0</v>
      </c>
      <c r="G294" s="68">
        <f>ABRIL!H61</f>
        <v>0</v>
      </c>
      <c r="H294" s="37">
        <f>ABRIL!I61</f>
        <v>46361</v>
      </c>
      <c r="I294" s="34" t="str">
        <f>ABRIL!O61</f>
        <v>RECEITAS</v>
      </c>
      <c r="J294">
        <f t="shared" si="29"/>
        <v>25</v>
      </c>
      <c r="K294">
        <f t="shared" si="30"/>
        <v>5</v>
      </c>
      <c r="L294" t="str">
        <f t="shared" si="31"/>
        <v>MAY</v>
      </c>
      <c r="M294">
        <f t="shared" si="32"/>
        <v>5</v>
      </c>
      <c r="N294">
        <f t="shared" si="33"/>
        <v>12</v>
      </c>
      <c r="O294" t="str">
        <f t="shared" si="35"/>
        <v>DEC</v>
      </c>
      <c r="P294" t="str">
        <f t="shared" si="34"/>
        <v>PAGO</v>
      </c>
    </row>
    <row r="295" spans="3:16" x14ac:dyDescent="0.25">
      <c r="C295" s="35">
        <f>ABRIL!C62</f>
        <v>46168</v>
      </c>
      <c r="D295" s="35" t="str">
        <f>ABRIL!D62</f>
        <v>RECEITAS COM SERVIÇOS</v>
      </c>
      <c r="E295" s="35" t="str">
        <f>ABRIL!E62</f>
        <v>-</v>
      </c>
      <c r="F295" s="67">
        <f>ABRIL!G62</f>
        <v>0</v>
      </c>
      <c r="G295" s="68">
        <f>ABRIL!H62</f>
        <v>0</v>
      </c>
      <c r="H295" s="37">
        <f>ABRIL!I62</f>
        <v>46362</v>
      </c>
      <c r="I295" s="34" t="str">
        <f>ABRIL!O62</f>
        <v>RECEITAS</v>
      </c>
      <c r="J295">
        <f t="shared" si="29"/>
        <v>26</v>
      </c>
      <c r="K295">
        <f t="shared" si="30"/>
        <v>5</v>
      </c>
      <c r="L295" t="str">
        <f t="shared" si="31"/>
        <v>MAY</v>
      </c>
      <c r="M295">
        <f t="shared" si="32"/>
        <v>6</v>
      </c>
      <c r="N295">
        <f t="shared" si="33"/>
        <v>12</v>
      </c>
      <c r="O295" t="str">
        <f t="shared" si="35"/>
        <v>DEC</v>
      </c>
      <c r="P295" t="str">
        <f t="shared" si="34"/>
        <v>PAGO</v>
      </c>
    </row>
    <row r="296" spans="3:16" x14ac:dyDescent="0.25">
      <c r="C296" s="35">
        <f>ABRIL!C63</f>
        <v>46169</v>
      </c>
      <c r="D296" s="35" t="str">
        <f>ABRIL!D63</f>
        <v>RECEITAS COM SERVIÇOS</v>
      </c>
      <c r="E296" s="35" t="str">
        <f>ABRIL!E63</f>
        <v>-</v>
      </c>
      <c r="F296" s="67">
        <f>ABRIL!G63</f>
        <v>0</v>
      </c>
      <c r="G296" s="68">
        <f>ABRIL!H63</f>
        <v>0</v>
      </c>
      <c r="H296" s="37">
        <f>ABRIL!I63</f>
        <v>46363</v>
      </c>
      <c r="I296" s="34" t="str">
        <f>ABRIL!O63</f>
        <v>RECEITAS</v>
      </c>
      <c r="J296">
        <f t="shared" si="29"/>
        <v>27</v>
      </c>
      <c r="K296">
        <f t="shared" si="30"/>
        <v>5</v>
      </c>
      <c r="L296" t="str">
        <f t="shared" si="31"/>
        <v>MAY</v>
      </c>
      <c r="M296">
        <f t="shared" si="32"/>
        <v>7</v>
      </c>
      <c r="N296">
        <f t="shared" si="33"/>
        <v>12</v>
      </c>
      <c r="O296" t="str">
        <f t="shared" si="35"/>
        <v>DEC</v>
      </c>
      <c r="P296" t="str">
        <f t="shared" si="34"/>
        <v>PAGO</v>
      </c>
    </row>
    <row r="297" spans="3:16" x14ac:dyDescent="0.25">
      <c r="C297" s="35">
        <f>ABRIL!C64</f>
        <v>46170</v>
      </c>
      <c r="D297" s="35" t="str">
        <f>ABRIL!D64</f>
        <v>RECEITAS COM SERVIÇOS</v>
      </c>
      <c r="E297" s="35" t="str">
        <f>ABRIL!E64</f>
        <v>-</v>
      </c>
      <c r="F297" s="67">
        <f>ABRIL!G64</f>
        <v>0</v>
      </c>
      <c r="G297" s="68">
        <f>ABRIL!H64</f>
        <v>0</v>
      </c>
      <c r="H297" s="37">
        <f>ABRIL!I64</f>
        <v>46364</v>
      </c>
      <c r="I297" s="34" t="str">
        <f>ABRIL!O64</f>
        <v>RECEITAS</v>
      </c>
      <c r="J297">
        <f t="shared" si="29"/>
        <v>28</v>
      </c>
      <c r="K297">
        <f t="shared" si="30"/>
        <v>5</v>
      </c>
      <c r="L297" t="str">
        <f t="shared" si="31"/>
        <v>MAY</v>
      </c>
      <c r="M297">
        <f t="shared" si="32"/>
        <v>8</v>
      </c>
      <c r="N297">
        <f t="shared" si="33"/>
        <v>12</v>
      </c>
      <c r="O297" t="str">
        <f t="shared" si="35"/>
        <v>DEC</v>
      </c>
      <c r="P297" t="str">
        <f t="shared" si="34"/>
        <v>PAGO</v>
      </c>
    </row>
    <row r="298" spans="3:16" x14ac:dyDescent="0.25">
      <c r="C298" s="35">
        <f>ABRIL!C65</f>
        <v>46171</v>
      </c>
      <c r="D298" s="35" t="str">
        <f>ABRIL!D65</f>
        <v>RECEITAS COM SERVIÇOS</v>
      </c>
      <c r="E298" s="35" t="str">
        <f>ABRIL!E65</f>
        <v>-</v>
      </c>
      <c r="F298" s="67">
        <f>ABRIL!G65</f>
        <v>0</v>
      </c>
      <c r="G298" s="68">
        <f>ABRIL!H65</f>
        <v>0</v>
      </c>
      <c r="H298" s="37">
        <f>ABRIL!I65</f>
        <v>46365</v>
      </c>
      <c r="I298" s="34" t="str">
        <f>ABRIL!O65</f>
        <v>RECEITAS</v>
      </c>
      <c r="J298">
        <f t="shared" si="29"/>
        <v>29</v>
      </c>
      <c r="K298">
        <f t="shared" si="30"/>
        <v>5</v>
      </c>
      <c r="L298" t="str">
        <f t="shared" si="31"/>
        <v>MAY</v>
      </c>
      <c r="M298">
        <f t="shared" si="32"/>
        <v>9</v>
      </c>
      <c r="N298">
        <f t="shared" si="33"/>
        <v>12</v>
      </c>
      <c r="O298" t="str">
        <f t="shared" si="35"/>
        <v>DEC</v>
      </c>
      <c r="P298" t="str">
        <f t="shared" si="34"/>
        <v>PAGO</v>
      </c>
    </row>
    <row r="299" spans="3:16" x14ac:dyDescent="0.25">
      <c r="C299" s="35">
        <f>ABRIL!C66</f>
        <v>46172</v>
      </c>
      <c r="D299" s="35" t="str">
        <f>ABRIL!D66</f>
        <v>RECEITAS COM SERVIÇOS</v>
      </c>
      <c r="E299" s="35" t="str">
        <f>ABRIL!E66</f>
        <v>-</v>
      </c>
      <c r="F299" s="67">
        <f>ABRIL!G66</f>
        <v>0</v>
      </c>
      <c r="G299" s="68">
        <f>ABRIL!H66</f>
        <v>0</v>
      </c>
      <c r="H299" s="37">
        <f>ABRIL!I66</f>
        <v>46366</v>
      </c>
      <c r="I299" s="34" t="str">
        <f>ABRIL!O66</f>
        <v>RECEITAS</v>
      </c>
      <c r="J299">
        <f t="shared" si="29"/>
        <v>30</v>
      </c>
      <c r="K299">
        <f t="shared" si="30"/>
        <v>5</v>
      </c>
      <c r="L299" t="str">
        <f t="shared" si="31"/>
        <v>MAY</v>
      </c>
      <c r="M299">
        <f t="shared" si="32"/>
        <v>10</v>
      </c>
      <c r="N299">
        <f t="shared" si="33"/>
        <v>12</v>
      </c>
      <c r="O299" t="str">
        <f t="shared" si="35"/>
        <v>DEC</v>
      </c>
      <c r="P299" t="str">
        <f t="shared" si="34"/>
        <v>PAGO</v>
      </c>
    </row>
    <row r="300" spans="3:16" x14ac:dyDescent="0.25">
      <c r="C300" s="35">
        <f>ABRIL!C67</f>
        <v>46173</v>
      </c>
      <c r="D300" s="35" t="str">
        <f>ABRIL!D67</f>
        <v>RECEITAS COM SERVIÇOS</v>
      </c>
      <c r="E300" s="35" t="str">
        <f>ABRIL!E67</f>
        <v>-</v>
      </c>
      <c r="F300" s="67">
        <f>ABRIL!G67</f>
        <v>0</v>
      </c>
      <c r="G300" s="68">
        <f>ABRIL!H67</f>
        <v>0</v>
      </c>
      <c r="H300" s="37">
        <f>ABRIL!I67</f>
        <v>46367</v>
      </c>
      <c r="I300" s="34" t="str">
        <f>ABRIL!O67</f>
        <v>RECEITAS</v>
      </c>
      <c r="J300">
        <f t="shared" si="29"/>
        <v>31</v>
      </c>
      <c r="K300">
        <f t="shared" si="30"/>
        <v>5</v>
      </c>
      <c r="L300" t="str">
        <f t="shared" si="31"/>
        <v>MAY</v>
      </c>
      <c r="M300">
        <f t="shared" si="32"/>
        <v>11</v>
      </c>
      <c r="N300">
        <f t="shared" si="33"/>
        <v>12</v>
      </c>
      <c r="O300" t="str">
        <f t="shared" si="35"/>
        <v>DEC</v>
      </c>
      <c r="P300" t="str">
        <f t="shared" si="34"/>
        <v>PAGO</v>
      </c>
    </row>
    <row r="301" spans="3:16" x14ac:dyDescent="0.25">
      <c r="C301" s="35">
        <f>ABRIL!C68</f>
        <v>46174</v>
      </c>
      <c r="D301" s="35" t="str">
        <f>ABRIL!D68</f>
        <v>RECEITAS COM SERVIÇOS</v>
      </c>
      <c r="E301" s="35" t="str">
        <f>ABRIL!E68</f>
        <v>-</v>
      </c>
      <c r="F301" s="67">
        <f>ABRIL!G68</f>
        <v>0</v>
      </c>
      <c r="G301" s="68">
        <f>ABRIL!H68</f>
        <v>0</v>
      </c>
      <c r="H301" s="37">
        <f>ABRIL!I68</f>
        <v>46368</v>
      </c>
      <c r="I301" s="34" t="str">
        <f>ABRIL!O68</f>
        <v>RECEITAS</v>
      </c>
      <c r="J301">
        <f t="shared" si="29"/>
        <v>1</v>
      </c>
      <c r="K301">
        <f t="shared" si="30"/>
        <v>6</v>
      </c>
      <c r="L301" t="str">
        <f t="shared" si="31"/>
        <v>JUN</v>
      </c>
      <c r="M301">
        <f t="shared" si="32"/>
        <v>12</v>
      </c>
      <c r="N301">
        <f t="shared" si="33"/>
        <v>12</v>
      </c>
      <c r="O301" t="str">
        <f t="shared" si="35"/>
        <v>DEC</v>
      </c>
      <c r="P301" t="str">
        <f t="shared" si="34"/>
        <v>PAGO</v>
      </c>
    </row>
    <row r="302" spans="3:16" x14ac:dyDescent="0.25">
      <c r="C302" s="35">
        <f>ABRIL!C69</f>
        <v>46175</v>
      </c>
      <c r="D302" s="35" t="str">
        <f>ABRIL!D69</f>
        <v>RECEITAS COM SERVIÇOS</v>
      </c>
      <c r="E302" s="35" t="str">
        <f>ABRIL!E69</f>
        <v>-</v>
      </c>
      <c r="F302" s="67">
        <f>ABRIL!G69</f>
        <v>0</v>
      </c>
      <c r="G302" s="68">
        <f>ABRIL!H69</f>
        <v>0</v>
      </c>
      <c r="H302" s="37">
        <f>ABRIL!I69</f>
        <v>46369</v>
      </c>
      <c r="I302" s="34" t="str">
        <f>ABRIL!O69</f>
        <v>RECEITAS</v>
      </c>
      <c r="J302">
        <f t="shared" si="29"/>
        <v>2</v>
      </c>
      <c r="K302">
        <f t="shared" si="30"/>
        <v>6</v>
      </c>
      <c r="L302" t="str">
        <f t="shared" si="31"/>
        <v>JUN</v>
      </c>
      <c r="M302">
        <f t="shared" si="32"/>
        <v>13</v>
      </c>
      <c r="N302">
        <f t="shared" si="33"/>
        <v>12</v>
      </c>
      <c r="O302" t="str">
        <f t="shared" si="35"/>
        <v>DEC</v>
      </c>
      <c r="P302" t="str">
        <f t="shared" si="34"/>
        <v>PAGO</v>
      </c>
    </row>
    <row r="303" spans="3:16" x14ac:dyDescent="0.25">
      <c r="C303" s="35">
        <f>ABRIL!C70</f>
        <v>46176</v>
      </c>
      <c r="D303" s="35" t="str">
        <f>ABRIL!D70</f>
        <v>RECEITAS COM SERVIÇOS</v>
      </c>
      <c r="E303" s="35" t="str">
        <f>ABRIL!E70</f>
        <v>-</v>
      </c>
      <c r="F303" s="67">
        <f>ABRIL!G70</f>
        <v>0</v>
      </c>
      <c r="G303" s="68">
        <f>ABRIL!H70</f>
        <v>0</v>
      </c>
      <c r="H303" s="37">
        <f>ABRIL!I70</f>
        <v>46370</v>
      </c>
      <c r="I303" s="34" t="str">
        <f>ABRIL!O70</f>
        <v>RECEITAS</v>
      </c>
      <c r="J303">
        <f t="shared" si="29"/>
        <v>3</v>
      </c>
      <c r="K303">
        <f t="shared" si="30"/>
        <v>6</v>
      </c>
      <c r="L303" t="str">
        <f t="shared" si="31"/>
        <v>JUN</v>
      </c>
      <c r="M303">
        <f t="shared" si="32"/>
        <v>14</v>
      </c>
      <c r="N303">
        <f t="shared" si="33"/>
        <v>12</v>
      </c>
      <c r="O303" t="str">
        <f t="shared" si="35"/>
        <v>DEC</v>
      </c>
      <c r="P303" t="str">
        <f t="shared" si="34"/>
        <v>PAGO</v>
      </c>
    </row>
    <row r="304" spans="3:16" x14ac:dyDescent="0.25">
      <c r="C304" s="35">
        <f>ABRIL!C71</f>
        <v>46177</v>
      </c>
      <c r="D304" s="35" t="str">
        <f>ABRIL!D71</f>
        <v>RECEITAS COM SERVIÇOS</v>
      </c>
      <c r="E304" s="35" t="str">
        <f>ABRIL!E71</f>
        <v>-</v>
      </c>
      <c r="F304" s="67">
        <f>ABRIL!G71</f>
        <v>0</v>
      </c>
      <c r="G304" s="68">
        <f>ABRIL!H71</f>
        <v>0</v>
      </c>
      <c r="H304" s="37">
        <f>ABRIL!I71</f>
        <v>46371</v>
      </c>
      <c r="I304" s="34" t="str">
        <f>ABRIL!O71</f>
        <v>RECEITAS</v>
      </c>
      <c r="J304">
        <f t="shared" si="29"/>
        <v>4</v>
      </c>
      <c r="K304">
        <f t="shared" si="30"/>
        <v>6</v>
      </c>
      <c r="L304" t="str">
        <f t="shared" si="31"/>
        <v>JUN</v>
      </c>
      <c r="M304">
        <f t="shared" si="32"/>
        <v>15</v>
      </c>
      <c r="N304">
        <f t="shared" si="33"/>
        <v>12</v>
      </c>
      <c r="O304" t="str">
        <f t="shared" si="35"/>
        <v>DEC</v>
      </c>
      <c r="P304" t="str">
        <f t="shared" si="34"/>
        <v>PAGO</v>
      </c>
    </row>
    <row r="305" spans="2:16" x14ac:dyDescent="0.25">
      <c r="C305" s="35">
        <f>ABRIL!C72</f>
        <v>46178</v>
      </c>
      <c r="D305" s="35" t="str">
        <f>ABRIL!D72</f>
        <v>RECEITAS COM SERVIÇOS</v>
      </c>
      <c r="E305" s="35" t="str">
        <f>ABRIL!E72</f>
        <v>-</v>
      </c>
      <c r="F305" s="67">
        <f>ABRIL!G72</f>
        <v>0</v>
      </c>
      <c r="G305" s="68">
        <f>ABRIL!H72</f>
        <v>0</v>
      </c>
      <c r="H305" s="37">
        <f>ABRIL!I72</f>
        <v>46372</v>
      </c>
      <c r="I305" s="34" t="str">
        <f>ABRIL!O72</f>
        <v>RECEITAS</v>
      </c>
      <c r="J305">
        <f t="shared" si="29"/>
        <v>5</v>
      </c>
      <c r="K305">
        <f t="shared" si="30"/>
        <v>6</v>
      </c>
      <c r="L305" t="str">
        <f t="shared" si="31"/>
        <v>JUN</v>
      </c>
      <c r="M305">
        <f t="shared" si="32"/>
        <v>16</v>
      </c>
      <c r="N305">
        <f t="shared" si="33"/>
        <v>12</v>
      </c>
      <c r="O305" t="str">
        <f t="shared" si="35"/>
        <v>DEC</v>
      </c>
      <c r="P305" t="str">
        <f t="shared" si="34"/>
        <v>PAGO</v>
      </c>
    </row>
    <row r="306" spans="2:16" x14ac:dyDescent="0.25">
      <c r="C306" s="35">
        <f>ABRIL!C73</f>
        <v>46179</v>
      </c>
      <c r="D306" s="35" t="str">
        <f>ABRIL!D73</f>
        <v>RECEITAS COM SERVIÇOS</v>
      </c>
      <c r="E306" s="35" t="str">
        <f>ABRIL!E73</f>
        <v>-</v>
      </c>
      <c r="F306" s="67">
        <f>ABRIL!G73</f>
        <v>0</v>
      </c>
      <c r="G306" s="68">
        <f>ABRIL!H73</f>
        <v>0</v>
      </c>
      <c r="H306" s="37">
        <f>ABRIL!I73</f>
        <v>46373</v>
      </c>
      <c r="I306" s="34" t="str">
        <f>ABRIL!O73</f>
        <v>RECEITAS</v>
      </c>
      <c r="J306">
        <f t="shared" si="29"/>
        <v>6</v>
      </c>
      <c r="K306">
        <f t="shared" si="30"/>
        <v>6</v>
      </c>
      <c r="L306" t="str">
        <f t="shared" si="31"/>
        <v>JUN</v>
      </c>
      <c r="M306">
        <f t="shared" si="32"/>
        <v>17</v>
      </c>
      <c r="N306">
        <f t="shared" si="33"/>
        <v>12</v>
      </c>
      <c r="O306" t="str">
        <f t="shared" si="35"/>
        <v>DEC</v>
      </c>
      <c r="P306" t="str">
        <f t="shared" si="34"/>
        <v>PAGO</v>
      </c>
    </row>
    <row r="307" spans="2:16" x14ac:dyDescent="0.25">
      <c r="C307" s="35">
        <f>ABRIL!C74</f>
        <v>46180</v>
      </c>
      <c r="D307" s="35" t="str">
        <f>ABRIL!D74</f>
        <v>RECEITAS COM SERVIÇOS</v>
      </c>
      <c r="E307" s="35" t="str">
        <f>ABRIL!E74</f>
        <v>-</v>
      </c>
      <c r="F307" s="67">
        <f>ABRIL!G74</f>
        <v>0</v>
      </c>
      <c r="G307" s="68">
        <f>ABRIL!H74</f>
        <v>0</v>
      </c>
      <c r="H307" s="37">
        <f>ABRIL!I74</f>
        <v>46374</v>
      </c>
      <c r="I307" s="34" t="str">
        <f>ABRIL!O74</f>
        <v>RECEITAS</v>
      </c>
      <c r="J307">
        <f t="shared" si="29"/>
        <v>7</v>
      </c>
      <c r="K307">
        <f t="shared" si="30"/>
        <v>6</v>
      </c>
      <c r="L307" t="str">
        <f t="shared" si="31"/>
        <v>JUN</v>
      </c>
      <c r="M307">
        <f t="shared" si="32"/>
        <v>18</v>
      </c>
      <c r="N307">
        <f t="shared" si="33"/>
        <v>12</v>
      </c>
      <c r="O307" t="str">
        <f t="shared" si="35"/>
        <v>DEC</v>
      </c>
      <c r="P307" t="str">
        <f t="shared" si="34"/>
        <v>PAGO</v>
      </c>
    </row>
    <row r="308" spans="2:16" x14ac:dyDescent="0.25">
      <c r="C308" s="35">
        <f>ABRIL!C75</f>
        <v>46181</v>
      </c>
      <c r="D308" s="35" t="str">
        <f>ABRIL!D75</f>
        <v>RECEITAS COM SERVIÇOS</v>
      </c>
      <c r="E308" s="35" t="str">
        <f>ABRIL!E75</f>
        <v>-</v>
      </c>
      <c r="F308" s="67">
        <f>ABRIL!G75</f>
        <v>0</v>
      </c>
      <c r="G308" s="68">
        <f>ABRIL!H75</f>
        <v>0</v>
      </c>
      <c r="H308" s="37">
        <f>ABRIL!I75</f>
        <v>46375</v>
      </c>
      <c r="I308" s="34" t="str">
        <f>ABRIL!O75</f>
        <v>RECEITAS</v>
      </c>
      <c r="J308">
        <f t="shared" si="29"/>
        <v>8</v>
      </c>
      <c r="K308">
        <f t="shared" si="30"/>
        <v>6</v>
      </c>
      <c r="L308" t="str">
        <f t="shared" si="31"/>
        <v>JUN</v>
      </c>
      <c r="M308">
        <f t="shared" si="32"/>
        <v>19</v>
      </c>
      <c r="N308">
        <f t="shared" si="33"/>
        <v>12</v>
      </c>
      <c r="O308" t="str">
        <f t="shared" si="35"/>
        <v>DEC</v>
      </c>
      <c r="P308" t="str">
        <f t="shared" si="34"/>
        <v>PAGO</v>
      </c>
    </row>
    <row r="309" spans="2:16" x14ac:dyDescent="0.25">
      <c r="C309" s="35">
        <f>ABRIL!C76</f>
        <v>46182</v>
      </c>
      <c r="D309" s="35" t="str">
        <f>ABRIL!D76</f>
        <v>RECEITAS COM SERVIÇOS</v>
      </c>
      <c r="E309" s="35" t="str">
        <f>ABRIL!E76</f>
        <v>-</v>
      </c>
      <c r="F309" s="67">
        <f>ABRIL!G76</f>
        <v>0</v>
      </c>
      <c r="G309" s="68">
        <f>ABRIL!H76</f>
        <v>0</v>
      </c>
      <c r="H309" s="37">
        <f>ABRIL!I76</f>
        <v>46376</v>
      </c>
      <c r="I309" s="34" t="str">
        <f>ABRIL!O76</f>
        <v>RECEITAS</v>
      </c>
      <c r="J309">
        <f t="shared" si="29"/>
        <v>9</v>
      </c>
      <c r="K309">
        <f t="shared" si="30"/>
        <v>6</v>
      </c>
      <c r="L309" t="str">
        <f t="shared" si="31"/>
        <v>JUN</v>
      </c>
      <c r="M309">
        <f t="shared" si="32"/>
        <v>20</v>
      </c>
      <c r="N309">
        <f t="shared" si="33"/>
        <v>12</v>
      </c>
      <c r="O309" t="str">
        <f t="shared" si="35"/>
        <v>DEC</v>
      </c>
      <c r="P309" t="str">
        <f t="shared" si="34"/>
        <v>PAGO</v>
      </c>
    </row>
    <row r="310" spans="2:16" x14ac:dyDescent="0.25">
      <c r="C310" s="35">
        <f>ABRIL!C77</f>
        <v>46183</v>
      </c>
      <c r="D310" s="35" t="str">
        <f>ABRIL!D77</f>
        <v>RECEITAS COM SERVIÇOS</v>
      </c>
      <c r="E310" s="35" t="str">
        <f>ABRIL!E77</f>
        <v>-</v>
      </c>
      <c r="F310" s="67">
        <f>ABRIL!G77</f>
        <v>0</v>
      </c>
      <c r="G310" s="68">
        <f>ABRIL!H77</f>
        <v>0</v>
      </c>
      <c r="H310" s="37">
        <f>ABRIL!I77</f>
        <v>46377</v>
      </c>
      <c r="I310" s="34" t="str">
        <f>ABRIL!O77</f>
        <v>RECEITAS</v>
      </c>
      <c r="J310">
        <f t="shared" si="29"/>
        <v>10</v>
      </c>
      <c r="K310">
        <f t="shared" si="30"/>
        <v>6</v>
      </c>
      <c r="L310" t="str">
        <f t="shared" si="31"/>
        <v>JUN</v>
      </c>
      <c r="M310">
        <f t="shared" si="32"/>
        <v>21</v>
      </c>
      <c r="N310">
        <f t="shared" si="33"/>
        <v>12</v>
      </c>
      <c r="O310" t="str">
        <f t="shared" si="35"/>
        <v>DEC</v>
      </c>
      <c r="P310" t="str">
        <f t="shared" si="34"/>
        <v>PAGO</v>
      </c>
    </row>
    <row r="311" spans="2:16" x14ac:dyDescent="0.25">
      <c r="C311" s="35">
        <f>ABRIL!C78</f>
        <v>46184</v>
      </c>
      <c r="D311" s="35" t="str">
        <f>ABRIL!D78</f>
        <v>RECEITAS COM SERVIÇOS</v>
      </c>
      <c r="E311" s="35" t="str">
        <f>ABRIL!E78</f>
        <v>-</v>
      </c>
      <c r="F311" s="67">
        <f>ABRIL!G78</f>
        <v>0</v>
      </c>
      <c r="G311" s="68">
        <f>ABRIL!H78</f>
        <v>0</v>
      </c>
      <c r="H311" s="37">
        <f>ABRIL!I78</f>
        <v>46378</v>
      </c>
      <c r="I311" s="34" t="str">
        <f>ABRIL!O78</f>
        <v>RECEITAS</v>
      </c>
      <c r="J311">
        <f t="shared" si="29"/>
        <v>11</v>
      </c>
      <c r="K311">
        <f t="shared" si="30"/>
        <v>6</v>
      </c>
      <c r="L311" t="str">
        <f t="shared" si="31"/>
        <v>JUN</v>
      </c>
      <c r="M311">
        <f t="shared" si="32"/>
        <v>22</v>
      </c>
      <c r="N311">
        <f t="shared" si="33"/>
        <v>12</v>
      </c>
      <c r="O311" t="str">
        <f t="shared" si="35"/>
        <v>DEC</v>
      </c>
      <c r="P311" t="str">
        <f t="shared" si="34"/>
        <v>PAGO</v>
      </c>
    </row>
    <row r="312" spans="2:16" x14ac:dyDescent="0.25">
      <c r="C312" s="35">
        <f>ABRIL!C79</f>
        <v>46185</v>
      </c>
      <c r="D312" s="35" t="str">
        <f>ABRIL!D79</f>
        <v>RECEITAS COM SERVIÇOS</v>
      </c>
      <c r="E312" s="35" t="str">
        <f>ABRIL!E79</f>
        <v>-</v>
      </c>
      <c r="F312" s="67">
        <f>ABRIL!G79</f>
        <v>0</v>
      </c>
      <c r="G312" s="68">
        <f>ABRIL!H79</f>
        <v>0</v>
      </c>
      <c r="H312" s="37">
        <f>ABRIL!I79</f>
        <v>46379</v>
      </c>
      <c r="I312" s="34" t="str">
        <f>ABRIL!O79</f>
        <v>RECEITAS</v>
      </c>
      <c r="J312">
        <f t="shared" si="29"/>
        <v>12</v>
      </c>
      <c r="K312">
        <f t="shared" si="30"/>
        <v>6</v>
      </c>
      <c r="L312" t="str">
        <f t="shared" si="31"/>
        <v>JUN</v>
      </c>
      <c r="M312">
        <f t="shared" si="32"/>
        <v>23</v>
      </c>
      <c r="N312">
        <f t="shared" si="33"/>
        <v>12</v>
      </c>
      <c r="O312" t="str">
        <f t="shared" si="35"/>
        <v>DEC</v>
      </c>
      <c r="P312" t="str">
        <f t="shared" si="34"/>
        <v>PAGO</v>
      </c>
    </row>
    <row r="313" spans="2:16" x14ac:dyDescent="0.25">
      <c r="C313" s="35">
        <f>ABRIL!C80</f>
        <v>46186</v>
      </c>
      <c r="D313" s="35" t="str">
        <f>ABRIL!D80</f>
        <v>RECEITAS COM SERVIÇOS</v>
      </c>
      <c r="E313" s="35" t="str">
        <f>ABRIL!E80</f>
        <v>-</v>
      </c>
      <c r="F313" s="67" t="str">
        <f>ABRIL!G80</f>
        <v>BENFICA</v>
      </c>
      <c r="G313" s="68">
        <f>ABRIL!H80</f>
        <v>0</v>
      </c>
      <c r="H313" s="37">
        <f>ABRIL!I80</f>
        <v>46380</v>
      </c>
      <c r="I313" s="34" t="str">
        <f>ABRIL!O80</f>
        <v>RECEITAS</v>
      </c>
      <c r="J313">
        <f t="shared" si="29"/>
        <v>13</v>
      </c>
      <c r="K313">
        <f t="shared" si="30"/>
        <v>6</v>
      </c>
      <c r="L313" t="str">
        <f t="shared" si="31"/>
        <v>JUN</v>
      </c>
      <c r="M313">
        <f t="shared" si="32"/>
        <v>24</v>
      </c>
      <c r="N313">
        <f t="shared" si="33"/>
        <v>12</v>
      </c>
      <c r="O313" t="str">
        <f t="shared" si="35"/>
        <v>DEC</v>
      </c>
      <c r="P313" t="str">
        <f t="shared" si="34"/>
        <v>PAGO</v>
      </c>
    </row>
    <row r="314" spans="2:16" x14ac:dyDescent="0.25">
      <c r="C314" s="35">
        <f>ABRIL!C81</f>
        <v>46187</v>
      </c>
      <c r="D314" s="35" t="str">
        <f>ABRIL!D81</f>
        <v>RECEITAS COM SERVIÇOS</v>
      </c>
      <c r="E314" s="35" t="str">
        <f>ABRIL!E81</f>
        <v>-</v>
      </c>
      <c r="F314" s="67">
        <f>ABRIL!G81</f>
        <v>0</v>
      </c>
      <c r="G314" s="68">
        <f>ABRIL!H81</f>
        <v>0</v>
      </c>
      <c r="H314" s="37">
        <f>ABRIL!I81</f>
        <v>46381</v>
      </c>
      <c r="I314" s="34" t="str">
        <f>ABRIL!O81</f>
        <v>RECEITAS</v>
      </c>
      <c r="J314">
        <f t="shared" si="29"/>
        <v>14</v>
      </c>
      <c r="K314">
        <f t="shared" si="30"/>
        <v>6</v>
      </c>
      <c r="L314" t="str">
        <f t="shared" si="31"/>
        <v>JUN</v>
      </c>
      <c r="M314">
        <f t="shared" si="32"/>
        <v>25</v>
      </c>
      <c r="N314">
        <f t="shared" si="33"/>
        <v>12</v>
      </c>
      <c r="O314" t="str">
        <f t="shared" si="35"/>
        <v>DEC</v>
      </c>
      <c r="P314" t="str">
        <f t="shared" si="34"/>
        <v>PAGO</v>
      </c>
    </row>
    <row r="315" spans="2:16" x14ac:dyDescent="0.25">
      <c r="C315" s="35">
        <f>ABRIL!C82</f>
        <v>46188</v>
      </c>
      <c r="D315" s="35" t="str">
        <f>ABRIL!D82</f>
        <v>RECEITAS COM SERVIÇOS</v>
      </c>
      <c r="E315" s="35" t="str">
        <f>ABRIL!E82</f>
        <v>-</v>
      </c>
      <c r="F315" s="67">
        <f>ABRIL!G82</f>
        <v>0</v>
      </c>
      <c r="G315" s="68">
        <f>ABRIL!H82</f>
        <v>0</v>
      </c>
      <c r="H315" s="37">
        <f>ABRIL!I82</f>
        <v>46382</v>
      </c>
      <c r="I315" s="34" t="str">
        <f>ABRIL!O82</f>
        <v>RECEITAS</v>
      </c>
      <c r="J315">
        <f t="shared" si="29"/>
        <v>15</v>
      </c>
      <c r="K315">
        <f t="shared" si="30"/>
        <v>6</v>
      </c>
      <c r="L315" t="str">
        <f t="shared" si="31"/>
        <v>JUN</v>
      </c>
      <c r="M315">
        <f t="shared" si="32"/>
        <v>26</v>
      </c>
      <c r="N315">
        <f t="shared" si="33"/>
        <v>12</v>
      </c>
      <c r="O315" t="str">
        <f t="shared" si="35"/>
        <v>DEC</v>
      </c>
      <c r="P315" t="str">
        <f t="shared" si="34"/>
        <v>PAGO</v>
      </c>
    </row>
    <row r="316" spans="2:16" x14ac:dyDescent="0.25">
      <c r="C316" s="35">
        <f>ABRIL!C83</f>
        <v>46189</v>
      </c>
      <c r="D316" s="35" t="str">
        <f>ABRIL!D83</f>
        <v>RECEITAS COM SERVIÇOS</v>
      </c>
      <c r="E316" s="35" t="str">
        <f>ABRIL!E83</f>
        <v>-</v>
      </c>
      <c r="F316" s="67">
        <f>ABRIL!G83</f>
        <v>0</v>
      </c>
      <c r="G316" s="68">
        <f>ABRIL!H83</f>
        <v>0</v>
      </c>
      <c r="H316" s="37">
        <f>ABRIL!I83</f>
        <v>46383</v>
      </c>
      <c r="I316" s="34" t="str">
        <f>ABRIL!O83</f>
        <v>RECEITAS</v>
      </c>
      <c r="J316">
        <f t="shared" si="29"/>
        <v>16</v>
      </c>
      <c r="K316">
        <f t="shared" si="30"/>
        <v>6</v>
      </c>
      <c r="L316" t="str">
        <f t="shared" si="31"/>
        <v>JUN</v>
      </c>
      <c r="M316">
        <f t="shared" si="32"/>
        <v>27</v>
      </c>
      <c r="N316">
        <f t="shared" si="33"/>
        <v>12</v>
      </c>
      <c r="O316" t="str">
        <f t="shared" si="35"/>
        <v>DEC</v>
      </c>
      <c r="P316" t="str">
        <f t="shared" si="34"/>
        <v>PAGO</v>
      </c>
    </row>
    <row r="317" spans="2:16" x14ac:dyDescent="0.25">
      <c r="C317" s="35">
        <f>ABRIL!C84</f>
        <v>46190</v>
      </c>
      <c r="D317" s="35" t="str">
        <f>ABRIL!D84</f>
        <v>RECEITAS COM SERVIÇOS</v>
      </c>
      <c r="E317" s="35" t="str">
        <f>ABRIL!E84</f>
        <v>-</v>
      </c>
      <c r="F317" s="67">
        <f>ABRIL!G84</f>
        <v>0</v>
      </c>
      <c r="G317" s="68">
        <f>ABRIL!H84</f>
        <v>0</v>
      </c>
      <c r="H317" s="37">
        <f>ABRIL!I84</f>
        <v>46384</v>
      </c>
      <c r="I317" s="34" t="str">
        <f>ABRIL!O84</f>
        <v>RECEITAS</v>
      </c>
      <c r="J317">
        <f t="shared" si="29"/>
        <v>17</v>
      </c>
      <c r="K317">
        <f t="shared" si="30"/>
        <v>6</v>
      </c>
      <c r="L317" t="str">
        <f t="shared" si="31"/>
        <v>JUN</v>
      </c>
      <c r="M317">
        <f t="shared" si="32"/>
        <v>28</v>
      </c>
      <c r="N317">
        <f t="shared" si="33"/>
        <v>12</v>
      </c>
      <c r="O317" t="str">
        <f t="shared" si="35"/>
        <v>DEC</v>
      </c>
      <c r="P317" t="str">
        <f t="shared" si="34"/>
        <v>PAGO</v>
      </c>
    </row>
    <row r="318" spans="2:16" x14ac:dyDescent="0.25">
      <c r="B318" s="44" t="s">
        <v>91</v>
      </c>
      <c r="C318" s="35">
        <f>MAIO!C7</f>
        <v>46143</v>
      </c>
      <c r="D318" s="35" t="str">
        <f>MAIO!D7</f>
        <v>RECEITAS COM SERVIÇOS</v>
      </c>
      <c r="E318" s="35" t="str">
        <f>MAIO!E7</f>
        <v>-</v>
      </c>
      <c r="F318" s="67">
        <f>MAIO!G7</f>
        <v>0</v>
      </c>
      <c r="G318" s="68">
        <f>MAIO!H7</f>
        <v>1</v>
      </c>
      <c r="H318" s="37">
        <f>MAIO!I7</f>
        <v>46147</v>
      </c>
      <c r="I318" s="34" t="str">
        <f>MAIO!O7</f>
        <v>RECEITAS</v>
      </c>
      <c r="J318">
        <f t="shared" si="29"/>
        <v>1</v>
      </c>
      <c r="K318">
        <f t="shared" si="30"/>
        <v>5</v>
      </c>
      <c r="L318" t="str">
        <f t="shared" si="31"/>
        <v>MAY</v>
      </c>
      <c r="M318">
        <f t="shared" si="32"/>
        <v>5</v>
      </c>
      <c r="N318">
        <f t="shared" si="33"/>
        <v>5</v>
      </c>
      <c r="O318" t="str">
        <f t="shared" si="35"/>
        <v>MAY</v>
      </c>
      <c r="P318" t="str">
        <f t="shared" si="34"/>
        <v>PAGO</v>
      </c>
    </row>
    <row r="319" spans="2:16" x14ac:dyDescent="0.25">
      <c r="C319" s="35">
        <f>MAIO!C8</f>
        <v>46144</v>
      </c>
      <c r="D319" s="35" t="str">
        <f>MAIO!D8</f>
        <v>RECEITAS COM SERVIÇOS</v>
      </c>
      <c r="E319" s="35" t="str">
        <f>MAIO!E8</f>
        <v>-</v>
      </c>
      <c r="F319" s="67">
        <f>MAIO!G8</f>
        <v>0</v>
      </c>
      <c r="G319" s="68">
        <f>MAIO!H8</f>
        <v>3</v>
      </c>
      <c r="H319" s="37">
        <f>MAIO!I8</f>
        <v>46148</v>
      </c>
      <c r="I319" s="34" t="str">
        <f>MAIO!O8</f>
        <v>RECEITAS</v>
      </c>
      <c r="J319">
        <f t="shared" si="29"/>
        <v>2</v>
      </c>
      <c r="K319">
        <f t="shared" si="30"/>
        <v>5</v>
      </c>
      <c r="L319" t="str">
        <f t="shared" si="31"/>
        <v>MAY</v>
      </c>
      <c r="M319">
        <f t="shared" si="32"/>
        <v>6</v>
      </c>
      <c r="N319">
        <f t="shared" si="33"/>
        <v>5</v>
      </c>
      <c r="O319" t="str">
        <f t="shared" si="35"/>
        <v>MAY</v>
      </c>
      <c r="P319" t="str">
        <f t="shared" si="34"/>
        <v>PAGO</v>
      </c>
    </row>
    <row r="320" spans="2:16" x14ac:dyDescent="0.25">
      <c r="C320" s="35">
        <f>MAIO!C9</f>
        <v>46145</v>
      </c>
      <c r="D320" s="35" t="str">
        <f>MAIO!D9</f>
        <v>RECEITAS COM SERVIÇOS</v>
      </c>
      <c r="E320" s="35" t="str">
        <f>MAIO!E9</f>
        <v>MARKETING OFFLINE</v>
      </c>
      <c r="F320" s="67">
        <f>MAIO!G9</f>
        <v>0</v>
      </c>
      <c r="G320" s="68">
        <f>MAIO!H9</f>
        <v>5</v>
      </c>
      <c r="H320" s="37">
        <f>MAIO!I9</f>
        <v>46149</v>
      </c>
      <c r="I320" s="34" t="str">
        <f>MAIO!O9</f>
        <v>RECEITAS</v>
      </c>
      <c r="J320">
        <f t="shared" si="29"/>
        <v>3</v>
      </c>
      <c r="K320">
        <f t="shared" si="30"/>
        <v>5</v>
      </c>
      <c r="L320" t="str">
        <f t="shared" si="31"/>
        <v>MAY</v>
      </c>
      <c r="M320">
        <f t="shared" si="32"/>
        <v>7</v>
      </c>
      <c r="N320">
        <f t="shared" si="33"/>
        <v>5</v>
      </c>
      <c r="O320" t="str">
        <f t="shared" si="35"/>
        <v>MAY</v>
      </c>
      <c r="P320" t="str">
        <f t="shared" si="34"/>
        <v>PAGO</v>
      </c>
    </row>
    <row r="321" spans="3:16" x14ac:dyDescent="0.25">
      <c r="C321" s="35">
        <f>MAIO!C10</f>
        <v>46146</v>
      </c>
      <c r="D321" s="35" t="str">
        <f>MAIO!D10</f>
        <v>RECEITAS COM SERVIÇOS</v>
      </c>
      <c r="E321" s="35" t="str">
        <f>MAIO!E10</f>
        <v>-</v>
      </c>
      <c r="F321" s="67" t="str">
        <f>MAIO!G10</f>
        <v>BENFICA</v>
      </c>
      <c r="G321" s="68">
        <f>MAIO!H10</f>
        <v>1100</v>
      </c>
      <c r="H321" s="37">
        <f>MAIO!I10</f>
        <v>46150</v>
      </c>
      <c r="I321" s="34" t="str">
        <f>MAIO!O10</f>
        <v>RECEITAS</v>
      </c>
      <c r="J321">
        <f t="shared" si="29"/>
        <v>4</v>
      </c>
      <c r="K321">
        <f t="shared" si="30"/>
        <v>5</v>
      </c>
      <c r="L321" t="str">
        <f t="shared" si="31"/>
        <v>MAY</v>
      </c>
      <c r="M321">
        <f t="shared" si="32"/>
        <v>8</v>
      </c>
      <c r="N321">
        <f t="shared" si="33"/>
        <v>5</v>
      </c>
      <c r="O321" t="str">
        <f t="shared" si="35"/>
        <v>MAY</v>
      </c>
      <c r="P321" t="str">
        <f t="shared" si="34"/>
        <v>PAGO</v>
      </c>
    </row>
    <row r="322" spans="3:16" x14ac:dyDescent="0.25">
      <c r="C322" s="35">
        <f>MAIO!C11</f>
        <v>46147</v>
      </c>
      <c r="D322" s="35" t="str">
        <f>MAIO!D11</f>
        <v>RECEITAS COM SERVIÇOS</v>
      </c>
      <c r="E322" s="35" t="str">
        <f>MAIO!E11</f>
        <v>-</v>
      </c>
      <c r="F322" s="67">
        <f>MAIO!G11</f>
        <v>0</v>
      </c>
      <c r="G322" s="68">
        <f>MAIO!H11</f>
        <v>9</v>
      </c>
      <c r="H322" s="37">
        <f>MAIO!I11</f>
        <v>46151</v>
      </c>
      <c r="I322" s="34" t="str">
        <f>MAIO!O11</f>
        <v>RECEITAS</v>
      </c>
      <c r="J322">
        <f t="shared" si="29"/>
        <v>5</v>
      </c>
      <c r="K322">
        <f t="shared" si="30"/>
        <v>5</v>
      </c>
      <c r="L322" t="str">
        <f t="shared" si="31"/>
        <v>MAY</v>
      </c>
      <c r="M322">
        <f t="shared" si="32"/>
        <v>9</v>
      </c>
      <c r="N322">
        <f t="shared" si="33"/>
        <v>5</v>
      </c>
      <c r="O322" t="str">
        <f t="shared" si="35"/>
        <v>MAY</v>
      </c>
      <c r="P322" t="str">
        <f t="shared" si="34"/>
        <v>PAGO</v>
      </c>
    </row>
    <row r="323" spans="3:16" x14ac:dyDescent="0.25">
      <c r="C323" s="35">
        <f>MAIO!C12</f>
        <v>46148</v>
      </c>
      <c r="D323" s="35" t="str">
        <f>MAIO!D12</f>
        <v>RECEITAS COM SERVIÇOS</v>
      </c>
      <c r="E323" s="35" t="str">
        <f>MAIO!E12</f>
        <v>-</v>
      </c>
      <c r="F323" s="67" t="str">
        <f>MAIO!G12</f>
        <v>BENFICA</v>
      </c>
      <c r="G323" s="68">
        <f>MAIO!H12</f>
        <v>11</v>
      </c>
      <c r="H323" s="37">
        <f>MAIO!I12</f>
        <v>46152</v>
      </c>
      <c r="I323" s="34" t="str">
        <f>MAIO!O12</f>
        <v>RECEITAS</v>
      </c>
      <c r="J323">
        <f t="shared" si="29"/>
        <v>6</v>
      </c>
      <c r="K323">
        <f t="shared" si="30"/>
        <v>5</v>
      </c>
      <c r="L323" t="str">
        <f t="shared" si="31"/>
        <v>MAY</v>
      </c>
      <c r="M323">
        <f t="shared" si="32"/>
        <v>10</v>
      </c>
      <c r="N323">
        <f t="shared" si="33"/>
        <v>5</v>
      </c>
      <c r="O323" t="str">
        <f t="shared" si="35"/>
        <v>MAY</v>
      </c>
      <c r="P323" t="str">
        <f t="shared" si="34"/>
        <v>PAGO</v>
      </c>
    </row>
    <row r="324" spans="3:16" x14ac:dyDescent="0.25">
      <c r="C324" s="35">
        <f>MAIO!C13</f>
        <v>46149</v>
      </c>
      <c r="D324" s="35" t="str">
        <f>MAIO!D13</f>
        <v>RECEITAS COM SERVIÇOS</v>
      </c>
      <c r="E324" s="35" t="str">
        <f>MAIO!E13</f>
        <v>-</v>
      </c>
      <c r="F324" s="67">
        <f>MAIO!G13</f>
        <v>0</v>
      </c>
      <c r="G324" s="68">
        <f>MAIO!H13</f>
        <v>13</v>
      </c>
      <c r="H324" s="37">
        <f>MAIO!I13</f>
        <v>46153</v>
      </c>
      <c r="I324" s="34" t="str">
        <f>MAIO!O13</f>
        <v>RECEITAS</v>
      </c>
      <c r="J324">
        <f t="shared" si="29"/>
        <v>7</v>
      </c>
      <c r="K324">
        <f t="shared" si="30"/>
        <v>5</v>
      </c>
      <c r="L324" t="str">
        <f t="shared" si="31"/>
        <v>MAY</v>
      </c>
      <c r="M324">
        <f t="shared" si="32"/>
        <v>11</v>
      </c>
      <c r="N324">
        <f t="shared" si="33"/>
        <v>5</v>
      </c>
      <c r="O324" t="str">
        <f t="shared" si="35"/>
        <v>MAY</v>
      </c>
      <c r="P324" t="str">
        <f t="shared" si="34"/>
        <v>PAGO</v>
      </c>
    </row>
    <row r="325" spans="3:16" x14ac:dyDescent="0.25">
      <c r="C325" s="35">
        <f>MAIO!C14</f>
        <v>46150</v>
      </c>
      <c r="D325" s="35" t="str">
        <f>MAIO!D14</f>
        <v>RECEITAS COM SERVIÇOS</v>
      </c>
      <c r="E325" s="35" t="str">
        <f>MAIO!E14</f>
        <v>ACTUALIZAÇÕES</v>
      </c>
      <c r="F325" s="67">
        <f>MAIO!G14</f>
        <v>0</v>
      </c>
      <c r="G325" s="68">
        <f>MAIO!H14</f>
        <v>15</v>
      </c>
      <c r="H325" s="37">
        <f>MAIO!I14</f>
        <v>46154</v>
      </c>
      <c r="I325" s="34" t="str">
        <f>MAIO!O14</f>
        <v>RECEITAS</v>
      </c>
      <c r="J325">
        <f t="shared" si="29"/>
        <v>8</v>
      </c>
      <c r="K325">
        <f t="shared" si="30"/>
        <v>5</v>
      </c>
      <c r="L325" t="str">
        <f t="shared" si="31"/>
        <v>MAY</v>
      </c>
      <c r="M325">
        <f t="shared" si="32"/>
        <v>12</v>
      </c>
      <c r="N325">
        <f t="shared" si="33"/>
        <v>5</v>
      </c>
      <c r="O325" t="str">
        <f t="shared" si="35"/>
        <v>MAY</v>
      </c>
      <c r="P325" t="str">
        <f t="shared" si="34"/>
        <v>PAGO</v>
      </c>
    </row>
    <row r="326" spans="3:16" x14ac:dyDescent="0.25">
      <c r="C326" s="35">
        <f>MAIO!C15</f>
        <v>46151</v>
      </c>
      <c r="D326" s="35" t="str">
        <f>MAIO!D15</f>
        <v>RECEITAS COM SERVIÇOS</v>
      </c>
      <c r="E326" s="35" t="str">
        <f>MAIO!E15</f>
        <v>-</v>
      </c>
      <c r="F326" s="67">
        <f>MAIO!G15</f>
        <v>0</v>
      </c>
      <c r="G326" s="68">
        <f>MAIO!H15</f>
        <v>17</v>
      </c>
      <c r="H326" s="37">
        <f>MAIO!I15</f>
        <v>46155</v>
      </c>
      <c r="I326" s="34" t="str">
        <f>MAIO!O15</f>
        <v>RECEITAS</v>
      </c>
      <c r="J326">
        <f t="shared" si="29"/>
        <v>9</v>
      </c>
      <c r="K326">
        <f t="shared" si="30"/>
        <v>5</v>
      </c>
      <c r="L326" t="str">
        <f t="shared" si="31"/>
        <v>MAY</v>
      </c>
      <c r="M326">
        <f t="shared" si="32"/>
        <v>13</v>
      </c>
      <c r="N326">
        <f t="shared" si="33"/>
        <v>5</v>
      </c>
      <c r="O326" t="str">
        <f t="shared" si="35"/>
        <v>MAY</v>
      </c>
      <c r="P326" t="str">
        <f t="shared" si="34"/>
        <v>PAGO</v>
      </c>
    </row>
    <row r="327" spans="3:16" x14ac:dyDescent="0.25">
      <c r="C327" s="35">
        <f>MAIO!C16</f>
        <v>46152</v>
      </c>
      <c r="D327" s="35" t="str">
        <f>MAIO!D16</f>
        <v>RECEITAS COM SERVIÇOS</v>
      </c>
      <c r="E327" s="35" t="str">
        <f>MAIO!E16</f>
        <v>-</v>
      </c>
      <c r="F327" s="67">
        <f>MAIO!G16</f>
        <v>0</v>
      </c>
      <c r="G327" s="68">
        <f>MAIO!H16</f>
        <v>0</v>
      </c>
      <c r="H327" s="37">
        <f>MAIO!I16</f>
        <v>46156</v>
      </c>
      <c r="I327" s="34" t="str">
        <f>MAIO!O16</f>
        <v>RECEITAS</v>
      </c>
      <c r="J327">
        <f t="shared" ref="J327:J390" si="36">DAY(C327)</f>
        <v>10</v>
      </c>
      <c r="K327">
        <f t="shared" ref="K327:K390" si="37">IF(C327 = 0, " ",MONTH(C327))</f>
        <v>5</v>
      </c>
      <c r="L327" t="str">
        <f t="shared" ref="L327:L390" si="38">IFERROR(VLOOKUP(K327,$R$6:$S$17,2),"")</f>
        <v>MAY</v>
      </c>
      <c r="M327">
        <f t="shared" ref="M327:M390" si="39">DAY(H327)</f>
        <v>14</v>
      </c>
      <c r="N327">
        <f t="shared" ref="N327:N390" si="40">IF(H327 = 0, " ",MONTH(H327))</f>
        <v>5</v>
      </c>
      <c r="O327" t="str">
        <f t="shared" si="35"/>
        <v>MAY</v>
      </c>
      <c r="P327" t="str">
        <f t="shared" ref="P327:P390" si="41">IF(H327=0,"NAO PAGO","PAGO")</f>
        <v>PAGO</v>
      </c>
    </row>
    <row r="328" spans="3:16" ht="30" x14ac:dyDescent="0.25">
      <c r="C328" s="35">
        <f>MAIO!C17</f>
        <v>46153</v>
      </c>
      <c r="D328" s="35" t="str">
        <f>MAIO!D17</f>
        <v>RECEITAS COM SERVIÇOS</v>
      </c>
      <c r="E328" s="35" t="str">
        <f>MAIO!E17</f>
        <v>ESTUDIOS GRAVAÇÃO</v>
      </c>
      <c r="F328" s="67">
        <f>MAIO!G17</f>
        <v>0</v>
      </c>
      <c r="G328" s="68">
        <f>MAIO!H17</f>
        <v>0</v>
      </c>
      <c r="H328" s="37">
        <f>MAIO!I17</f>
        <v>46157</v>
      </c>
      <c r="I328" s="34" t="str">
        <f>MAIO!O17</f>
        <v>RECEITAS</v>
      </c>
      <c r="J328">
        <f t="shared" si="36"/>
        <v>11</v>
      </c>
      <c r="K328">
        <f t="shared" si="37"/>
        <v>5</v>
      </c>
      <c r="L328" t="str">
        <f t="shared" si="38"/>
        <v>MAY</v>
      </c>
      <c r="M328">
        <f t="shared" si="39"/>
        <v>15</v>
      </c>
      <c r="N328">
        <f t="shared" si="40"/>
        <v>5</v>
      </c>
      <c r="O328" t="str">
        <f t="shared" si="35"/>
        <v>MAY</v>
      </c>
      <c r="P328" t="str">
        <f t="shared" si="41"/>
        <v>PAGO</v>
      </c>
    </row>
    <row r="329" spans="3:16" x14ac:dyDescent="0.25">
      <c r="C329" s="35">
        <f>MAIO!C18</f>
        <v>46154</v>
      </c>
      <c r="D329" s="35" t="str">
        <f>MAIO!D18</f>
        <v>RECEITAS COM SERVIÇOS</v>
      </c>
      <c r="E329" s="35" t="str">
        <f>MAIO!E18</f>
        <v>-</v>
      </c>
      <c r="F329" s="67" t="str">
        <f>MAIO!G18</f>
        <v>CALEMBA 2</v>
      </c>
      <c r="G329" s="68">
        <f>MAIO!H18</f>
        <v>0</v>
      </c>
      <c r="H329" s="37">
        <f>MAIO!I18</f>
        <v>46158</v>
      </c>
      <c r="I329" s="34" t="str">
        <f>MAIO!O18</f>
        <v>RECEITAS</v>
      </c>
      <c r="J329">
        <f t="shared" si="36"/>
        <v>12</v>
      </c>
      <c r="K329">
        <f t="shared" si="37"/>
        <v>5</v>
      </c>
      <c r="L329" t="str">
        <f t="shared" si="38"/>
        <v>MAY</v>
      </c>
      <c r="M329">
        <f t="shared" si="39"/>
        <v>16</v>
      </c>
      <c r="N329">
        <f t="shared" si="40"/>
        <v>5</v>
      </c>
      <c r="O329" t="str">
        <f t="shared" si="35"/>
        <v>MAY</v>
      </c>
      <c r="P329" t="str">
        <f t="shared" si="41"/>
        <v>PAGO</v>
      </c>
    </row>
    <row r="330" spans="3:16" x14ac:dyDescent="0.25">
      <c r="C330" s="35">
        <f>MAIO!C19</f>
        <v>46155</v>
      </c>
      <c r="D330" s="35" t="str">
        <f>MAIO!D19</f>
        <v>RECEITAS COM SERVIÇOS</v>
      </c>
      <c r="E330" s="35" t="str">
        <f>MAIO!E19</f>
        <v>-</v>
      </c>
      <c r="F330" s="67">
        <f>MAIO!G19</f>
        <v>0</v>
      </c>
      <c r="G330" s="68">
        <f>MAIO!H19</f>
        <v>0</v>
      </c>
      <c r="H330" s="37">
        <f>MAIO!I19</f>
        <v>46159</v>
      </c>
      <c r="I330" s="34" t="str">
        <f>MAIO!O19</f>
        <v>RECEITAS</v>
      </c>
      <c r="J330">
        <f t="shared" si="36"/>
        <v>13</v>
      </c>
      <c r="K330">
        <f t="shared" si="37"/>
        <v>5</v>
      </c>
      <c r="L330" t="str">
        <f t="shared" si="38"/>
        <v>MAY</v>
      </c>
      <c r="M330">
        <f t="shared" si="39"/>
        <v>17</v>
      </c>
      <c r="N330">
        <f t="shared" si="40"/>
        <v>5</v>
      </c>
      <c r="O330" t="str">
        <f t="shared" si="35"/>
        <v>MAY</v>
      </c>
      <c r="P330" t="str">
        <f t="shared" si="41"/>
        <v>PAGO</v>
      </c>
    </row>
    <row r="331" spans="3:16" x14ac:dyDescent="0.25">
      <c r="C331" s="35">
        <f>MAIO!C20</f>
        <v>46156</v>
      </c>
      <c r="D331" s="35" t="str">
        <f>MAIO!D20</f>
        <v>RECEITAS COM SERVIÇOS</v>
      </c>
      <c r="E331" s="35" t="str">
        <f>MAIO!E20</f>
        <v>-</v>
      </c>
      <c r="F331" s="67">
        <f>MAIO!G20</f>
        <v>0</v>
      </c>
      <c r="G331" s="68">
        <f>MAIO!H20</f>
        <v>0</v>
      </c>
      <c r="H331" s="37">
        <f>MAIO!I20</f>
        <v>46160</v>
      </c>
      <c r="I331" s="34" t="str">
        <f>MAIO!O20</f>
        <v>RECEITAS</v>
      </c>
      <c r="J331">
        <f t="shared" si="36"/>
        <v>14</v>
      </c>
      <c r="K331">
        <f t="shared" si="37"/>
        <v>5</v>
      </c>
      <c r="L331" t="str">
        <f t="shared" si="38"/>
        <v>MAY</v>
      </c>
      <c r="M331">
        <f t="shared" si="39"/>
        <v>18</v>
      </c>
      <c r="N331">
        <f t="shared" si="40"/>
        <v>5</v>
      </c>
      <c r="O331" t="str">
        <f t="shared" si="35"/>
        <v>MAY</v>
      </c>
      <c r="P331" t="str">
        <f t="shared" si="41"/>
        <v>PAGO</v>
      </c>
    </row>
    <row r="332" spans="3:16" x14ac:dyDescent="0.25">
      <c r="C332" s="35">
        <f>MAIO!C21</f>
        <v>46157</v>
      </c>
      <c r="D332" s="35" t="str">
        <f>MAIO!D21</f>
        <v>RECEITAS COM SERVIÇOS</v>
      </c>
      <c r="E332" s="35" t="str">
        <f>MAIO!E21</f>
        <v>-</v>
      </c>
      <c r="F332" s="67">
        <f>MAIO!G21</f>
        <v>0</v>
      </c>
      <c r="G332" s="68">
        <f>MAIO!H21</f>
        <v>0</v>
      </c>
      <c r="H332" s="37">
        <f>MAIO!I21</f>
        <v>46161</v>
      </c>
      <c r="I332" s="34" t="str">
        <f>MAIO!O21</f>
        <v>RECEITAS</v>
      </c>
      <c r="J332">
        <f t="shared" si="36"/>
        <v>15</v>
      </c>
      <c r="K332">
        <f t="shared" si="37"/>
        <v>5</v>
      </c>
      <c r="L332" t="str">
        <f t="shared" si="38"/>
        <v>MAY</v>
      </c>
      <c r="M332">
        <f t="shared" si="39"/>
        <v>19</v>
      </c>
      <c r="N332">
        <f t="shared" si="40"/>
        <v>5</v>
      </c>
      <c r="O332" t="str">
        <f t="shared" si="35"/>
        <v>MAY</v>
      </c>
      <c r="P332" t="str">
        <f t="shared" si="41"/>
        <v>PAGO</v>
      </c>
    </row>
    <row r="333" spans="3:16" x14ac:dyDescent="0.25">
      <c r="C333" s="35">
        <f>MAIO!C22</f>
        <v>46158</v>
      </c>
      <c r="D333" s="35" t="str">
        <f>MAIO!D22</f>
        <v>RECEITAS COM SERVIÇOS</v>
      </c>
      <c r="E333" s="35" t="str">
        <f>MAIO!E22</f>
        <v>-</v>
      </c>
      <c r="F333" s="67">
        <f>MAIO!G22</f>
        <v>0</v>
      </c>
      <c r="G333" s="68">
        <f>MAIO!H22</f>
        <v>0</v>
      </c>
      <c r="H333" s="37">
        <f>MAIO!I22</f>
        <v>46162</v>
      </c>
      <c r="I333" s="34" t="str">
        <f>MAIO!O22</f>
        <v>RECEITAS</v>
      </c>
      <c r="J333">
        <f t="shared" si="36"/>
        <v>16</v>
      </c>
      <c r="K333">
        <f t="shared" si="37"/>
        <v>5</v>
      </c>
      <c r="L333" t="str">
        <f t="shared" si="38"/>
        <v>MAY</v>
      </c>
      <c r="M333">
        <f t="shared" si="39"/>
        <v>20</v>
      </c>
      <c r="N333">
        <f t="shared" si="40"/>
        <v>5</v>
      </c>
      <c r="O333" t="str">
        <f t="shared" si="35"/>
        <v>MAY</v>
      </c>
      <c r="P333" t="str">
        <f t="shared" si="41"/>
        <v>PAGO</v>
      </c>
    </row>
    <row r="334" spans="3:16" x14ac:dyDescent="0.25">
      <c r="C334" s="35">
        <f>MAIO!C23</f>
        <v>46159</v>
      </c>
      <c r="D334" s="35" t="str">
        <f>MAIO!D23</f>
        <v>RECEITAS COM SERVIÇOS</v>
      </c>
      <c r="E334" s="35" t="str">
        <f>MAIO!E23</f>
        <v>-</v>
      </c>
      <c r="F334" s="67">
        <f>MAIO!G23</f>
        <v>0</v>
      </c>
      <c r="G334" s="68">
        <f>MAIO!H23</f>
        <v>0</v>
      </c>
      <c r="H334" s="37">
        <f>MAIO!I23</f>
        <v>46163</v>
      </c>
      <c r="I334" s="34" t="str">
        <f>MAIO!O23</f>
        <v>RECEITAS</v>
      </c>
      <c r="J334">
        <f t="shared" si="36"/>
        <v>17</v>
      </c>
      <c r="K334">
        <f t="shared" si="37"/>
        <v>5</v>
      </c>
      <c r="L334" t="str">
        <f t="shared" si="38"/>
        <v>MAY</v>
      </c>
      <c r="M334">
        <f t="shared" si="39"/>
        <v>21</v>
      </c>
      <c r="N334">
        <f t="shared" si="40"/>
        <v>5</v>
      </c>
      <c r="O334" t="str">
        <f t="shared" si="35"/>
        <v>MAY</v>
      </c>
      <c r="P334" t="str">
        <f t="shared" si="41"/>
        <v>PAGO</v>
      </c>
    </row>
    <row r="335" spans="3:16" x14ac:dyDescent="0.25">
      <c r="C335" s="35">
        <f>MAIO!C24</f>
        <v>46160</v>
      </c>
      <c r="D335" s="35" t="str">
        <f>MAIO!D24</f>
        <v>RECEITAS COM SERVIÇOS</v>
      </c>
      <c r="E335" s="35" t="str">
        <f>MAIO!E24</f>
        <v>-</v>
      </c>
      <c r="F335" s="67">
        <f>MAIO!G24</f>
        <v>0</v>
      </c>
      <c r="G335" s="68">
        <f>MAIO!H24</f>
        <v>0</v>
      </c>
      <c r="H335" s="37">
        <f>MAIO!I24</f>
        <v>46164</v>
      </c>
      <c r="I335" s="34" t="str">
        <f>MAIO!O24</f>
        <v>RECEITAS</v>
      </c>
      <c r="J335">
        <f t="shared" si="36"/>
        <v>18</v>
      </c>
      <c r="K335">
        <f t="shared" si="37"/>
        <v>5</v>
      </c>
      <c r="L335" t="str">
        <f t="shared" si="38"/>
        <v>MAY</v>
      </c>
      <c r="M335">
        <f t="shared" si="39"/>
        <v>22</v>
      </c>
      <c r="N335">
        <f t="shared" si="40"/>
        <v>5</v>
      </c>
      <c r="O335" t="str">
        <f t="shared" si="35"/>
        <v>MAY</v>
      </c>
      <c r="P335" t="str">
        <f t="shared" si="41"/>
        <v>PAGO</v>
      </c>
    </row>
    <row r="336" spans="3:16" x14ac:dyDescent="0.25">
      <c r="C336" s="35">
        <f>MAIO!C25</f>
        <v>46161</v>
      </c>
      <c r="D336" s="35" t="str">
        <f>MAIO!D25</f>
        <v>RECEITAS COM SERVIÇOS</v>
      </c>
      <c r="E336" s="35" t="str">
        <f>MAIO!E25</f>
        <v>-</v>
      </c>
      <c r="F336" s="67">
        <f>MAIO!G25</f>
        <v>0</v>
      </c>
      <c r="G336" s="68">
        <f>MAIO!H25</f>
        <v>0</v>
      </c>
      <c r="H336" s="37">
        <f>MAIO!I25</f>
        <v>46165</v>
      </c>
      <c r="I336" s="34" t="str">
        <f>MAIO!O25</f>
        <v>RECEITAS</v>
      </c>
      <c r="J336">
        <f t="shared" si="36"/>
        <v>19</v>
      </c>
      <c r="K336">
        <f t="shared" si="37"/>
        <v>5</v>
      </c>
      <c r="L336" t="str">
        <f t="shared" si="38"/>
        <v>MAY</v>
      </c>
      <c r="M336">
        <f t="shared" si="39"/>
        <v>23</v>
      </c>
      <c r="N336">
        <f t="shared" si="40"/>
        <v>5</v>
      </c>
      <c r="O336" t="str">
        <f t="shared" si="35"/>
        <v>MAY</v>
      </c>
      <c r="P336" t="str">
        <f t="shared" si="41"/>
        <v>PAGO</v>
      </c>
    </row>
    <row r="337" spans="3:16" x14ac:dyDescent="0.25">
      <c r="C337" s="35">
        <f>MAIO!C26</f>
        <v>46162</v>
      </c>
      <c r="D337" s="35" t="str">
        <f>MAIO!D26</f>
        <v>RECEITAS COM SERVIÇOS</v>
      </c>
      <c r="E337" s="35" t="str">
        <f>MAIO!E26</f>
        <v>-</v>
      </c>
      <c r="F337" s="67">
        <f>MAIO!G26</f>
        <v>0</v>
      </c>
      <c r="G337" s="68">
        <f>MAIO!H26</f>
        <v>0</v>
      </c>
      <c r="H337" s="37">
        <f>MAIO!I26</f>
        <v>46166</v>
      </c>
      <c r="I337" s="34" t="str">
        <f>MAIO!O26</f>
        <v>RECEITAS</v>
      </c>
      <c r="J337">
        <f t="shared" si="36"/>
        <v>20</v>
      </c>
      <c r="K337">
        <f t="shared" si="37"/>
        <v>5</v>
      </c>
      <c r="L337" t="str">
        <f t="shared" si="38"/>
        <v>MAY</v>
      </c>
      <c r="M337">
        <f t="shared" si="39"/>
        <v>24</v>
      </c>
      <c r="N337">
        <f t="shared" si="40"/>
        <v>5</v>
      </c>
      <c r="O337" t="str">
        <f t="shared" si="35"/>
        <v>MAY</v>
      </c>
      <c r="P337" t="str">
        <f t="shared" si="41"/>
        <v>PAGO</v>
      </c>
    </row>
    <row r="338" spans="3:16" x14ac:dyDescent="0.25">
      <c r="C338" s="35">
        <f>MAIO!C27</f>
        <v>46163</v>
      </c>
      <c r="D338" s="35" t="str">
        <f>MAIO!D27</f>
        <v>RECEITAS COM SERVIÇOS</v>
      </c>
      <c r="E338" s="35" t="str">
        <f>MAIO!E27</f>
        <v>-</v>
      </c>
      <c r="F338" s="67">
        <f>MAIO!G27</f>
        <v>0</v>
      </c>
      <c r="G338" s="68">
        <f>MAIO!H27</f>
        <v>0</v>
      </c>
      <c r="H338" s="37">
        <f>MAIO!I27</f>
        <v>46167</v>
      </c>
      <c r="I338" s="34" t="str">
        <f>MAIO!O27</f>
        <v>RECEITAS</v>
      </c>
      <c r="J338">
        <f t="shared" si="36"/>
        <v>21</v>
      </c>
      <c r="K338">
        <f t="shared" si="37"/>
        <v>5</v>
      </c>
      <c r="L338" t="str">
        <f t="shared" si="38"/>
        <v>MAY</v>
      </c>
      <c r="M338">
        <f t="shared" si="39"/>
        <v>25</v>
      </c>
      <c r="N338">
        <f t="shared" si="40"/>
        <v>5</v>
      </c>
      <c r="O338" t="str">
        <f t="shared" si="35"/>
        <v>MAY</v>
      </c>
      <c r="P338" t="str">
        <f t="shared" si="41"/>
        <v>PAGO</v>
      </c>
    </row>
    <row r="339" spans="3:16" x14ac:dyDescent="0.25">
      <c r="C339" s="35">
        <f>MAIO!C28</f>
        <v>46164</v>
      </c>
      <c r="D339" s="35" t="str">
        <f>MAIO!D28</f>
        <v>RECEITAS COM SERVIÇOS</v>
      </c>
      <c r="E339" s="35" t="str">
        <f>MAIO!E28</f>
        <v>-</v>
      </c>
      <c r="F339" s="67">
        <f>MAIO!G28</f>
        <v>0</v>
      </c>
      <c r="G339" s="68">
        <f>MAIO!H28</f>
        <v>0</v>
      </c>
      <c r="H339" s="37">
        <f>MAIO!I28</f>
        <v>46168</v>
      </c>
      <c r="I339" s="34" t="str">
        <f>MAIO!O28</f>
        <v>RECEITAS</v>
      </c>
      <c r="J339">
        <f t="shared" si="36"/>
        <v>22</v>
      </c>
      <c r="K339">
        <f t="shared" si="37"/>
        <v>5</v>
      </c>
      <c r="L339" t="str">
        <f t="shared" si="38"/>
        <v>MAY</v>
      </c>
      <c r="M339">
        <f t="shared" si="39"/>
        <v>26</v>
      </c>
      <c r="N339">
        <f t="shared" si="40"/>
        <v>5</v>
      </c>
      <c r="O339" t="str">
        <f t="shared" si="35"/>
        <v>MAY</v>
      </c>
      <c r="P339" t="str">
        <f t="shared" si="41"/>
        <v>PAGO</v>
      </c>
    </row>
    <row r="340" spans="3:16" x14ac:dyDescent="0.25">
      <c r="C340" s="35">
        <f>MAIO!C29</f>
        <v>46165</v>
      </c>
      <c r="D340" s="35" t="str">
        <f>MAIO!D29</f>
        <v>RECEITAS COM SERVIÇOS</v>
      </c>
      <c r="E340" s="35" t="str">
        <f>MAIO!E29</f>
        <v>-</v>
      </c>
      <c r="F340" s="67">
        <f>MAIO!G29</f>
        <v>0</v>
      </c>
      <c r="G340" s="68">
        <f>MAIO!H29</f>
        <v>0</v>
      </c>
      <c r="H340" s="37">
        <f>MAIO!I29</f>
        <v>46169</v>
      </c>
      <c r="I340" s="34" t="str">
        <f>MAIO!O29</f>
        <v>RECEITAS</v>
      </c>
      <c r="J340">
        <f t="shared" si="36"/>
        <v>23</v>
      </c>
      <c r="K340">
        <f t="shared" si="37"/>
        <v>5</v>
      </c>
      <c r="L340" t="str">
        <f t="shared" si="38"/>
        <v>MAY</v>
      </c>
      <c r="M340">
        <f t="shared" si="39"/>
        <v>27</v>
      </c>
      <c r="N340">
        <f t="shared" si="40"/>
        <v>5</v>
      </c>
      <c r="O340" t="str">
        <f t="shared" si="35"/>
        <v>MAY</v>
      </c>
      <c r="P340" t="str">
        <f t="shared" si="41"/>
        <v>PAGO</v>
      </c>
    </row>
    <row r="341" spans="3:16" x14ac:dyDescent="0.25">
      <c r="C341" s="35">
        <f>MAIO!C30</f>
        <v>46166</v>
      </c>
      <c r="D341" s="35" t="str">
        <f>MAIO!D30</f>
        <v>RECEITAS COM SERVIÇOS</v>
      </c>
      <c r="E341" s="35" t="str">
        <f>MAIO!E30</f>
        <v>-</v>
      </c>
      <c r="F341" s="67">
        <f>MAIO!G30</f>
        <v>0</v>
      </c>
      <c r="G341" s="68">
        <f>MAIO!H30</f>
        <v>0</v>
      </c>
      <c r="H341" s="37">
        <f>MAIO!I30</f>
        <v>46170</v>
      </c>
      <c r="I341" s="34" t="str">
        <f>MAIO!O30</f>
        <v>RECEITAS</v>
      </c>
      <c r="J341">
        <f t="shared" si="36"/>
        <v>24</v>
      </c>
      <c r="K341">
        <f t="shared" si="37"/>
        <v>5</v>
      </c>
      <c r="L341" t="str">
        <f t="shared" si="38"/>
        <v>MAY</v>
      </c>
      <c r="M341">
        <f t="shared" si="39"/>
        <v>28</v>
      </c>
      <c r="N341">
        <f t="shared" si="40"/>
        <v>5</v>
      </c>
      <c r="O341" t="str">
        <f t="shared" si="35"/>
        <v>MAY</v>
      </c>
      <c r="P341" t="str">
        <f t="shared" si="41"/>
        <v>PAGO</v>
      </c>
    </row>
    <row r="342" spans="3:16" x14ac:dyDescent="0.25">
      <c r="C342" s="35">
        <f>MAIO!C31</f>
        <v>46167</v>
      </c>
      <c r="D342" s="35" t="str">
        <f>MAIO!D31</f>
        <v>RECEITAS COM SERVIÇOS</v>
      </c>
      <c r="E342" s="35" t="str">
        <f>MAIO!E31</f>
        <v>-</v>
      </c>
      <c r="F342" s="67">
        <f>MAIO!G31</f>
        <v>0</v>
      </c>
      <c r="G342" s="68">
        <f>MAIO!H31</f>
        <v>0</v>
      </c>
      <c r="H342" s="37">
        <f>MAIO!I31</f>
        <v>46171</v>
      </c>
      <c r="I342" s="34" t="str">
        <f>MAIO!O31</f>
        <v>RECEITAS</v>
      </c>
      <c r="J342">
        <f t="shared" si="36"/>
        <v>25</v>
      </c>
      <c r="K342">
        <f t="shared" si="37"/>
        <v>5</v>
      </c>
      <c r="L342" t="str">
        <f t="shared" si="38"/>
        <v>MAY</v>
      </c>
      <c r="M342">
        <f t="shared" si="39"/>
        <v>29</v>
      </c>
      <c r="N342">
        <f t="shared" si="40"/>
        <v>5</v>
      </c>
      <c r="O342" t="str">
        <f t="shared" si="35"/>
        <v>MAY</v>
      </c>
      <c r="P342" t="str">
        <f t="shared" si="41"/>
        <v>PAGO</v>
      </c>
    </row>
    <row r="343" spans="3:16" x14ac:dyDescent="0.25">
      <c r="C343" s="35">
        <f>MAIO!C32</f>
        <v>46168</v>
      </c>
      <c r="D343" s="35" t="str">
        <f>MAIO!D32</f>
        <v>RECEITAS COM SERVIÇOS</v>
      </c>
      <c r="E343" s="35" t="str">
        <f>MAIO!E32</f>
        <v>-</v>
      </c>
      <c r="F343" s="67">
        <f>MAIO!G32</f>
        <v>0</v>
      </c>
      <c r="G343" s="68">
        <f>MAIO!H32</f>
        <v>0</v>
      </c>
      <c r="H343" s="37">
        <f>MAIO!I32</f>
        <v>46172</v>
      </c>
      <c r="I343" s="34" t="str">
        <f>MAIO!O32</f>
        <v>RECEITAS</v>
      </c>
      <c r="J343">
        <f t="shared" si="36"/>
        <v>26</v>
      </c>
      <c r="K343">
        <f t="shared" si="37"/>
        <v>5</v>
      </c>
      <c r="L343" t="str">
        <f t="shared" si="38"/>
        <v>MAY</v>
      </c>
      <c r="M343">
        <f t="shared" si="39"/>
        <v>30</v>
      </c>
      <c r="N343">
        <f t="shared" si="40"/>
        <v>5</v>
      </c>
      <c r="O343" t="str">
        <f t="shared" ref="O343:O406" si="42">IFERROR(VLOOKUP(N343,$R$6:$S$17,2),"")</f>
        <v>MAY</v>
      </c>
      <c r="P343" t="str">
        <f t="shared" si="41"/>
        <v>PAGO</v>
      </c>
    </row>
    <row r="344" spans="3:16" x14ac:dyDescent="0.25">
      <c r="C344" s="35">
        <f>MAIO!C33</f>
        <v>46169</v>
      </c>
      <c r="D344" s="35" t="str">
        <f>MAIO!D33</f>
        <v>RECEITAS COM SERVIÇOS</v>
      </c>
      <c r="E344" s="35" t="str">
        <f>MAIO!E33</f>
        <v>-</v>
      </c>
      <c r="F344" s="67">
        <f>MAIO!G33</f>
        <v>0</v>
      </c>
      <c r="G344" s="68">
        <f>MAIO!H33</f>
        <v>0</v>
      </c>
      <c r="H344" s="37">
        <f>MAIO!I33</f>
        <v>46173</v>
      </c>
      <c r="I344" s="34" t="str">
        <f>MAIO!O33</f>
        <v>RECEITAS</v>
      </c>
      <c r="J344">
        <f t="shared" si="36"/>
        <v>27</v>
      </c>
      <c r="K344">
        <f t="shared" si="37"/>
        <v>5</v>
      </c>
      <c r="L344" t="str">
        <f t="shared" si="38"/>
        <v>MAY</v>
      </c>
      <c r="M344">
        <f t="shared" si="39"/>
        <v>31</v>
      </c>
      <c r="N344">
        <f t="shared" si="40"/>
        <v>5</v>
      </c>
      <c r="O344" t="str">
        <f t="shared" si="42"/>
        <v>MAY</v>
      </c>
      <c r="P344" t="str">
        <f t="shared" si="41"/>
        <v>PAGO</v>
      </c>
    </row>
    <row r="345" spans="3:16" x14ac:dyDescent="0.25">
      <c r="C345" s="35">
        <f>MAIO!C34</f>
        <v>46170</v>
      </c>
      <c r="D345" s="35" t="str">
        <f>MAIO!D34</f>
        <v>RECEITAS COM SERVIÇOS</v>
      </c>
      <c r="E345" s="35" t="str">
        <f>MAIO!E34</f>
        <v>-</v>
      </c>
      <c r="F345" s="67">
        <f>MAIO!G34</f>
        <v>0</v>
      </c>
      <c r="G345" s="68">
        <f>MAIO!H34</f>
        <v>0</v>
      </c>
      <c r="H345" s="37">
        <f>MAIO!I34</f>
        <v>46174</v>
      </c>
      <c r="I345" s="34" t="str">
        <f>MAIO!O34</f>
        <v>RECEITAS</v>
      </c>
      <c r="J345">
        <f t="shared" si="36"/>
        <v>28</v>
      </c>
      <c r="K345">
        <f t="shared" si="37"/>
        <v>5</v>
      </c>
      <c r="L345" t="str">
        <f t="shared" si="38"/>
        <v>MAY</v>
      </c>
      <c r="M345">
        <f t="shared" si="39"/>
        <v>1</v>
      </c>
      <c r="N345">
        <f t="shared" si="40"/>
        <v>6</v>
      </c>
      <c r="O345" t="str">
        <f t="shared" si="42"/>
        <v>JUN</v>
      </c>
      <c r="P345" t="str">
        <f t="shared" si="41"/>
        <v>PAGO</v>
      </c>
    </row>
    <row r="346" spans="3:16" x14ac:dyDescent="0.25">
      <c r="C346" s="35">
        <f>MAIO!C35</f>
        <v>46171</v>
      </c>
      <c r="D346" s="35" t="str">
        <f>MAIO!D35</f>
        <v>RECEITAS COM SERVIÇOS</v>
      </c>
      <c r="E346" s="35" t="str">
        <f>MAIO!E35</f>
        <v>-</v>
      </c>
      <c r="F346" s="67">
        <f>MAIO!G35</f>
        <v>0</v>
      </c>
      <c r="G346" s="68">
        <f>MAIO!H35</f>
        <v>0</v>
      </c>
      <c r="H346" s="37">
        <f>MAIO!I35</f>
        <v>46175</v>
      </c>
      <c r="I346" s="34" t="str">
        <f>MAIO!O35</f>
        <v>RECEITAS</v>
      </c>
      <c r="J346">
        <f t="shared" si="36"/>
        <v>29</v>
      </c>
      <c r="K346">
        <f t="shared" si="37"/>
        <v>5</v>
      </c>
      <c r="L346" t="str">
        <f t="shared" si="38"/>
        <v>MAY</v>
      </c>
      <c r="M346">
        <f t="shared" si="39"/>
        <v>2</v>
      </c>
      <c r="N346">
        <f t="shared" si="40"/>
        <v>6</v>
      </c>
      <c r="O346" t="str">
        <f t="shared" si="42"/>
        <v>JUN</v>
      </c>
      <c r="P346" t="str">
        <f t="shared" si="41"/>
        <v>PAGO</v>
      </c>
    </row>
    <row r="347" spans="3:16" x14ac:dyDescent="0.25">
      <c r="C347" s="35">
        <f>MAIO!C36</f>
        <v>46172</v>
      </c>
      <c r="D347" s="35" t="str">
        <f>MAIO!D36</f>
        <v>RECEITAS COM SERVIÇOS</v>
      </c>
      <c r="E347" s="35" t="str">
        <f>MAIO!E36</f>
        <v>-</v>
      </c>
      <c r="F347" s="67">
        <f>MAIO!G36</f>
        <v>0</v>
      </c>
      <c r="G347" s="68">
        <f>MAIO!H36</f>
        <v>0</v>
      </c>
      <c r="H347" s="37">
        <f>MAIO!I36</f>
        <v>46176</v>
      </c>
      <c r="I347" s="34" t="str">
        <f>MAIO!O36</f>
        <v>RECEITAS</v>
      </c>
      <c r="J347">
        <f t="shared" si="36"/>
        <v>30</v>
      </c>
      <c r="K347">
        <f t="shared" si="37"/>
        <v>5</v>
      </c>
      <c r="L347" t="str">
        <f t="shared" si="38"/>
        <v>MAY</v>
      </c>
      <c r="M347">
        <f t="shared" si="39"/>
        <v>3</v>
      </c>
      <c r="N347">
        <f t="shared" si="40"/>
        <v>6</v>
      </c>
      <c r="O347" t="str">
        <f t="shared" si="42"/>
        <v>JUN</v>
      </c>
      <c r="P347" t="str">
        <f t="shared" si="41"/>
        <v>PAGO</v>
      </c>
    </row>
    <row r="348" spans="3:16" x14ac:dyDescent="0.25">
      <c r="C348" s="35">
        <f>MAIO!C37</f>
        <v>46173</v>
      </c>
      <c r="D348" s="35" t="str">
        <f>MAIO!D37</f>
        <v>RECEITAS COM SERVIÇOS</v>
      </c>
      <c r="E348" s="35" t="str">
        <f>MAIO!E37</f>
        <v>-</v>
      </c>
      <c r="F348" s="67">
        <f>MAIO!G37</f>
        <v>0</v>
      </c>
      <c r="G348" s="68">
        <f>MAIO!H37</f>
        <v>0</v>
      </c>
      <c r="H348" s="37">
        <f>MAIO!I37</f>
        <v>46177</v>
      </c>
      <c r="I348" s="34" t="str">
        <f>MAIO!O37</f>
        <v>RECEITAS</v>
      </c>
      <c r="J348">
        <f t="shared" si="36"/>
        <v>31</v>
      </c>
      <c r="K348">
        <f t="shared" si="37"/>
        <v>5</v>
      </c>
      <c r="L348" t="str">
        <f t="shared" si="38"/>
        <v>MAY</v>
      </c>
      <c r="M348">
        <f t="shared" si="39"/>
        <v>4</v>
      </c>
      <c r="N348">
        <f t="shared" si="40"/>
        <v>6</v>
      </c>
      <c r="O348" t="str">
        <f t="shared" si="42"/>
        <v>JUN</v>
      </c>
      <c r="P348" t="str">
        <f t="shared" si="41"/>
        <v>PAGO</v>
      </c>
    </row>
    <row r="349" spans="3:16" x14ac:dyDescent="0.25">
      <c r="C349" s="35">
        <f>MAIO!C38</f>
        <v>46174</v>
      </c>
      <c r="D349" s="35" t="str">
        <f>MAIO!D38</f>
        <v>RECEITAS COM SERVIÇOS</v>
      </c>
      <c r="E349" s="35" t="str">
        <f>MAIO!E38</f>
        <v>-</v>
      </c>
      <c r="F349" s="67">
        <f>MAIO!G38</f>
        <v>0</v>
      </c>
      <c r="G349" s="68">
        <f>MAIO!H38</f>
        <v>0</v>
      </c>
      <c r="H349" s="37">
        <f>MAIO!I38</f>
        <v>46178</v>
      </c>
      <c r="I349" s="34" t="str">
        <f>MAIO!O38</f>
        <v>RECEITAS</v>
      </c>
      <c r="J349">
        <f t="shared" si="36"/>
        <v>1</v>
      </c>
      <c r="K349">
        <f t="shared" si="37"/>
        <v>6</v>
      </c>
      <c r="L349" t="str">
        <f t="shared" si="38"/>
        <v>JUN</v>
      </c>
      <c r="M349">
        <f t="shared" si="39"/>
        <v>5</v>
      </c>
      <c r="N349">
        <f t="shared" si="40"/>
        <v>6</v>
      </c>
      <c r="O349" t="str">
        <f t="shared" si="42"/>
        <v>JUN</v>
      </c>
      <c r="P349" t="str">
        <f t="shared" si="41"/>
        <v>PAGO</v>
      </c>
    </row>
    <row r="350" spans="3:16" x14ac:dyDescent="0.25">
      <c r="C350" s="35">
        <f>MAIO!C39</f>
        <v>46175</v>
      </c>
      <c r="D350" s="35" t="str">
        <f>MAIO!D39</f>
        <v>RECEITAS COM SERVIÇOS</v>
      </c>
      <c r="E350" s="35" t="str">
        <f>MAIO!E39</f>
        <v>-</v>
      </c>
      <c r="F350" s="67">
        <f>MAIO!G39</f>
        <v>0</v>
      </c>
      <c r="G350" s="68">
        <f>MAIO!H39</f>
        <v>0</v>
      </c>
      <c r="H350" s="37">
        <f>MAIO!I39</f>
        <v>46179</v>
      </c>
      <c r="I350" s="34" t="str">
        <f>MAIO!O39</f>
        <v>RECEITAS</v>
      </c>
      <c r="J350">
        <f t="shared" si="36"/>
        <v>2</v>
      </c>
      <c r="K350">
        <f t="shared" si="37"/>
        <v>6</v>
      </c>
      <c r="L350" t="str">
        <f t="shared" si="38"/>
        <v>JUN</v>
      </c>
      <c r="M350">
        <f t="shared" si="39"/>
        <v>6</v>
      </c>
      <c r="N350">
        <f t="shared" si="40"/>
        <v>6</v>
      </c>
      <c r="O350" t="str">
        <f t="shared" si="42"/>
        <v>JUN</v>
      </c>
      <c r="P350" t="str">
        <f t="shared" si="41"/>
        <v>PAGO</v>
      </c>
    </row>
    <row r="351" spans="3:16" x14ac:dyDescent="0.25">
      <c r="C351" s="35">
        <f>MAIO!C40</f>
        <v>46176</v>
      </c>
      <c r="D351" s="35" t="str">
        <f>MAIO!D40</f>
        <v>RECEITAS COM SERVIÇOS</v>
      </c>
      <c r="E351" s="35" t="str">
        <f>MAIO!E40</f>
        <v>-</v>
      </c>
      <c r="F351" s="67">
        <f>MAIO!G40</f>
        <v>0</v>
      </c>
      <c r="G351" s="68">
        <f>MAIO!H40</f>
        <v>0</v>
      </c>
      <c r="H351" s="37">
        <f>MAIO!I40</f>
        <v>46180</v>
      </c>
      <c r="I351" s="34" t="str">
        <f>MAIO!O40</f>
        <v>RECEITAS</v>
      </c>
      <c r="J351">
        <f t="shared" si="36"/>
        <v>3</v>
      </c>
      <c r="K351">
        <f t="shared" si="37"/>
        <v>6</v>
      </c>
      <c r="L351" t="str">
        <f t="shared" si="38"/>
        <v>JUN</v>
      </c>
      <c r="M351">
        <f t="shared" si="39"/>
        <v>7</v>
      </c>
      <c r="N351">
        <f t="shared" si="40"/>
        <v>6</v>
      </c>
      <c r="O351" t="str">
        <f t="shared" si="42"/>
        <v>JUN</v>
      </c>
      <c r="P351" t="str">
        <f t="shared" si="41"/>
        <v>PAGO</v>
      </c>
    </row>
    <row r="352" spans="3:16" x14ac:dyDescent="0.25">
      <c r="C352" s="35">
        <f>MAIO!C41</f>
        <v>46177</v>
      </c>
      <c r="D352" s="35" t="str">
        <f>MAIO!D41</f>
        <v>RECEITAS COM SERVIÇOS</v>
      </c>
      <c r="E352" s="35" t="str">
        <f>MAIO!E41</f>
        <v>-</v>
      </c>
      <c r="F352" s="67">
        <f>MAIO!G41</f>
        <v>0</v>
      </c>
      <c r="G352" s="68">
        <f>MAIO!H41</f>
        <v>0</v>
      </c>
      <c r="H352" s="37">
        <f>MAIO!I41</f>
        <v>46181</v>
      </c>
      <c r="I352" s="34" t="str">
        <f>MAIO!O41</f>
        <v>RECEITAS</v>
      </c>
      <c r="J352">
        <f t="shared" si="36"/>
        <v>4</v>
      </c>
      <c r="K352">
        <f t="shared" si="37"/>
        <v>6</v>
      </c>
      <c r="L352" t="str">
        <f t="shared" si="38"/>
        <v>JUN</v>
      </c>
      <c r="M352">
        <f t="shared" si="39"/>
        <v>8</v>
      </c>
      <c r="N352">
        <f t="shared" si="40"/>
        <v>6</v>
      </c>
      <c r="O352" t="str">
        <f t="shared" si="42"/>
        <v>JUN</v>
      </c>
      <c r="P352" t="str">
        <f t="shared" si="41"/>
        <v>PAGO</v>
      </c>
    </row>
    <row r="353" spans="3:16" x14ac:dyDescent="0.25">
      <c r="C353" s="35">
        <f>MAIO!C42</f>
        <v>46178</v>
      </c>
      <c r="D353" s="35" t="str">
        <f>MAIO!D42</f>
        <v>RECEITAS COM SERVIÇOS</v>
      </c>
      <c r="E353" s="35" t="str">
        <f>MAIO!E42</f>
        <v>-</v>
      </c>
      <c r="F353" s="67">
        <f>MAIO!G42</f>
        <v>0</v>
      </c>
      <c r="G353" s="68">
        <f>MAIO!H42</f>
        <v>0</v>
      </c>
      <c r="H353" s="37">
        <f>MAIO!I42</f>
        <v>46182</v>
      </c>
      <c r="I353" s="34" t="str">
        <f>MAIO!O42</f>
        <v>RECEITAS</v>
      </c>
      <c r="J353">
        <f t="shared" si="36"/>
        <v>5</v>
      </c>
      <c r="K353">
        <f t="shared" si="37"/>
        <v>6</v>
      </c>
      <c r="L353" t="str">
        <f t="shared" si="38"/>
        <v>JUN</v>
      </c>
      <c r="M353">
        <f t="shared" si="39"/>
        <v>9</v>
      </c>
      <c r="N353">
        <f t="shared" si="40"/>
        <v>6</v>
      </c>
      <c r="O353" t="str">
        <f t="shared" si="42"/>
        <v>JUN</v>
      </c>
      <c r="P353" t="str">
        <f t="shared" si="41"/>
        <v>PAGO</v>
      </c>
    </row>
    <row r="354" spans="3:16" x14ac:dyDescent="0.25">
      <c r="C354" s="35">
        <f>MAIO!C43</f>
        <v>46179</v>
      </c>
      <c r="D354" s="35" t="str">
        <f>MAIO!D43</f>
        <v>RECEITAS COM SERVIÇOS</v>
      </c>
      <c r="E354" s="35" t="str">
        <f>MAIO!E43</f>
        <v>-</v>
      </c>
      <c r="F354" s="67">
        <f>MAIO!G43</f>
        <v>0</v>
      </c>
      <c r="G354" s="68">
        <f>MAIO!H43</f>
        <v>0</v>
      </c>
      <c r="H354" s="37">
        <f>MAIO!I43</f>
        <v>46183</v>
      </c>
      <c r="I354" s="34" t="str">
        <f>MAIO!O43</f>
        <v>RECEITAS</v>
      </c>
      <c r="J354">
        <f t="shared" si="36"/>
        <v>6</v>
      </c>
      <c r="K354">
        <f t="shared" si="37"/>
        <v>6</v>
      </c>
      <c r="L354" t="str">
        <f t="shared" si="38"/>
        <v>JUN</v>
      </c>
      <c r="M354">
        <f t="shared" si="39"/>
        <v>10</v>
      </c>
      <c r="N354">
        <f t="shared" si="40"/>
        <v>6</v>
      </c>
      <c r="O354" t="str">
        <f t="shared" si="42"/>
        <v>JUN</v>
      </c>
      <c r="P354" t="str">
        <f t="shared" si="41"/>
        <v>PAGO</v>
      </c>
    </row>
    <row r="355" spans="3:16" x14ac:dyDescent="0.25">
      <c r="C355" s="35">
        <f>MAIO!C44</f>
        <v>46180</v>
      </c>
      <c r="D355" s="35" t="str">
        <f>MAIO!D44</f>
        <v>RECEITAS COM SERVIÇOS</v>
      </c>
      <c r="E355" s="35" t="str">
        <f>MAIO!E44</f>
        <v>-</v>
      </c>
      <c r="F355" s="67">
        <f>MAIO!G44</f>
        <v>0</v>
      </c>
      <c r="G355" s="68">
        <f>MAIO!H44</f>
        <v>0</v>
      </c>
      <c r="H355" s="37">
        <f>MAIO!I44</f>
        <v>46184</v>
      </c>
      <c r="I355" s="34" t="str">
        <f>MAIO!O44</f>
        <v>RECEITAS</v>
      </c>
      <c r="J355">
        <f t="shared" si="36"/>
        <v>7</v>
      </c>
      <c r="K355">
        <f t="shared" si="37"/>
        <v>6</v>
      </c>
      <c r="L355" t="str">
        <f t="shared" si="38"/>
        <v>JUN</v>
      </c>
      <c r="M355">
        <f t="shared" si="39"/>
        <v>11</v>
      </c>
      <c r="N355">
        <f t="shared" si="40"/>
        <v>6</v>
      </c>
      <c r="O355" t="str">
        <f t="shared" si="42"/>
        <v>JUN</v>
      </c>
      <c r="P355" t="str">
        <f t="shared" si="41"/>
        <v>PAGO</v>
      </c>
    </row>
    <row r="356" spans="3:16" x14ac:dyDescent="0.25">
      <c r="C356" s="35">
        <f>MAIO!C45</f>
        <v>46181</v>
      </c>
      <c r="D356" s="35" t="str">
        <f>MAIO!D45</f>
        <v>RECEITAS COM SERVIÇOS</v>
      </c>
      <c r="E356" s="35" t="str">
        <f>MAIO!E45</f>
        <v>-</v>
      </c>
      <c r="F356" s="67">
        <f>MAIO!G45</f>
        <v>0</v>
      </c>
      <c r="G356" s="68">
        <f>MAIO!H45</f>
        <v>0</v>
      </c>
      <c r="H356" s="37">
        <f>MAIO!I45</f>
        <v>46185</v>
      </c>
      <c r="I356" s="34" t="str">
        <f>MAIO!O45</f>
        <v>RECEITAS</v>
      </c>
      <c r="J356">
        <f t="shared" si="36"/>
        <v>8</v>
      </c>
      <c r="K356">
        <f t="shared" si="37"/>
        <v>6</v>
      </c>
      <c r="L356" t="str">
        <f t="shared" si="38"/>
        <v>JUN</v>
      </c>
      <c r="M356">
        <f t="shared" si="39"/>
        <v>12</v>
      </c>
      <c r="N356">
        <f t="shared" si="40"/>
        <v>6</v>
      </c>
      <c r="O356" t="str">
        <f t="shared" si="42"/>
        <v>JUN</v>
      </c>
      <c r="P356" t="str">
        <f t="shared" si="41"/>
        <v>PAGO</v>
      </c>
    </row>
    <row r="357" spans="3:16" x14ac:dyDescent="0.25">
      <c r="C357" s="35">
        <f>MAIO!C46</f>
        <v>46182</v>
      </c>
      <c r="D357" s="35" t="str">
        <f>MAIO!D46</f>
        <v>RECEITAS COM SERVIÇOS</v>
      </c>
      <c r="E357" s="35" t="str">
        <f>MAIO!E46</f>
        <v>-</v>
      </c>
      <c r="F357" s="67">
        <f>MAIO!G46</f>
        <v>0</v>
      </c>
      <c r="G357" s="68">
        <f>MAIO!H46</f>
        <v>0</v>
      </c>
      <c r="H357" s="37">
        <f>MAIO!I46</f>
        <v>46186</v>
      </c>
      <c r="I357" s="34" t="str">
        <f>MAIO!O46</f>
        <v>RECEITAS</v>
      </c>
      <c r="J357">
        <f t="shared" si="36"/>
        <v>9</v>
      </c>
      <c r="K357">
        <f t="shared" si="37"/>
        <v>6</v>
      </c>
      <c r="L357" t="str">
        <f t="shared" si="38"/>
        <v>JUN</v>
      </c>
      <c r="M357">
        <f t="shared" si="39"/>
        <v>13</v>
      </c>
      <c r="N357">
        <f t="shared" si="40"/>
        <v>6</v>
      </c>
      <c r="O357" t="str">
        <f t="shared" si="42"/>
        <v>JUN</v>
      </c>
      <c r="P357" t="str">
        <f t="shared" si="41"/>
        <v>PAGO</v>
      </c>
    </row>
    <row r="358" spans="3:16" x14ac:dyDescent="0.25">
      <c r="C358" s="35">
        <f>MAIO!C47</f>
        <v>46183</v>
      </c>
      <c r="D358" s="35" t="str">
        <f>MAIO!D47</f>
        <v>RECEITAS COM SERVIÇOS</v>
      </c>
      <c r="E358" s="35" t="str">
        <f>MAIO!E47</f>
        <v>-</v>
      </c>
      <c r="F358" s="67">
        <f>MAIO!G47</f>
        <v>0</v>
      </c>
      <c r="G358" s="68">
        <f>MAIO!H47</f>
        <v>0</v>
      </c>
      <c r="H358" s="37">
        <f>MAIO!I47</f>
        <v>46187</v>
      </c>
      <c r="I358" s="34" t="str">
        <f>MAIO!O47</f>
        <v>RECEITAS</v>
      </c>
      <c r="J358">
        <f t="shared" si="36"/>
        <v>10</v>
      </c>
      <c r="K358">
        <f t="shared" si="37"/>
        <v>6</v>
      </c>
      <c r="L358" t="str">
        <f t="shared" si="38"/>
        <v>JUN</v>
      </c>
      <c r="M358">
        <f t="shared" si="39"/>
        <v>14</v>
      </c>
      <c r="N358">
        <f t="shared" si="40"/>
        <v>6</v>
      </c>
      <c r="O358" t="str">
        <f t="shared" si="42"/>
        <v>JUN</v>
      </c>
      <c r="P358" t="str">
        <f t="shared" si="41"/>
        <v>PAGO</v>
      </c>
    </row>
    <row r="359" spans="3:16" x14ac:dyDescent="0.25">
      <c r="C359" s="35">
        <f>MAIO!C48</f>
        <v>46184</v>
      </c>
      <c r="D359" s="35" t="str">
        <f>MAIO!D48</f>
        <v>RECEITAS COM SERVIÇOS</v>
      </c>
      <c r="E359" s="35" t="str">
        <f>MAIO!E48</f>
        <v>-</v>
      </c>
      <c r="F359" s="67">
        <f>MAIO!G48</f>
        <v>0</v>
      </c>
      <c r="G359" s="68">
        <f>MAIO!H48</f>
        <v>0</v>
      </c>
      <c r="H359" s="37">
        <f>MAIO!I48</f>
        <v>46188</v>
      </c>
      <c r="I359" s="34" t="str">
        <f>MAIO!O48</f>
        <v>RECEITAS</v>
      </c>
      <c r="J359">
        <f t="shared" si="36"/>
        <v>11</v>
      </c>
      <c r="K359">
        <f t="shared" si="37"/>
        <v>6</v>
      </c>
      <c r="L359" t="str">
        <f t="shared" si="38"/>
        <v>JUN</v>
      </c>
      <c r="M359">
        <f t="shared" si="39"/>
        <v>15</v>
      </c>
      <c r="N359">
        <f t="shared" si="40"/>
        <v>6</v>
      </c>
      <c r="O359" t="str">
        <f t="shared" si="42"/>
        <v>JUN</v>
      </c>
      <c r="P359" t="str">
        <f t="shared" si="41"/>
        <v>PAGO</v>
      </c>
    </row>
    <row r="360" spans="3:16" x14ac:dyDescent="0.25">
      <c r="C360" s="35">
        <f>MAIO!C49</f>
        <v>46185</v>
      </c>
      <c r="D360" s="35" t="str">
        <f>MAIO!D49</f>
        <v>RECEITAS COM SERVIÇOS</v>
      </c>
      <c r="E360" s="35" t="str">
        <f>MAIO!E49</f>
        <v>-</v>
      </c>
      <c r="F360" s="67">
        <f>MAIO!G49</f>
        <v>0</v>
      </c>
      <c r="G360" s="68">
        <f>MAIO!H49</f>
        <v>0</v>
      </c>
      <c r="H360" s="37">
        <f>MAIO!I49</f>
        <v>46189</v>
      </c>
      <c r="I360" s="34" t="str">
        <f>MAIO!O49</f>
        <v>RECEITAS</v>
      </c>
      <c r="J360">
        <f t="shared" si="36"/>
        <v>12</v>
      </c>
      <c r="K360">
        <f t="shared" si="37"/>
        <v>6</v>
      </c>
      <c r="L360" t="str">
        <f t="shared" si="38"/>
        <v>JUN</v>
      </c>
      <c r="M360">
        <f t="shared" si="39"/>
        <v>16</v>
      </c>
      <c r="N360">
        <f t="shared" si="40"/>
        <v>6</v>
      </c>
      <c r="O360" t="str">
        <f t="shared" si="42"/>
        <v>JUN</v>
      </c>
      <c r="P360" t="str">
        <f t="shared" si="41"/>
        <v>PAGO</v>
      </c>
    </row>
    <row r="361" spans="3:16" x14ac:dyDescent="0.25">
      <c r="C361" s="35">
        <f>MAIO!C50</f>
        <v>46186</v>
      </c>
      <c r="D361" s="35" t="str">
        <f>MAIO!D50</f>
        <v>RECEITAS COM SERVIÇOS</v>
      </c>
      <c r="E361" s="35" t="str">
        <f>MAIO!E50</f>
        <v>-</v>
      </c>
      <c r="F361" s="67">
        <f>MAIO!G50</f>
        <v>0</v>
      </c>
      <c r="G361" s="68">
        <f>MAIO!H50</f>
        <v>0</v>
      </c>
      <c r="H361" s="37">
        <f>MAIO!I50</f>
        <v>46190</v>
      </c>
      <c r="I361" s="34" t="str">
        <f>MAIO!O50</f>
        <v>RECEITAS</v>
      </c>
      <c r="J361">
        <f t="shared" si="36"/>
        <v>13</v>
      </c>
      <c r="K361">
        <f t="shared" si="37"/>
        <v>6</v>
      </c>
      <c r="L361" t="str">
        <f t="shared" si="38"/>
        <v>JUN</v>
      </c>
      <c r="M361">
        <f t="shared" si="39"/>
        <v>17</v>
      </c>
      <c r="N361">
        <f t="shared" si="40"/>
        <v>6</v>
      </c>
      <c r="O361" t="str">
        <f t="shared" si="42"/>
        <v>JUN</v>
      </c>
      <c r="P361" t="str">
        <f t="shared" si="41"/>
        <v>PAGO</v>
      </c>
    </row>
    <row r="362" spans="3:16" x14ac:dyDescent="0.25">
      <c r="C362" s="35">
        <f>MAIO!C51</f>
        <v>46187</v>
      </c>
      <c r="D362" s="35" t="str">
        <f>MAIO!D51</f>
        <v>RECEITAS COM SERVIÇOS</v>
      </c>
      <c r="E362" s="35" t="str">
        <f>MAIO!E51</f>
        <v>-</v>
      </c>
      <c r="F362" s="67">
        <f>MAIO!G51</f>
        <v>0</v>
      </c>
      <c r="G362" s="68">
        <f>MAIO!H51</f>
        <v>0</v>
      </c>
      <c r="H362" s="37">
        <f>MAIO!I51</f>
        <v>46191</v>
      </c>
      <c r="I362" s="34" t="str">
        <f>MAIO!O51</f>
        <v>RECEITAS</v>
      </c>
      <c r="J362">
        <f t="shared" si="36"/>
        <v>14</v>
      </c>
      <c r="K362">
        <f t="shared" si="37"/>
        <v>6</v>
      </c>
      <c r="L362" t="str">
        <f t="shared" si="38"/>
        <v>JUN</v>
      </c>
      <c r="M362">
        <f t="shared" si="39"/>
        <v>18</v>
      </c>
      <c r="N362">
        <f t="shared" si="40"/>
        <v>6</v>
      </c>
      <c r="O362" t="str">
        <f t="shared" si="42"/>
        <v>JUN</v>
      </c>
      <c r="P362" t="str">
        <f t="shared" si="41"/>
        <v>PAGO</v>
      </c>
    </row>
    <row r="363" spans="3:16" x14ac:dyDescent="0.25">
      <c r="C363" s="35">
        <f>MAIO!C52</f>
        <v>46188</v>
      </c>
      <c r="D363" s="35" t="str">
        <f>MAIO!D52</f>
        <v>RECEITAS COM SERVIÇOS</v>
      </c>
      <c r="E363" s="35" t="str">
        <f>MAIO!E52</f>
        <v>-</v>
      </c>
      <c r="F363" s="67">
        <f>MAIO!G52</f>
        <v>0</v>
      </c>
      <c r="G363" s="68">
        <f>MAIO!H52</f>
        <v>0</v>
      </c>
      <c r="H363" s="37">
        <f>MAIO!I52</f>
        <v>46192</v>
      </c>
      <c r="I363" s="34" t="str">
        <f>MAIO!O52</f>
        <v>RECEITAS</v>
      </c>
      <c r="J363">
        <f t="shared" si="36"/>
        <v>15</v>
      </c>
      <c r="K363">
        <f t="shared" si="37"/>
        <v>6</v>
      </c>
      <c r="L363" t="str">
        <f t="shared" si="38"/>
        <v>JUN</v>
      </c>
      <c r="M363">
        <f t="shared" si="39"/>
        <v>19</v>
      </c>
      <c r="N363">
        <f t="shared" si="40"/>
        <v>6</v>
      </c>
      <c r="O363" t="str">
        <f t="shared" si="42"/>
        <v>JUN</v>
      </c>
      <c r="P363" t="str">
        <f t="shared" si="41"/>
        <v>PAGO</v>
      </c>
    </row>
    <row r="364" spans="3:16" x14ac:dyDescent="0.25">
      <c r="C364" s="35">
        <f>MAIO!C53</f>
        <v>46189</v>
      </c>
      <c r="D364" s="35" t="str">
        <f>MAIO!D53</f>
        <v>RECEITAS COM SERVIÇOS</v>
      </c>
      <c r="E364" s="35" t="str">
        <f>MAIO!E53</f>
        <v>-</v>
      </c>
      <c r="F364" s="67">
        <f>MAIO!G53</f>
        <v>0</v>
      </c>
      <c r="G364" s="68">
        <f>MAIO!H53</f>
        <v>0</v>
      </c>
      <c r="H364" s="37">
        <f>MAIO!I53</f>
        <v>46193</v>
      </c>
      <c r="I364" s="34" t="str">
        <f>MAIO!O53</f>
        <v>RECEITAS</v>
      </c>
      <c r="J364">
        <f t="shared" si="36"/>
        <v>16</v>
      </c>
      <c r="K364">
        <f t="shared" si="37"/>
        <v>6</v>
      </c>
      <c r="L364" t="str">
        <f t="shared" si="38"/>
        <v>JUN</v>
      </c>
      <c r="M364">
        <f t="shared" si="39"/>
        <v>20</v>
      </c>
      <c r="N364">
        <f t="shared" si="40"/>
        <v>6</v>
      </c>
      <c r="O364" t="str">
        <f t="shared" si="42"/>
        <v>JUN</v>
      </c>
      <c r="P364" t="str">
        <f t="shared" si="41"/>
        <v>PAGO</v>
      </c>
    </row>
    <row r="365" spans="3:16" x14ac:dyDescent="0.25">
      <c r="C365" s="35">
        <f>MAIO!C54</f>
        <v>46190</v>
      </c>
      <c r="D365" s="35" t="str">
        <f>MAIO!D54</f>
        <v>RECEITAS COM SERVIÇOS</v>
      </c>
      <c r="E365" s="35" t="str">
        <f>MAIO!E54</f>
        <v>-</v>
      </c>
      <c r="F365" s="67">
        <f>MAIO!G54</f>
        <v>0</v>
      </c>
      <c r="G365" s="68">
        <f>MAIO!H54</f>
        <v>0</v>
      </c>
      <c r="H365" s="37">
        <f>MAIO!I54</f>
        <v>46194</v>
      </c>
      <c r="I365" s="34" t="str">
        <f>MAIO!O54</f>
        <v>RECEITAS</v>
      </c>
      <c r="J365">
        <f t="shared" si="36"/>
        <v>17</v>
      </c>
      <c r="K365">
        <f t="shared" si="37"/>
        <v>6</v>
      </c>
      <c r="L365" t="str">
        <f t="shared" si="38"/>
        <v>JUN</v>
      </c>
      <c r="M365">
        <f t="shared" si="39"/>
        <v>21</v>
      </c>
      <c r="N365">
        <f t="shared" si="40"/>
        <v>6</v>
      </c>
      <c r="O365" t="str">
        <f t="shared" si="42"/>
        <v>JUN</v>
      </c>
      <c r="P365" t="str">
        <f t="shared" si="41"/>
        <v>PAGO</v>
      </c>
    </row>
    <row r="366" spans="3:16" x14ac:dyDescent="0.25">
      <c r="C366" s="35">
        <f>MAIO!C55</f>
        <v>46191</v>
      </c>
      <c r="D366" s="35" t="str">
        <f>MAIO!D55</f>
        <v>RECEITAS COM SERVIÇOS</v>
      </c>
      <c r="E366" s="35" t="str">
        <f>MAIO!E55</f>
        <v>-</v>
      </c>
      <c r="F366" s="67">
        <f>MAIO!G55</f>
        <v>0</v>
      </c>
      <c r="G366" s="68">
        <f>MAIO!H55</f>
        <v>0</v>
      </c>
      <c r="H366" s="37">
        <f>MAIO!I55</f>
        <v>46195</v>
      </c>
      <c r="I366" s="34" t="str">
        <f>MAIO!O55</f>
        <v>RECEITAS</v>
      </c>
      <c r="J366">
        <f t="shared" si="36"/>
        <v>18</v>
      </c>
      <c r="K366">
        <f t="shared" si="37"/>
        <v>6</v>
      </c>
      <c r="L366" t="str">
        <f t="shared" si="38"/>
        <v>JUN</v>
      </c>
      <c r="M366">
        <f t="shared" si="39"/>
        <v>22</v>
      </c>
      <c r="N366">
        <f t="shared" si="40"/>
        <v>6</v>
      </c>
      <c r="O366" t="str">
        <f t="shared" si="42"/>
        <v>JUN</v>
      </c>
      <c r="P366" t="str">
        <f t="shared" si="41"/>
        <v>PAGO</v>
      </c>
    </row>
    <row r="367" spans="3:16" x14ac:dyDescent="0.25">
      <c r="C367" s="35">
        <f>MAIO!C56</f>
        <v>46192</v>
      </c>
      <c r="D367" s="35" t="str">
        <f>MAIO!D56</f>
        <v>RECEITAS COM SERVIÇOS</v>
      </c>
      <c r="E367" s="35" t="str">
        <f>MAIO!E56</f>
        <v>-</v>
      </c>
      <c r="F367" s="67">
        <f>MAIO!G56</f>
        <v>0</v>
      </c>
      <c r="G367" s="68">
        <f>MAIO!H56</f>
        <v>0</v>
      </c>
      <c r="H367" s="37">
        <f>MAIO!I56</f>
        <v>46196</v>
      </c>
      <c r="I367" s="34" t="str">
        <f>MAIO!O56</f>
        <v>RECEITAS</v>
      </c>
      <c r="J367">
        <f t="shared" si="36"/>
        <v>19</v>
      </c>
      <c r="K367">
        <f t="shared" si="37"/>
        <v>6</v>
      </c>
      <c r="L367" t="str">
        <f t="shared" si="38"/>
        <v>JUN</v>
      </c>
      <c r="M367">
        <f t="shared" si="39"/>
        <v>23</v>
      </c>
      <c r="N367">
        <f t="shared" si="40"/>
        <v>6</v>
      </c>
      <c r="O367" t="str">
        <f t="shared" si="42"/>
        <v>JUN</v>
      </c>
      <c r="P367" t="str">
        <f t="shared" si="41"/>
        <v>PAGO</v>
      </c>
    </row>
    <row r="368" spans="3:16" x14ac:dyDescent="0.25">
      <c r="C368" s="35">
        <f>MAIO!C57</f>
        <v>46193</v>
      </c>
      <c r="D368" s="35" t="str">
        <f>MAIO!D57</f>
        <v>RECEITAS COM SERVIÇOS</v>
      </c>
      <c r="E368" s="35" t="str">
        <f>MAIO!E57</f>
        <v>-</v>
      </c>
      <c r="F368" s="67">
        <f>MAIO!G57</f>
        <v>0</v>
      </c>
      <c r="G368" s="68">
        <f>MAIO!H57</f>
        <v>0</v>
      </c>
      <c r="H368" s="37">
        <f>MAIO!I57</f>
        <v>46197</v>
      </c>
      <c r="I368" s="34" t="str">
        <f>MAIO!O57</f>
        <v>RECEITAS</v>
      </c>
      <c r="J368">
        <f t="shared" si="36"/>
        <v>20</v>
      </c>
      <c r="K368">
        <f t="shared" si="37"/>
        <v>6</v>
      </c>
      <c r="L368" t="str">
        <f t="shared" si="38"/>
        <v>JUN</v>
      </c>
      <c r="M368">
        <f t="shared" si="39"/>
        <v>24</v>
      </c>
      <c r="N368">
        <f t="shared" si="40"/>
        <v>6</v>
      </c>
      <c r="O368" t="str">
        <f t="shared" si="42"/>
        <v>JUN</v>
      </c>
      <c r="P368" t="str">
        <f t="shared" si="41"/>
        <v>PAGO</v>
      </c>
    </row>
    <row r="369" spans="3:16" x14ac:dyDescent="0.25">
      <c r="C369" s="35">
        <f>MAIO!C58</f>
        <v>46194</v>
      </c>
      <c r="D369" s="35" t="str">
        <f>MAIO!D58</f>
        <v>RECEITAS COM SERVIÇOS</v>
      </c>
      <c r="E369" s="35" t="str">
        <f>MAIO!E58</f>
        <v>-</v>
      </c>
      <c r="F369" s="67">
        <f>MAIO!G58</f>
        <v>0</v>
      </c>
      <c r="G369" s="68">
        <f>MAIO!H58</f>
        <v>0</v>
      </c>
      <c r="H369" s="37">
        <f>MAIO!I58</f>
        <v>46198</v>
      </c>
      <c r="I369" s="34" t="str">
        <f>MAIO!O58</f>
        <v>RECEITAS</v>
      </c>
      <c r="J369">
        <f t="shared" si="36"/>
        <v>21</v>
      </c>
      <c r="K369">
        <f t="shared" si="37"/>
        <v>6</v>
      </c>
      <c r="L369" t="str">
        <f t="shared" si="38"/>
        <v>JUN</v>
      </c>
      <c r="M369">
        <f t="shared" si="39"/>
        <v>25</v>
      </c>
      <c r="N369">
        <f t="shared" si="40"/>
        <v>6</v>
      </c>
      <c r="O369" t="str">
        <f t="shared" si="42"/>
        <v>JUN</v>
      </c>
      <c r="P369" t="str">
        <f t="shared" si="41"/>
        <v>PAGO</v>
      </c>
    </row>
    <row r="370" spans="3:16" x14ac:dyDescent="0.25">
      <c r="C370" s="35">
        <f>MAIO!C59</f>
        <v>46195</v>
      </c>
      <c r="D370" s="35" t="str">
        <f>MAIO!D59</f>
        <v>RECEITAS COM SERVIÇOS</v>
      </c>
      <c r="E370" s="35" t="str">
        <f>MAIO!E59</f>
        <v>-</v>
      </c>
      <c r="F370" s="67">
        <f>MAIO!G59</f>
        <v>0</v>
      </c>
      <c r="G370" s="68">
        <f>MAIO!H59</f>
        <v>0</v>
      </c>
      <c r="H370" s="37">
        <f>MAIO!I59</f>
        <v>46199</v>
      </c>
      <c r="I370" s="34" t="str">
        <f>MAIO!O59</f>
        <v>RECEITAS</v>
      </c>
      <c r="J370">
        <f t="shared" si="36"/>
        <v>22</v>
      </c>
      <c r="K370">
        <f t="shared" si="37"/>
        <v>6</v>
      </c>
      <c r="L370" t="str">
        <f t="shared" si="38"/>
        <v>JUN</v>
      </c>
      <c r="M370">
        <f t="shared" si="39"/>
        <v>26</v>
      </c>
      <c r="N370">
        <f t="shared" si="40"/>
        <v>6</v>
      </c>
      <c r="O370" t="str">
        <f t="shared" si="42"/>
        <v>JUN</v>
      </c>
      <c r="P370" t="str">
        <f t="shared" si="41"/>
        <v>PAGO</v>
      </c>
    </row>
    <row r="371" spans="3:16" x14ac:dyDescent="0.25">
      <c r="C371" s="35">
        <f>MAIO!C60</f>
        <v>46196</v>
      </c>
      <c r="D371" s="35" t="str">
        <f>MAIO!D60</f>
        <v>RECEITAS COM SERVIÇOS</v>
      </c>
      <c r="E371" s="35" t="str">
        <f>MAIO!E60</f>
        <v>-</v>
      </c>
      <c r="F371" s="67">
        <f>MAIO!G60</f>
        <v>0</v>
      </c>
      <c r="G371" s="68">
        <f>MAIO!H60</f>
        <v>0</v>
      </c>
      <c r="H371" s="37">
        <f>MAIO!I60</f>
        <v>46200</v>
      </c>
      <c r="I371" s="34" t="str">
        <f>MAIO!O60</f>
        <v>RECEITAS</v>
      </c>
      <c r="J371">
        <f t="shared" si="36"/>
        <v>23</v>
      </c>
      <c r="K371">
        <f t="shared" si="37"/>
        <v>6</v>
      </c>
      <c r="L371" t="str">
        <f t="shared" si="38"/>
        <v>JUN</v>
      </c>
      <c r="M371">
        <f t="shared" si="39"/>
        <v>27</v>
      </c>
      <c r="N371">
        <f t="shared" si="40"/>
        <v>6</v>
      </c>
      <c r="O371" t="str">
        <f t="shared" si="42"/>
        <v>JUN</v>
      </c>
      <c r="P371" t="str">
        <f t="shared" si="41"/>
        <v>PAGO</v>
      </c>
    </row>
    <row r="372" spans="3:16" x14ac:dyDescent="0.25">
      <c r="C372" s="35">
        <f>MAIO!C61</f>
        <v>46197</v>
      </c>
      <c r="D372" s="35" t="str">
        <f>MAIO!D61</f>
        <v>RECEITAS COM SERVIÇOS</v>
      </c>
      <c r="E372" s="35" t="str">
        <f>MAIO!E61</f>
        <v>-</v>
      </c>
      <c r="F372" s="67">
        <f>MAIO!G61</f>
        <v>0</v>
      </c>
      <c r="G372" s="68">
        <f>MAIO!H61</f>
        <v>0</v>
      </c>
      <c r="H372" s="37">
        <f>MAIO!I61</f>
        <v>46201</v>
      </c>
      <c r="I372" s="34" t="str">
        <f>MAIO!O61</f>
        <v>RECEITAS</v>
      </c>
      <c r="J372">
        <f t="shared" si="36"/>
        <v>24</v>
      </c>
      <c r="K372">
        <f t="shared" si="37"/>
        <v>6</v>
      </c>
      <c r="L372" t="str">
        <f t="shared" si="38"/>
        <v>JUN</v>
      </c>
      <c r="M372">
        <f t="shared" si="39"/>
        <v>28</v>
      </c>
      <c r="N372">
        <f t="shared" si="40"/>
        <v>6</v>
      </c>
      <c r="O372" t="str">
        <f t="shared" si="42"/>
        <v>JUN</v>
      </c>
      <c r="P372" t="str">
        <f t="shared" si="41"/>
        <v>PAGO</v>
      </c>
    </row>
    <row r="373" spans="3:16" x14ac:dyDescent="0.25">
      <c r="C373" s="35">
        <f>MAIO!C62</f>
        <v>46198</v>
      </c>
      <c r="D373" s="35" t="str">
        <f>MAIO!D62</f>
        <v>RECEITAS COM SERVIÇOS</v>
      </c>
      <c r="E373" s="35" t="str">
        <f>MAIO!E62</f>
        <v>-</v>
      </c>
      <c r="F373" s="67">
        <f>MAIO!G62</f>
        <v>0</v>
      </c>
      <c r="G373" s="68">
        <f>MAIO!H62</f>
        <v>0</v>
      </c>
      <c r="H373" s="37">
        <f>MAIO!I62</f>
        <v>46202</v>
      </c>
      <c r="I373" s="34" t="str">
        <f>MAIO!O62</f>
        <v>RECEITAS</v>
      </c>
      <c r="J373">
        <f t="shared" si="36"/>
        <v>25</v>
      </c>
      <c r="K373">
        <f t="shared" si="37"/>
        <v>6</v>
      </c>
      <c r="L373" t="str">
        <f t="shared" si="38"/>
        <v>JUN</v>
      </c>
      <c r="M373">
        <f t="shared" si="39"/>
        <v>29</v>
      </c>
      <c r="N373">
        <f t="shared" si="40"/>
        <v>6</v>
      </c>
      <c r="O373" t="str">
        <f t="shared" si="42"/>
        <v>JUN</v>
      </c>
      <c r="P373" t="str">
        <f t="shared" si="41"/>
        <v>PAGO</v>
      </c>
    </row>
    <row r="374" spans="3:16" x14ac:dyDescent="0.25">
      <c r="C374" s="35">
        <f>MAIO!C63</f>
        <v>46199</v>
      </c>
      <c r="D374" s="35" t="str">
        <f>MAIO!D63</f>
        <v>RECEITAS COM SERVIÇOS</v>
      </c>
      <c r="E374" s="35" t="str">
        <f>MAIO!E63</f>
        <v>-</v>
      </c>
      <c r="F374" s="67">
        <f>MAIO!G63</f>
        <v>0</v>
      </c>
      <c r="G374" s="68">
        <f>MAIO!H63</f>
        <v>0</v>
      </c>
      <c r="H374" s="37">
        <f>MAIO!I63</f>
        <v>46203</v>
      </c>
      <c r="I374" s="34" t="str">
        <f>MAIO!O63</f>
        <v>RECEITAS</v>
      </c>
      <c r="J374">
        <f t="shared" si="36"/>
        <v>26</v>
      </c>
      <c r="K374">
        <f t="shared" si="37"/>
        <v>6</v>
      </c>
      <c r="L374" t="str">
        <f t="shared" si="38"/>
        <v>JUN</v>
      </c>
      <c r="M374">
        <f t="shared" si="39"/>
        <v>30</v>
      </c>
      <c r="N374">
        <f t="shared" si="40"/>
        <v>6</v>
      </c>
      <c r="O374" t="str">
        <f t="shared" si="42"/>
        <v>JUN</v>
      </c>
      <c r="P374" t="str">
        <f t="shared" si="41"/>
        <v>PAGO</v>
      </c>
    </row>
    <row r="375" spans="3:16" x14ac:dyDescent="0.25">
      <c r="C375" s="35">
        <f>MAIO!C64</f>
        <v>46200</v>
      </c>
      <c r="D375" s="35" t="str">
        <f>MAIO!D64</f>
        <v>RECEITAS COM SERVIÇOS</v>
      </c>
      <c r="E375" s="35" t="str">
        <f>MAIO!E64</f>
        <v>-</v>
      </c>
      <c r="F375" s="67">
        <f>MAIO!G64</f>
        <v>0</v>
      </c>
      <c r="G375" s="68">
        <f>MAIO!H64</f>
        <v>0</v>
      </c>
      <c r="H375" s="37">
        <f>MAIO!I64</f>
        <v>46204</v>
      </c>
      <c r="I375" s="34" t="str">
        <f>MAIO!O64</f>
        <v>RECEITAS</v>
      </c>
      <c r="J375">
        <f t="shared" si="36"/>
        <v>27</v>
      </c>
      <c r="K375">
        <f t="shared" si="37"/>
        <v>6</v>
      </c>
      <c r="L375" t="str">
        <f t="shared" si="38"/>
        <v>JUN</v>
      </c>
      <c r="M375">
        <f t="shared" si="39"/>
        <v>1</v>
      </c>
      <c r="N375">
        <f t="shared" si="40"/>
        <v>7</v>
      </c>
      <c r="O375" t="str">
        <f t="shared" si="42"/>
        <v>JUL</v>
      </c>
      <c r="P375" t="str">
        <f t="shared" si="41"/>
        <v>PAGO</v>
      </c>
    </row>
    <row r="376" spans="3:16" x14ac:dyDescent="0.25">
      <c r="C376" s="35">
        <f>MAIO!C65</f>
        <v>46201</v>
      </c>
      <c r="D376" s="35" t="str">
        <f>MAIO!D65</f>
        <v>RECEITAS COM SERVIÇOS</v>
      </c>
      <c r="E376" s="35" t="str">
        <f>MAIO!E65</f>
        <v>-</v>
      </c>
      <c r="F376" s="67">
        <f>MAIO!G65</f>
        <v>0</v>
      </c>
      <c r="G376" s="68">
        <f>MAIO!H65</f>
        <v>0</v>
      </c>
      <c r="H376" s="37">
        <f>MAIO!I65</f>
        <v>46205</v>
      </c>
      <c r="I376" s="34" t="str">
        <f>MAIO!O65</f>
        <v>RECEITAS</v>
      </c>
      <c r="J376">
        <f t="shared" si="36"/>
        <v>28</v>
      </c>
      <c r="K376">
        <f t="shared" si="37"/>
        <v>6</v>
      </c>
      <c r="L376" t="str">
        <f t="shared" si="38"/>
        <v>JUN</v>
      </c>
      <c r="M376">
        <f t="shared" si="39"/>
        <v>2</v>
      </c>
      <c r="N376">
        <f t="shared" si="40"/>
        <v>7</v>
      </c>
      <c r="O376" t="str">
        <f t="shared" si="42"/>
        <v>JUL</v>
      </c>
      <c r="P376" t="str">
        <f t="shared" si="41"/>
        <v>PAGO</v>
      </c>
    </row>
    <row r="377" spans="3:16" x14ac:dyDescent="0.25">
      <c r="C377" s="35">
        <f>MAIO!C66</f>
        <v>46202</v>
      </c>
      <c r="D377" s="35" t="str">
        <f>MAIO!D66</f>
        <v>RECEITAS COM SERVIÇOS</v>
      </c>
      <c r="E377" s="35" t="str">
        <f>MAIO!E66</f>
        <v>-</v>
      </c>
      <c r="F377" s="67">
        <f>MAIO!G66</f>
        <v>0</v>
      </c>
      <c r="G377" s="68">
        <f>MAIO!H66</f>
        <v>0</v>
      </c>
      <c r="H377" s="37">
        <f>MAIO!I66</f>
        <v>46206</v>
      </c>
      <c r="I377" s="34" t="str">
        <f>MAIO!O66</f>
        <v>RECEITAS</v>
      </c>
      <c r="J377">
        <f t="shared" si="36"/>
        <v>29</v>
      </c>
      <c r="K377">
        <f t="shared" si="37"/>
        <v>6</v>
      </c>
      <c r="L377" t="str">
        <f t="shared" si="38"/>
        <v>JUN</v>
      </c>
      <c r="M377">
        <f t="shared" si="39"/>
        <v>3</v>
      </c>
      <c r="N377">
        <f t="shared" si="40"/>
        <v>7</v>
      </c>
      <c r="O377" t="str">
        <f t="shared" si="42"/>
        <v>JUL</v>
      </c>
      <c r="P377" t="str">
        <f t="shared" si="41"/>
        <v>PAGO</v>
      </c>
    </row>
    <row r="378" spans="3:16" x14ac:dyDescent="0.25">
      <c r="C378" s="35">
        <f>MAIO!C67</f>
        <v>46203</v>
      </c>
      <c r="D378" s="35" t="str">
        <f>MAIO!D67</f>
        <v>RECEITAS COM SERVIÇOS</v>
      </c>
      <c r="E378" s="35" t="str">
        <f>MAIO!E67</f>
        <v>-</v>
      </c>
      <c r="F378" s="67">
        <f>MAIO!G67</f>
        <v>0</v>
      </c>
      <c r="G378" s="68">
        <f>MAIO!H67</f>
        <v>0</v>
      </c>
      <c r="H378" s="37">
        <f>MAIO!I67</f>
        <v>46207</v>
      </c>
      <c r="I378" s="34" t="str">
        <f>MAIO!O67</f>
        <v>RECEITAS</v>
      </c>
      <c r="J378">
        <f t="shared" si="36"/>
        <v>30</v>
      </c>
      <c r="K378">
        <f t="shared" si="37"/>
        <v>6</v>
      </c>
      <c r="L378" t="str">
        <f t="shared" si="38"/>
        <v>JUN</v>
      </c>
      <c r="M378">
        <f t="shared" si="39"/>
        <v>4</v>
      </c>
      <c r="N378">
        <f t="shared" si="40"/>
        <v>7</v>
      </c>
      <c r="O378" t="str">
        <f t="shared" si="42"/>
        <v>JUL</v>
      </c>
      <c r="P378" t="str">
        <f t="shared" si="41"/>
        <v>PAGO</v>
      </c>
    </row>
    <row r="379" spans="3:16" x14ac:dyDescent="0.25">
      <c r="C379" s="35">
        <f>MAIO!C68</f>
        <v>46204</v>
      </c>
      <c r="D379" s="35" t="str">
        <f>MAIO!D68</f>
        <v>RECEITAS COM SERVIÇOS</v>
      </c>
      <c r="E379" s="35" t="str">
        <f>MAIO!E68</f>
        <v>-</v>
      </c>
      <c r="F379" s="67">
        <f>MAIO!G68</f>
        <v>0</v>
      </c>
      <c r="G379" s="68">
        <f>MAIO!H68</f>
        <v>0</v>
      </c>
      <c r="H379" s="37">
        <f>MAIO!I68</f>
        <v>46208</v>
      </c>
      <c r="I379" s="34" t="str">
        <f>MAIO!O68</f>
        <v>RECEITAS</v>
      </c>
      <c r="J379">
        <f t="shared" si="36"/>
        <v>1</v>
      </c>
      <c r="K379">
        <f t="shared" si="37"/>
        <v>7</v>
      </c>
      <c r="L379" t="str">
        <f t="shared" si="38"/>
        <v>JUL</v>
      </c>
      <c r="M379">
        <f t="shared" si="39"/>
        <v>5</v>
      </c>
      <c r="N379">
        <f t="shared" si="40"/>
        <v>7</v>
      </c>
      <c r="O379" t="str">
        <f t="shared" si="42"/>
        <v>JUL</v>
      </c>
      <c r="P379" t="str">
        <f t="shared" si="41"/>
        <v>PAGO</v>
      </c>
    </row>
    <row r="380" spans="3:16" x14ac:dyDescent="0.25">
      <c r="C380" s="35">
        <f>MAIO!C69</f>
        <v>46205</v>
      </c>
      <c r="D380" s="35" t="str">
        <f>MAIO!D69</f>
        <v>RECEITAS COM SERVIÇOS</v>
      </c>
      <c r="E380" s="35" t="str">
        <f>MAIO!E69</f>
        <v>-</v>
      </c>
      <c r="F380" s="67">
        <f>MAIO!G69</f>
        <v>0</v>
      </c>
      <c r="G380" s="68">
        <f>MAIO!H69</f>
        <v>0</v>
      </c>
      <c r="H380" s="37">
        <f>MAIO!I69</f>
        <v>46209</v>
      </c>
      <c r="I380" s="34" t="str">
        <f>MAIO!O69</f>
        <v>RECEITAS</v>
      </c>
      <c r="J380">
        <f t="shared" si="36"/>
        <v>2</v>
      </c>
      <c r="K380">
        <f t="shared" si="37"/>
        <v>7</v>
      </c>
      <c r="L380" t="str">
        <f t="shared" si="38"/>
        <v>JUL</v>
      </c>
      <c r="M380">
        <f t="shared" si="39"/>
        <v>6</v>
      </c>
      <c r="N380">
        <f t="shared" si="40"/>
        <v>7</v>
      </c>
      <c r="O380" t="str">
        <f t="shared" si="42"/>
        <v>JUL</v>
      </c>
      <c r="P380" t="str">
        <f t="shared" si="41"/>
        <v>PAGO</v>
      </c>
    </row>
    <row r="381" spans="3:16" x14ac:dyDescent="0.25">
      <c r="C381" s="35">
        <f>MAIO!C70</f>
        <v>46206</v>
      </c>
      <c r="D381" s="35" t="str">
        <f>MAIO!D70</f>
        <v>RECEITAS COM SERVIÇOS</v>
      </c>
      <c r="E381" s="35" t="str">
        <f>MAIO!E70</f>
        <v>-</v>
      </c>
      <c r="F381" s="67">
        <f>MAIO!G70</f>
        <v>0</v>
      </c>
      <c r="G381" s="68">
        <f>MAIO!H70</f>
        <v>0</v>
      </c>
      <c r="H381" s="37">
        <f>MAIO!I70</f>
        <v>46210</v>
      </c>
      <c r="I381" s="34" t="str">
        <f>MAIO!O70</f>
        <v>RECEITAS</v>
      </c>
      <c r="J381">
        <f t="shared" si="36"/>
        <v>3</v>
      </c>
      <c r="K381">
        <f t="shared" si="37"/>
        <v>7</v>
      </c>
      <c r="L381" t="str">
        <f t="shared" si="38"/>
        <v>JUL</v>
      </c>
      <c r="M381">
        <f t="shared" si="39"/>
        <v>7</v>
      </c>
      <c r="N381">
        <f t="shared" si="40"/>
        <v>7</v>
      </c>
      <c r="O381" t="str">
        <f t="shared" si="42"/>
        <v>JUL</v>
      </c>
      <c r="P381" t="str">
        <f t="shared" si="41"/>
        <v>PAGO</v>
      </c>
    </row>
    <row r="382" spans="3:16" x14ac:dyDescent="0.25">
      <c r="C382" s="35">
        <f>MAIO!C71</f>
        <v>46207</v>
      </c>
      <c r="D382" s="35" t="str">
        <f>MAIO!D71</f>
        <v>RECEITAS COM SERVIÇOS</v>
      </c>
      <c r="E382" s="35" t="str">
        <f>MAIO!E71</f>
        <v>-</v>
      </c>
      <c r="F382" s="67">
        <f>MAIO!G71</f>
        <v>0</v>
      </c>
      <c r="G382" s="68">
        <f>MAIO!H71</f>
        <v>0</v>
      </c>
      <c r="H382" s="37">
        <f>MAIO!I71</f>
        <v>46211</v>
      </c>
      <c r="I382" s="34" t="str">
        <f>MAIO!O71</f>
        <v>RECEITAS</v>
      </c>
      <c r="J382">
        <f t="shared" si="36"/>
        <v>4</v>
      </c>
      <c r="K382">
        <f t="shared" si="37"/>
        <v>7</v>
      </c>
      <c r="L382" t="str">
        <f t="shared" si="38"/>
        <v>JUL</v>
      </c>
      <c r="M382">
        <f t="shared" si="39"/>
        <v>8</v>
      </c>
      <c r="N382">
        <f t="shared" si="40"/>
        <v>7</v>
      </c>
      <c r="O382" t="str">
        <f t="shared" si="42"/>
        <v>JUL</v>
      </c>
      <c r="P382" t="str">
        <f t="shared" si="41"/>
        <v>PAGO</v>
      </c>
    </row>
    <row r="383" spans="3:16" x14ac:dyDescent="0.25">
      <c r="C383" s="35">
        <f>MAIO!C72</f>
        <v>46208</v>
      </c>
      <c r="D383" s="35" t="str">
        <f>MAIO!D72</f>
        <v>RECEITAS COM SERVIÇOS</v>
      </c>
      <c r="E383" s="35" t="str">
        <f>MAIO!E72</f>
        <v>-</v>
      </c>
      <c r="F383" s="67">
        <f>MAIO!G72</f>
        <v>0</v>
      </c>
      <c r="G383" s="68">
        <f>MAIO!H72</f>
        <v>0</v>
      </c>
      <c r="H383" s="37">
        <f>MAIO!I72</f>
        <v>46212</v>
      </c>
      <c r="I383" s="34" t="str">
        <f>MAIO!O72</f>
        <v>RECEITAS</v>
      </c>
      <c r="J383">
        <f t="shared" si="36"/>
        <v>5</v>
      </c>
      <c r="K383">
        <f t="shared" si="37"/>
        <v>7</v>
      </c>
      <c r="L383" t="str">
        <f t="shared" si="38"/>
        <v>JUL</v>
      </c>
      <c r="M383">
        <f t="shared" si="39"/>
        <v>9</v>
      </c>
      <c r="N383">
        <f t="shared" si="40"/>
        <v>7</v>
      </c>
      <c r="O383" t="str">
        <f t="shared" si="42"/>
        <v>JUL</v>
      </c>
      <c r="P383" t="str">
        <f t="shared" si="41"/>
        <v>PAGO</v>
      </c>
    </row>
    <row r="384" spans="3:16" x14ac:dyDescent="0.25">
      <c r="C384" s="35">
        <f>MAIO!C73</f>
        <v>46209</v>
      </c>
      <c r="D384" s="35" t="str">
        <f>MAIO!D73</f>
        <v>RECEITAS COM SERVIÇOS</v>
      </c>
      <c r="E384" s="35" t="str">
        <f>MAIO!E73</f>
        <v>-</v>
      </c>
      <c r="F384" s="67">
        <f>MAIO!G73</f>
        <v>0</v>
      </c>
      <c r="G384" s="68">
        <f>MAIO!H73</f>
        <v>0</v>
      </c>
      <c r="H384" s="37">
        <f>MAIO!I73</f>
        <v>46213</v>
      </c>
      <c r="I384" s="34" t="str">
        <f>MAIO!O73</f>
        <v>RECEITAS</v>
      </c>
      <c r="J384">
        <f t="shared" si="36"/>
        <v>6</v>
      </c>
      <c r="K384">
        <f t="shared" si="37"/>
        <v>7</v>
      </c>
      <c r="L384" t="str">
        <f t="shared" si="38"/>
        <v>JUL</v>
      </c>
      <c r="M384">
        <f t="shared" si="39"/>
        <v>10</v>
      </c>
      <c r="N384">
        <f t="shared" si="40"/>
        <v>7</v>
      </c>
      <c r="O384" t="str">
        <f t="shared" si="42"/>
        <v>JUL</v>
      </c>
      <c r="P384" t="str">
        <f t="shared" si="41"/>
        <v>PAGO</v>
      </c>
    </row>
    <row r="385" spans="2:16" x14ac:dyDescent="0.25">
      <c r="C385" s="35">
        <f>MAIO!C74</f>
        <v>46210</v>
      </c>
      <c r="D385" s="35" t="str">
        <f>MAIO!D74</f>
        <v>RECEITAS COM SERVIÇOS</v>
      </c>
      <c r="E385" s="35" t="str">
        <f>MAIO!E74</f>
        <v>-</v>
      </c>
      <c r="F385" s="67">
        <f>MAIO!G74</f>
        <v>0</v>
      </c>
      <c r="G385" s="68">
        <f>MAIO!H74</f>
        <v>0</v>
      </c>
      <c r="H385" s="37">
        <f>MAIO!I74</f>
        <v>46214</v>
      </c>
      <c r="I385" s="34" t="str">
        <f>MAIO!O74</f>
        <v>RECEITAS</v>
      </c>
      <c r="J385">
        <f t="shared" si="36"/>
        <v>7</v>
      </c>
      <c r="K385">
        <f t="shared" si="37"/>
        <v>7</v>
      </c>
      <c r="L385" t="str">
        <f t="shared" si="38"/>
        <v>JUL</v>
      </c>
      <c r="M385">
        <f t="shared" si="39"/>
        <v>11</v>
      </c>
      <c r="N385">
        <f t="shared" si="40"/>
        <v>7</v>
      </c>
      <c r="O385" t="str">
        <f t="shared" si="42"/>
        <v>JUL</v>
      </c>
      <c r="P385" t="str">
        <f t="shared" si="41"/>
        <v>PAGO</v>
      </c>
    </row>
    <row r="386" spans="2:16" x14ac:dyDescent="0.25">
      <c r="C386" s="35">
        <f>MAIO!C75</f>
        <v>46211</v>
      </c>
      <c r="D386" s="35" t="str">
        <f>MAIO!D75</f>
        <v>RECEITAS COM SERVIÇOS</v>
      </c>
      <c r="E386" s="35" t="str">
        <f>MAIO!E75</f>
        <v>-</v>
      </c>
      <c r="F386" s="67">
        <f>MAIO!G75</f>
        <v>0</v>
      </c>
      <c r="G386" s="68">
        <f>MAIO!H75</f>
        <v>0</v>
      </c>
      <c r="H386" s="37">
        <f>MAIO!I75</f>
        <v>46215</v>
      </c>
      <c r="I386" s="34" t="str">
        <f>MAIO!O75</f>
        <v>RECEITAS</v>
      </c>
      <c r="J386">
        <f t="shared" si="36"/>
        <v>8</v>
      </c>
      <c r="K386">
        <f t="shared" si="37"/>
        <v>7</v>
      </c>
      <c r="L386" t="str">
        <f t="shared" si="38"/>
        <v>JUL</v>
      </c>
      <c r="M386">
        <f t="shared" si="39"/>
        <v>12</v>
      </c>
      <c r="N386">
        <f t="shared" si="40"/>
        <v>7</v>
      </c>
      <c r="O386" t="str">
        <f t="shared" si="42"/>
        <v>JUL</v>
      </c>
      <c r="P386" t="str">
        <f t="shared" si="41"/>
        <v>PAGO</v>
      </c>
    </row>
    <row r="387" spans="2:16" x14ac:dyDescent="0.25">
      <c r="C387" s="35">
        <f>MAIO!C76</f>
        <v>46212</v>
      </c>
      <c r="D387" s="35" t="str">
        <f>MAIO!D76</f>
        <v>RECEITAS COM SERVIÇOS</v>
      </c>
      <c r="E387" s="35" t="str">
        <f>MAIO!E76</f>
        <v>-</v>
      </c>
      <c r="F387" s="67">
        <f>MAIO!G76</f>
        <v>0</v>
      </c>
      <c r="G387" s="68">
        <f>MAIO!H76</f>
        <v>0</v>
      </c>
      <c r="H387" s="37">
        <f>MAIO!I76</f>
        <v>46216</v>
      </c>
      <c r="I387" s="34" t="str">
        <f>MAIO!O76</f>
        <v>RECEITAS</v>
      </c>
      <c r="J387">
        <f t="shared" si="36"/>
        <v>9</v>
      </c>
      <c r="K387">
        <f t="shared" si="37"/>
        <v>7</v>
      </c>
      <c r="L387" t="str">
        <f t="shared" si="38"/>
        <v>JUL</v>
      </c>
      <c r="M387">
        <f t="shared" si="39"/>
        <v>13</v>
      </c>
      <c r="N387">
        <f t="shared" si="40"/>
        <v>7</v>
      </c>
      <c r="O387" t="str">
        <f t="shared" si="42"/>
        <v>JUL</v>
      </c>
      <c r="P387" t="str">
        <f t="shared" si="41"/>
        <v>PAGO</v>
      </c>
    </row>
    <row r="388" spans="2:16" x14ac:dyDescent="0.25">
      <c r="C388" s="35">
        <f>MAIO!C77</f>
        <v>46213</v>
      </c>
      <c r="D388" s="35" t="str">
        <f>MAIO!D77</f>
        <v>RECEITAS COM SERVIÇOS</v>
      </c>
      <c r="E388" s="35" t="str">
        <f>MAIO!E77</f>
        <v>-</v>
      </c>
      <c r="F388" s="67">
        <f>MAIO!G77</f>
        <v>0</v>
      </c>
      <c r="G388" s="68">
        <f>MAIO!H77</f>
        <v>0</v>
      </c>
      <c r="H388" s="37">
        <f>MAIO!I77</f>
        <v>46217</v>
      </c>
      <c r="I388" s="34" t="str">
        <f>MAIO!O77</f>
        <v>RECEITAS</v>
      </c>
      <c r="J388">
        <f t="shared" si="36"/>
        <v>10</v>
      </c>
      <c r="K388">
        <f t="shared" si="37"/>
        <v>7</v>
      </c>
      <c r="L388" t="str">
        <f t="shared" si="38"/>
        <v>JUL</v>
      </c>
      <c r="M388">
        <f t="shared" si="39"/>
        <v>14</v>
      </c>
      <c r="N388">
        <f t="shared" si="40"/>
        <v>7</v>
      </c>
      <c r="O388" t="str">
        <f t="shared" si="42"/>
        <v>JUL</v>
      </c>
      <c r="P388" t="str">
        <f t="shared" si="41"/>
        <v>PAGO</v>
      </c>
    </row>
    <row r="389" spans="2:16" x14ac:dyDescent="0.25">
      <c r="C389" s="35">
        <f>MAIO!C78</f>
        <v>46214</v>
      </c>
      <c r="D389" s="35" t="str">
        <f>MAIO!D78</f>
        <v>RECEITAS COM SERVIÇOS</v>
      </c>
      <c r="E389" s="35" t="str">
        <f>MAIO!E78</f>
        <v>-</v>
      </c>
      <c r="F389" s="67">
        <f>MAIO!G78</f>
        <v>0</v>
      </c>
      <c r="G389" s="68">
        <f>MAIO!H78</f>
        <v>0</v>
      </c>
      <c r="H389" s="37">
        <f>MAIO!I78</f>
        <v>46218</v>
      </c>
      <c r="I389" s="34" t="str">
        <f>MAIO!O78</f>
        <v>RECEITAS</v>
      </c>
      <c r="J389">
        <f t="shared" si="36"/>
        <v>11</v>
      </c>
      <c r="K389">
        <f t="shared" si="37"/>
        <v>7</v>
      </c>
      <c r="L389" t="str">
        <f t="shared" si="38"/>
        <v>JUL</v>
      </c>
      <c r="M389">
        <f t="shared" si="39"/>
        <v>15</v>
      </c>
      <c r="N389">
        <f t="shared" si="40"/>
        <v>7</v>
      </c>
      <c r="O389" t="str">
        <f t="shared" si="42"/>
        <v>JUL</v>
      </c>
      <c r="P389" t="str">
        <f t="shared" si="41"/>
        <v>PAGO</v>
      </c>
    </row>
    <row r="390" spans="2:16" x14ac:dyDescent="0.25">
      <c r="C390" s="35">
        <f>MAIO!C79</f>
        <v>46215</v>
      </c>
      <c r="D390" s="35" t="str">
        <f>MAIO!D79</f>
        <v>RECEITAS COM SERVIÇOS</v>
      </c>
      <c r="E390" s="35" t="str">
        <f>MAIO!E79</f>
        <v>-</v>
      </c>
      <c r="F390" s="67">
        <f>MAIO!G79</f>
        <v>0</v>
      </c>
      <c r="G390" s="68">
        <f>MAIO!H79</f>
        <v>0</v>
      </c>
      <c r="H390" s="37">
        <f>MAIO!I79</f>
        <v>46219</v>
      </c>
      <c r="I390" s="34" t="str">
        <f>MAIO!O79</f>
        <v>RECEITAS</v>
      </c>
      <c r="J390">
        <f t="shared" si="36"/>
        <v>12</v>
      </c>
      <c r="K390">
        <f t="shared" si="37"/>
        <v>7</v>
      </c>
      <c r="L390" t="str">
        <f t="shared" si="38"/>
        <v>JUL</v>
      </c>
      <c r="M390">
        <f t="shared" si="39"/>
        <v>16</v>
      </c>
      <c r="N390">
        <f t="shared" si="40"/>
        <v>7</v>
      </c>
      <c r="O390" t="str">
        <f t="shared" si="42"/>
        <v>JUL</v>
      </c>
      <c r="P390" t="str">
        <f t="shared" si="41"/>
        <v>PAGO</v>
      </c>
    </row>
    <row r="391" spans="2:16" x14ac:dyDescent="0.25">
      <c r="C391" s="35">
        <f>MAIO!C80</f>
        <v>46216</v>
      </c>
      <c r="D391" s="35" t="str">
        <f>MAIO!D80</f>
        <v>RECEITAS COM SERVIÇOS</v>
      </c>
      <c r="E391" s="35" t="str">
        <f>MAIO!E80</f>
        <v>-</v>
      </c>
      <c r="F391" s="67" t="str">
        <f>MAIO!G80</f>
        <v>BENFICA</v>
      </c>
      <c r="G391" s="68">
        <f>MAIO!H80</f>
        <v>0</v>
      </c>
      <c r="H391" s="37">
        <f>MAIO!I80</f>
        <v>46220</v>
      </c>
      <c r="I391" s="34" t="str">
        <f>MAIO!O80</f>
        <v>RECEITAS</v>
      </c>
      <c r="J391">
        <f t="shared" ref="J391:J454" si="43">DAY(C391)</f>
        <v>13</v>
      </c>
      <c r="K391">
        <f t="shared" ref="K391:K454" si="44">IF(C391 = 0, " ",MONTH(C391))</f>
        <v>7</v>
      </c>
      <c r="L391" t="str">
        <f t="shared" ref="L391:L454" si="45">IFERROR(VLOOKUP(K391,$R$6:$S$17,2),"")</f>
        <v>JUL</v>
      </c>
      <c r="M391">
        <f t="shared" ref="M391:M454" si="46">DAY(H391)</f>
        <v>17</v>
      </c>
      <c r="N391">
        <f t="shared" ref="N391:N454" si="47">IF(H391 = 0, " ",MONTH(H391))</f>
        <v>7</v>
      </c>
      <c r="O391" t="str">
        <f t="shared" si="42"/>
        <v>JUL</v>
      </c>
      <c r="P391" t="str">
        <f t="shared" ref="P391:P454" si="48">IF(H391=0,"NAO PAGO","PAGO")</f>
        <v>PAGO</v>
      </c>
    </row>
    <row r="392" spans="2:16" x14ac:dyDescent="0.25">
      <c r="C392" s="35">
        <f>MAIO!C81</f>
        <v>46217</v>
      </c>
      <c r="D392" s="35" t="str">
        <f>MAIO!D81</f>
        <v>RECEITAS COM SERVIÇOS</v>
      </c>
      <c r="E392" s="35" t="str">
        <f>MAIO!E81</f>
        <v>-</v>
      </c>
      <c r="F392" s="67">
        <f>MAIO!G81</f>
        <v>0</v>
      </c>
      <c r="G392" s="68">
        <f>MAIO!H81</f>
        <v>0</v>
      </c>
      <c r="H392" s="37">
        <f>MAIO!I81</f>
        <v>46221</v>
      </c>
      <c r="I392" s="34" t="str">
        <f>MAIO!O81</f>
        <v>RECEITAS</v>
      </c>
      <c r="J392">
        <f t="shared" si="43"/>
        <v>14</v>
      </c>
      <c r="K392">
        <f t="shared" si="44"/>
        <v>7</v>
      </c>
      <c r="L392" t="str">
        <f t="shared" si="45"/>
        <v>JUL</v>
      </c>
      <c r="M392">
        <f t="shared" si="46"/>
        <v>18</v>
      </c>
      <c r="N392">
        <f t="shared" si="47"/>
        <v>7</v>
      </c>
      <c r="O392" t="str">
        <f t="shared" si="42"/>
        <v>JUL</v>
      </c>
      <c r="P392" t="str">
        <f t="shared" si="48"/>
        <v>PAGO</v>
      </c>
    </row>
    <row r="393" spans="2:16" x14ac:dyDescent="0.25">
      <c r="C393" s="35">
        <f>MAIO!C82</f>
        <v>46218</v>
      </c>
      <c r="D393" s="35" t="str">
        <f>MAIO!D82</f>
        <v>RECEITAS COM SERVIÇOS</v>
      </c>
      <c r="E393" s="35" t="str">
        <f>MAIO!E82</f>
        <v>-</v>
      </c>
      <c r="F393" s="67">
        <f>MAIO!G82</f>
        <v>0</v>
      </c>
      <c r="G393" s="68">
        <f>MAIO!H82</f>
        <v>0</v>
      </c>
      <c r="H393" s="37">
        <f>MAIO!I82</f>
        <v>46222</v>
      </c>
      <c r="I393" s="34" t="str">
        <f>MAIO!O82</f>
        <v>RECEITAS</v>
      </c>
      <c r="J393">
        <f t="shared" si="43"/>
        <v>15</v>
      </c>
      <c r="K393">
        <f t="shared" si="44"/>
        <v>7</v>
      </c>
      <c r="L393" t="str">
        <f t="shared" si="45"/>
        <v>JUL</v>
      </c>
      <c r="M393">
        <f t="shared" si="46"/>
        <v>19</v>
      </c>
      <c r="N393">
        <f t="shared" si="47"/>
        <v>7</v>
      </c>
      <c r="O393" t="str">
        <f t="shared" si="42"/>
        <v>JUL</v>
      </c>
      <c r="P393" t="str">
        <f t="shared" si="48"/>
        <v>PAGO</v>
      </c>
    </row>
    <row r="394" spans="2:16" x14ac:dyDescent="0.25">
      <c r="C394" s="35">
        <f>MAIO!C83</f>
        <v>46219</v>
      </c>
      <c r="D394" s="35" t="str">
        <f>MAIO!D83</f>
        <v>RECEITAS COM SERVIÇOS</v>
      </c>
      <c r="E394" s="35" t="str">
        <f>MAIO!E83</f>
        <v>-</v>
      </c>
      <c r="F394" s="67">
        <f>MAIO!G83</f>
        <v>0</v>
      </c>
      <c r="G394" s="68">
        <f>MAIO!H83</f>
        <v>0</v>
      </c>
      <c r="H394" s="37">
        <f>MAIO!I83</f>
        <v>46223</v>
      </c>
      <c r="I394" s="34" t="str">
        <f>MAIO!O83</f>
        <v>RECEITAS</v>
      </c>
      <c r="J394">
        <f t="shared" si="43"/>
        <v>16</v>
      </c>
      <c r="K394">
        <f t="shared" si="44"/>
        <v>7</v>
      </c>
      <c r="L394" t="str">
        <f t="shared" si="45"/>
        <v>JUL</v>
      </c>
      <c r="M394">
        <f t="shared" si="46"/>
        <v>20</v>
      </c>
      <c r="N394">
        <f t="shared" si="47"/>
        <v>7</v>
      </c>
      <c r="O394" t="str">
        <f t="shared" si="42"/>
        <v>JUL</v>
      </c>
      <c r="P394" t="str">
        <f t="shared" si="48"/>
        <v>PAGO</v>
      </c>
    </row>
    <row r="395" spans="2:16" x14ac:dyDescent="0.25">
      <c r="C395" s="35">
        <f>MAIO!C84</f>
        <v>46220</v>
      </c>
      <c r="D395" s="35" t="str">
        <f>MAIO!D84</f>
        <v>RECEITAS COM SERVIÇOS</v>
      </c>
      <c r="E395" s="35" t="str">
        <f>MAIO!E84</f>
        <v>-</v>
      </c>
      <c r="F395" s="67">
        <f>MAIO!G84</f>
        <v>0</v>
      </c>
      <c r="G395" s="68">
        <f>MAIO!H84</f>
        <v>0</v>
      </c>
      <c r="H395" s="37">
        <f>MAIO!I84</f>
        <v>46224</v>
      </c>
      <c r="I395" s="34" t="str">
        <f>MAIO!O84</f>
        <v>RECEITAS</v>
      </c>
      <c r="J395">
        <f t="shared" si="43"/>
        <v>17</v>
      </c>
      <c r="K395">
        <f t="shared" si="44"/>
        <v>7</v>
      </c>
      <c r="L395" t="str">
        <f t="shared" si="45"/>
        <v>JUL</v>
      </c>
      <c r="M395">
        <f t="shared" si="46"/>
        <v>21</v>
      </c>
      <c r="N395">
        <f t="shared" si="47"/>
        <v>7</v>
      </c>
      <c r="O395" t="str">
        <f t="shared" si="42"/>
        <v>JUL</v>
      </c>
      <c r="P395" t="str">
        <f t="shared" si="48"/>
        <v>PAGO</v>
      </c>
    </row>
    <row r="396" spans="2:16" x14ac:dyDescent="0.25">
      <c r="B396" s="44" t="s">
        <v>92</v>
      </c>
      <c r="C396" s="35">
        <f>JUNHO!C7</f>
        <v>46174</v>
      </c>
      <c r="D396" s="35" t="str">
        <f>JUNHO!D7</f>
        <v>RECEITAS COM SERVIÇOS</v>
      </c>
      <c r="E396" s="35" t="str">
        <f>JUNHO!E7</f>
        <v>-</v>
      </c>
      <c r="F396" s="67">
        <f>JUNHO!G7</f>
        <v>0</v>
      </c>
      <c r="G396" s="68">
        <f>JUNHO!H7</f>
        <v>2</v>
      </c>
      <c r="H396" s="37">
        <f>JUNHO!I7</f>
        <v>46307</v>
      </c>
      <c r="I396" s="34" t="str">
        <f>JUNHO!O7</f>
        <v>RECEITAS</v>
      </c>
      <c r="J396">
        <f t="shared" si="43"/>
        <v>1</v>
      </c>
      <c r="K396">
        <f t="shared" si="44"/>
        <v>6</v>
      </c>
      <c r="L396" t="str">
        <f t="shared" si="45"/>
        <v>JUN</v>
      </c>
      <c r="M396">
        <f t="shared" si="46"/>
        <v>12</v>
      </c>
      <c r="N396">
        <f t="shared" si="47"/>
        <v>10</v>
      </c>
      <c r="O396" t="str">
        <f t="shared" si="42"/>
        <v>OCT</v>
      </c>
      <c r="P396" t="str">
        <f t="shared" si="48"/>
        <v>PAGO</v>
      </c>
    </row>
    <row r="397" spans="2:16" ht="30" x14ac:dyDescent="0.25">
      <c r="C397" s="35">
        <f>JUNHO!C8</f>
        <v>46175</v>
      </c>
      <c r="D397" s="35" t="str">
        <f>JUNHO!D8</f>
        <v>DESPESAS COM PRODUTOS</v>
      </c>
      <c r="E397" s="35" t="str">
        <f>JUNHO!E8</f>
        <v>-</v>
      </c>
      <c r="F397" s="67">
        <f>JUNHO!G8</f>
        <v>0</v>
      </c>
      <c r="G397" s="68">
        <f>JUNHO!H8</f>
        <v>3</v>
      </c>
      <c r="H397" s="37">
        <f>JUNHO!I8</f>
        <v>46308</v>
      </c>
      <c r="I397" s="34" t="str">
        <f>JUNHO!O8</f>
        <v>DESPESAS</v>
      </c>
      <c r="J397">
        <f t="shared" si="43"/>
        <v>2</v>
      </c>
      <c r="K397">
        <f t="shared" si="44"/>
        <v>6</v>
      </c>
      <c r="L397" t="str">
        <f t="shared" si="45"/>
        <v>JUN</v>
      </c>
      <c r="M397">
        <f t="shared" si="46"/>
        <v>13</v>
      </c>
      <c r="N397">
        <f t="shared" si="47"/>
        <v>10</v>
      </c>
      <c r="O397" t="str">
        <f t="shared" si="42"/>
        <v>OCT</v>
      </c>
      <c r="P397" t="str">
        <f t="shared" si="48"/>
        <v>PAGO</v>
      </c>
    </row>
    <row r="398" spans="2:16" x14ac:dyDescent="0.25">
      <c r="C398" s="35">
        <f>JUNHO!C9</f>
        <v>46176</v>
      </c>
      <c r="D398" s="35" t="str">
        <f>JUNHO!D9</f>
        <v>DESPESAS COM RH</v>
      </c>
      <c r="E398" s="35" t="str">
        <f>JUNHO!E9</f>
        <v>MARKETING OFFLINE</v>
      </c>
      <c r="F398" s="67">
        <f>JUNHO!G9</f>
        <v>0</v>
      </c>
      <c r="G398" s="68">
        <f>JUNHO!H9</f>
        <v>5</v>
      </c>
      <c r="H398" s="37">
        <f>JUNHO!I9</f>
        <v>46309</v>
      </c>
      <c r="I398" s="34" t="str">
        <f>JUNHO!O9</f>
        <v>DESPESAS</v>
      </c>
      <c r="J398">
        <f t="shared" si="43"/>
        <v>3</v>
      </c>
      <c r="K398">
        <f t="shared" si="44"/>
        <v>6</v>
      </c>
      <c r="L398" t="str">
        <f t="shared" si="45"/>
        <v>JUN</v>
      </c>
      <c r="M398">
        <f t="shared" si="46"/>
        <v>14</v>
      </c>
      <c r="N398">
        <f t="shared" si="47"/>
        <v>10</v>
      </c>
      <c r="O398" t="str">
        <f t="shared" si="42"/>
        <v>OCT</v>
      </c>
      <c r="P398" t="str">
        <f t="shared" si="48"/>
        <v>PAGO</v>
      </c>
    </row>
    <row r="399" spans="2:16" ht="30" x14ac:dyDescent="0.25">
      <c r="C399" s="35">
        <f>JUNHO!C10</f>
        <v>46177</v>
      </c>
      <c r="D399" s="35" t="str">
        <f>JUNHO!D10</f>
        <v>DESPESAS COM PRODUTOS</v>
      </c>
      <c r="E399" s="35" t="str">
        <f>JUNHO!E10</f>
        <v>-</v>
      </c>
      <c r="F399" s="67">
        <f>JUNHO!G10</f>
        <v>0</v>
      </c>
      <c r="G399" s="68">
        <f>JUNHO!H10</f>
        <v>6.3333333333333304</v>
      </c>
      <c r="H399" s="37">
        <f>JUNHO!I10</f>
        <v>46310</v>
      </c>
      <c r="I399" s="34" t="str">
        <f>JUNHO!O10</f>
        <v>DESPESAS</v>
      </c>
      <c r="J399">
        <f t="shared" si="43"/>
        <v>4</v>
      </c>
      <c r="K399">
        <f t="shared" si="44"/>
        <v>6</v>
      </c>
      <c r="L399" t="str">
        <f t="shared" si="45"/>
        <v>JUN</v>
      </c>
      <c r="M399">
        <f t="shared" si="46"/>
        <v>15</v>
      </c>
      <c r="N399">
        <f t="shared" si="47"/>
        <v>10</v>
      </c>
      <c r="O399" t="str">
        <f t="shared" si="42"/>
        <v>OCT</v>
      </c>
      <c r="P399" t="str">
        <f t="shared" si="48"/>
        <v>PAGO</v>
      </c>
    </row>
    <row r="400" spans="2:16" ht="30" x14ac:dyDescent="0.25">
      <c r="C400" s="35">
        <f>JUNHO!C11</f>
        <v>46178</v>
      </c>
      <c r="D400" s="35" t="str">
        <f>JUNHO!D11</f>
        <v>DESPESAS COM PRODUTOS</v>
      </c>
      <c r="E400" s="35" t="str">
        <f>JUNHO!E11</f>
        <v>-</v>
      </c>
      <c r="F400" s="67">
        <f>JUNHO!G11</f>
        <v>0</v>
      </c>
      <c r="G400" s="68">
        <f>JUNHO!H11</f>
        <v>7.8333333333333304</v>
      </c>
      <c r="H400" s="37">
        <f>JUNHO!I11</f>
        <v>46311</v>
      </c>
      <c r="I400" s="34" t="str">
        <f>JUNHO!O11</f>
        <v>DESPESAS</v>
      </c>
      <c r="J400">
        <f t="shared" si="43"/>
        <v>5</v>
      </c>
      <c r="K400">
        <f t="shared" si="44"/>
        <v>6</v>
      </c>
      <c r="L400" t="str">
        <f t="shared" si="45"/>
        <v>JUN</v>
      </c>
      <c r="M400">
        <f t="shared" si="46"/>
        <v>16</v>
      </c>
      <c r="N400">
        <f t="shared" si="47"/>
        <v>10</v>
      </c>
      <c r="O400" t="str">
        <f t="shared" si="42"/>
        <v>OCT</v>
      </c>
      <c r="P400" t="str">
        <f t="shared" si="48"/>
        <v>PAGO</v>
      </c>
    </row>
    <row r="401" spans="3:16" ht="30" x14ac:dyDescent="0.25">
      <c r="C401" s="35">
        <f>JUNHO!C12</f>
        <v>46179</v>
      </c>
      <c r="D401" s="35" t="str">
        <f>JUNHO!D12</f>
        <v>DESPESAS COM PRODUTOS</v>
      </c>
      <c r="E401" s="35" t="str">
        <f>JUNHO!E12</f>
        <v>-</v>
      </c>
      <c r="F401" s="67" t="str">
        <f>JUNHO!G12</f>
        <v>BENFICA</v>
      </c>
      <c r="G401" s="68">
        <f>JUNHO!H12</f>
        <v>9.3333333333333304</v>
      </c>
      <c r="H401" s="37">
        <f>JUNHO!I12</f>
        <v>46312</v>
      </c>
      <c r="I401" s="34" t="str">
        <f>JUNHO!O12</f>
        <v>DESPESAS</v>
      </c>
      <c r="J401">
        <f t="shared" si="43"/>
        <v>6</v>
      </c>
      <c r="K401">
        <f t="shared" si="44"/>
        <v>6</v>
      </c>
      <c r="L401" t="str">
        <f t="shared" si="45"/>
        <v>JUN</v>
      </c>
      <c r="M401">
        <f t="shared" si="46"/>
        <v>17</v>
      </c>
      <c r="N401">
        <f t="shared" si="47"/>
        <v>10</v>
      </c>
      <c r="O401" t="str">
        <f t="shared" si="42"/>
        <v>OCT</v>
      </c>
      <c r="P401" t="str">
        <f t="shared" si="48"/>
        <v>PAGO</v>
      </c>
    </row>
    <row r="402" spans="3:16" ht="30" x14ac:dyDescent="0.25">
      <c r="C402" s="35">
        <f>JUNHO!C13</f>
        <v>46180</v>
      </c>
      <c r="D402" s="35" t="str">
        <f>JUNHO!D13</f>
        <v>DESPESAS COM PRODUTOS</v>
      </c>
      <c r="E402" s="35" t="str">
        <f>JUNHO!E13</f>
        <v>-</v>
      </c>
      <c r="F402" s="67">
        <f>JUNHO!G13</f>
        <v>0</v>
      </c>
      <c r="G402" s="68">
        <f>JUNHO!H13</f>
        <v>10.8333333333333</v>
      </c>
      <c r="H402" s="37">
        <f>JUNHO!I13</f>
        <v>46313</v>
      </c>
      <c r="I402" s="34" t="str">
        <f>JUNHO!O13</f>
        <v>DESPESAS</v>
      </c>
      <c r="J402">
        <f t="shared" si="43"/>
        <v>7</v>
      </c>
      <c r="K402">
        <f t="shared" si="44"/>
        <v>6</v>
      </c>
      <c r="L402" t="str">
        <f t="shared" si="45"/>
        <v>JUN</v>
      </c>
      <c r="M402">
        <f t="shared" si="46"/>
        <v>18</v>
      </c>
      <c r="N402">
        <f t="shared" si="47"/>
        <v>10</v>
      </c>
      <c r="O402" t="str">
        <f t="shared" si="42"/>
        <v>OCT</v>
      </c>
      <c r="P402" t="str">
        <f t="shared" si="48"/>
        <v>PAGO</v>
      </c>
    </row>
    <row r="403" spans="3:16" x14ac:dyDescent="0.25">
      <c r="C403" s="35">
        <f>JUNHO!C14</f>
        <v>46181</v>
      </c>
      <c r="D403" s="35" t="str">
        <f>JUNHO!D14</f>
        <v>DESPESAS COM RH</v>
      </c>
      <c r="E403" s="35" t="str">
        <f>JUNHO!E14</f>
        <v>ACTUALIZAÇÕES</v>
      </c>
      <c r="F403" s="67">
        <f>JUNHO!G14</f>
        <v>0</v>
      </c>
      <c r="G403" s="68">
        <f>JUNHO!H14</f>
        <v>12.3333333333333</v>
      </c>
      <c r="H403" s="37">
        <f>JUNHO!I14</f>
        <v>46314</v>
      </c>
      <c r="I403" s="34" t="str">
        <f>JUNHO!O14</f>
        <v>DESPESAS</v>
      </c>
      <c r="J403">
        <f t="shared" si="43"/>
        <v>8</v>
      </c>
      <c r="K403">
        <f t="shared" si="44"/>
        <v>6</v>
      </c>
      <c r="L403" t="str">
        <f t="shared" si="45"/>
        <v>JUN</v>
      </c>
      <c r="M403">
        <f t="shared" si="46"/>
        <v>19</v>
      </c>
      <c r="N403">
        <f t="shared" si="47"/>
        <v>10</v>
      </c>
      <c r="O403" t="str">
        <f t="shared" si="42"/>
        <v>OCT</v>
      </c>
      <c r="P403" t="str">
        <f t="shared" si="48"/>
        <v>PAGO</v>
      </c>
    </row>
    <row r="404" spans="3:16" x14ac:dyDescent="0.25">
      <c r="C404" s="35">
        <f>JUNHO!C15</f>
        <v>46182</v>
      </c>
      <c r="D404" s="35" t="str">
        <f>JUNHO!D15</f>
        <v>RECEITAS COM SERVIÇOS</v>
      </c>
      <c r="E404" s="35" t="str">
        <f>JUNHO!E15</f>
        <v>-</v>
      </c>
      <c r="F404" s="67">
        <f>JUNHO!G15</f>
        <v>0</v>
      </c>
      <c r="G404" s="68">
        <f>JUNHO!H15</f>
        <v>13.8333333333333</v>
      </c>
      <c r="H404" s="37">
        <f>JUNHO!I15</f>
        <v>46315</v>
      </c>
      <c r="I404" s="34" t="str">
        <f>JUNHO!O15</f>
        <v>RECEITAS</v>
      </c>
      <c r="J404">
        <f t="shared" si="43"/>
        <v>9</v>
      </c>
      <c r="K404">
        <f t="shared" si="44"/>
        <v>6</v>
      </c>
      <c r="L404" t="str">
        <f t="shared" si="45"/>
        <v>JUN</v>
      </c>
      <c r="M404">
        <f t="shared" si="46"/>
        <v>20</v>
      </c>
      <c r="N404">
        <f t="shared" si="47"/>
        <v>10</v>
      </c>
      <c r="O404" t="str">
        <f t="shared" si="42"/>
        <v>OCT</v>
      </c>
      <c r="P404" t="str">
        <f t="shared" si="48"/>
        <v>PAGO</v>
      </c>
    </row>
    <row r="405" spans="3:16" ht="30" x14ac:dyDescent="0.25">
      <c r="C405" s="35">
        <f>JUNHO!C16</f>
        <v>46183</v>
      </c>
      <c r="D405" s="35" t="str">
        <f>JUNHO!D16</f>
        <v>DESPESAS COM MARKETING</v>
      </c>
      <c r="E405" s="35" t="str">
        <f>JUNHO!E16</f>
        <v>-</v>
      </c>
      <c r="F405" s="67">
        <f>JUNHO!G16</f>
        <v>0</v>
      </c>
      <c r="G405" s="68">
        <f>JUNHO!H16</f>
        <v>15.3333333333333</v>
      </c>
      <c r="H405" s="37">
        <f>JUNHO!I16</f>
        <v>46316</v>
      </c>
      <c r="I405" s="34" t="str">
        <f>JUNHO!O16</f>
        <v>DESPESAS</v>
      </c>
      <c r="J405">
        <f t="shared" si="43"/>
        <v>10</v>
      </c>
      <c r="K405">
        <f t="shared" si="44"/>
        <v>6</v>
      </c>
      <c r="L405" t="str">
        <f t="shared" si="45"/>
        <v>JUN</v>
      </c>
      <c r="M405">
        <f t="shared" si="46"/>
        <v>21</v>
      </c>
      <c r="N405">
        <f t="shared" si="47"/>
        <v>10</v>
      </c>
      <c r="O405" t="str">
        <f t="shared" si="42"/>
        <v>OCT</v>
      </c>
      <c r="P405" t="str">
        <f t="shared" si="48"/>
        <v>PAGO</v>
      </c>
    </row>
    <row r="406" spans="3:16" ht="30" x14ac:dyDescent="0.25">
      <c r="C406" s="35">
        <f>JUNHO!C17</f>
        <v>46184</v>
      </c>
      <c r="D406" s="35" t="str">
        <f>JUNHO!D17</f>
        <v>DESPESAS OPERACIONAIS</v>
      </c>
      <c r="E406" s="35" t="str">
        <f>JUNHO!E17</f>
        <v>ESTUDIOS GRAVAÇÃO</v>
      </c>
      <c r="F406" s="67">
        <f>JUNHO!G17</f>
        <v>0</v>
      </c>
      <c r="G406" s="68">
        <f>JUNHO!H17</f>
        <v>16.8333333333333</v>
      </c>
      <c r="H406" s="37">
        <f>JUNHO!I17</f>
        <v>46317</v>
      </c>
      <c r="I406" s="34" t="str">
        <f>JUNHO!O17</f>
        <v>DESPESAS</v>
      </c>
      <c r="J406">
        <f t="shared" si="43"/>
        <v>11</v>
      </c>
      <c r="K406">
        <f t="shared" si="44"/>
        <v>6</v>
      </c>
      <c r="L406" t="str">
        <f t="shared" si="45"/>
        <v>JUN</v>
      </c>
      <c r="M406">
        <f t="shared" si="46"/>
        <v>22</v>
      </c>
      <c r="N406">
        <f t="shared" si="47"/>
        <v>10</v>
      </c>
      <c r="O406" t="str">
        <f t="shared" si="42"/>
        <v>OCT</v>
      </c>
      <c r="P406" t="str">
        <f t="shared" si="48"/>
        <v>PAGO</v>
      </c>
    </row>
    <row r="407" spans="3:16" ht="30" x14ac:dyDescent="0.25">
      <c r="C407" s="35">
        <f>JUNHO!C18</f>
        <v>46185</v>
      </c>
      <c r="D407" s="35" t="str">
        <f>JUNHO!D18</f>
        <v>DESPESAS COM PRODUTOS</v>
      </c>
      <c r="E407" s="35" t="str">
        <f>JUNHO!E18</f>
        <v>-</v>
      </c>
      <c r="F407" s="67" t="str">
        <f>JUNHO!G18</f>
        <v>CALEMBA 2</v>
      </c>
      <c r="G407" s="68">
        <f>JUNHO!H18</f>
        <v>18.3333333333333</v>
      </c>
      <c r="H407" s="37">
        <f>JUNHO!I18</f>
        <v>46318</v>
      </c>
      <c r="I407" s="34" t="str">
        <f>JUNHO!O18</f>
        <v>DESPESAS</v>
      </c>
      <c r="J407">
        <f t="shared" si="43"/>
        <v>12</v>
      </c>
      <c r="K407">
        <f t="shared" si="44"/>
        <v>6</v>
      </c>
      <c r="L407" t="str">
        <f t="shared" si="45"/>
        <v>JUN</v>
      </c>
      <c r="M407">
        <f t="shared" si="46"/>
        <v>23</v>
      </c>
      <c r="N407">
        <f t="shared" si="47"/>
        <v>10</v>
      </c>
      <c r="O407" t="str">
        <f t="shared" ref="O407:O470" si="49">IFERROR(VLOOKUP(N407,$R$6:$S$17,2),"")</f>
        <v>OCT</v>
      </c>
      <c r="P407" t="str">
        <f t="shared" si="48"/>
        <v>PAGO</v>
      </c>
    </row>
    <row r="408" spans="3:16" ht="30" x14ac:dyDescent="0.25">
      <c r="C408" s="35">
        <f>JUNHO!C19</f>
        <v>46186</v>
      </c>
      <c r="D408" s="35" t="str">
        <f>JUNHO!D19</f>
        <v>DESPESAS COM PRODUTOS</v>
      </c>
      <c r="E408" s="35" t="str">
        <f>JUNHO!E19</f>
        <v>-</v>
      </c>
      <c r="F408" s="67">
        <f>JUNHO!G19</f>
        <v>0</v>
      </c>
      <c r="G408" s="68">
        <f>JUNHO!H19</f>
        <v>19.8333333333333</v>
      </c>
      <c r="H408" s="37">
        <f>JUNHO!I19</f>
        <v>46319</v>
      </c>
      <c r="I408" s="34" t="str">
        <f>JUNHO!O19</f>
        <v>DESPESAS</v>
      </c>
      <c r="J408">
        <f t="shared" si="43"/>
        <v>13</v>
      </c>
      <c r="K408">
        <f t="shared" si="44"/>
        <v>6</v>
      </c>
      <c r="L408" t="str">
        <f t="shared" si="45"/>
        <v>JUN</v>
      </c>
      <c r="M408">
        <f t="shared" si="46"/>
        <v>24</v>
      </c>
      <c r="N408">
        <f t="shared" si="47"/>
        <v>10</v>
      </c>
      <c r="O408" t="str">
        <f t="shared" si="49"/>
        <v>OCT</v>
      </c>
      <c r="P408" t="str">
        <f t="shared" si="48"/>
        <v>PAGO</v>
      </c>
    </row>
    <row r="409" spans="3:16" ht="30" x14ac:dyDescent="0.25">
      <c r="C409" s="35">
        <f>JUNHO!C20</f>
        <v>46187</v>
      </c>
      <c r="D409" s="35" t="str">
        <f>JUNHO!D20</f>
        <v>DESPESAS COM PRODUTOS</v>
      </c>
      <c r="E409" s="35" t="str">
        <f>JUNHO!E20</f>
        <v>-</v>
      </c>
      <c r="F409" s="67">
        <f>JUNHO!G20</f>
        <v>0</v>
      </c>
      <c r="G409" s="68">
        <f>JUNHO!H20</f>
        <v>21.3333333333333</v>
      </c>
      <c r="H409" s="37">
        <f>JUNHO!I20</f>
        <v>46320</v>
      </c>
      <c r="I409" s="34" t="str">
        <f>JUNHO!O20</f>
        <v>DESPESAS</v>
      </c>
      <c r="J409">
        <f t="shared" si="43"/>
        <v>14</v>
      </c>
      <c r="K409">
        <f t="shared" si="44"/>
        <v>6</v>
      </c>
      <c r="L409" t="str">
        <f t="shared" si="45"/>
        <v>JUN</v>
      </c>
      <c r="M409">
        <f t="shared" si="46"/>
        <v>25</v>
      </c>
      <c r="N409">
        <f t="shared" si="47"/>
        <v>10</v>
      </c>
      <c r="O409" t="str">
        <f t="shared" si="49"/>
        <v>OCT</v>
      </c>
      <c r="P409" t="str">
        <f t="shared" si="48"/>
        <v>PAGO</v>
      </c>
    </row>
    <row r="410" spans="3:16" ht="30" x14ac:dyDescent="0.25">
      <c r="C410" s="35">
        <f>JUNHO!C21</f>
        <v>46188</v>
      </c>
      <c r="D410" s="35" t="str">
        <f>JUNHO!D21</f>
        <v>DESPESAS COM PRODUTOS</v>
      </c>
      <c r="E410" s="35" t="str">
        <f>JUNHO!E21</f>
        <v>-</v>
      </c>
      <c r="F410" s="67">
        <f>JUNHO!G21</f>
        <v>0</v>
      </c>
      <c r="G410" s="68">
        <f>JUNHO!H21</f>
        <v>22.8333333333333</v>
      </c>
      <c r="H410" s="37">
        <f>JUNHO!I21</f>
        <v>46321</v>
      </c>
      <c r="I410" s="34" t="str">
        <f>JUNHO!O21</f>
        <v>DESPESAS</v>
      </c>
      <c r="J410">
        <f t="shared" si="43"/>
        <v>15</v>
      </c>
      <c r="K410">
        <f t="shared" si="44"/>
        <v>6</v>
      </c>
      <c r="L410" t="str">
        <f t="shared" si="45"/>
        <v>JUN</v>
      </c>
      <c r="M410">
        <f t="shared" si="46"/>
        <v>26</v>
      </c>
      <c r="N410">
        <f t="shared" si="47"/>
        <v>10</v>
      </c>
      <c r="O410" t="str">
        <f t="shared" si="49"/>
        <v>OCT</v>
      </c>
      <c r="P410" t="str">
        <f t="shared" si="48"/>
        <v>PAGO</v>
      </c>
    </row>
    <row r="411" spans="3:16" ht="30" x14ac:dyDescent="0.25">
      <c r="C411" s="35">
        <f>JUNHO!C22</f>
        <v>46189</v>
      </c>
      <c r="D411" s="35" t="str">
        <f>JUNHO!D22</f>
        <v>DESPESAS COM PRODUTOS</v>
      </c>
      <c r="E411" s="35" t="str">
        <f>JUNHO!E22</f>
        <v>-</v>
      </c>
      <c r="F411" s="67">
        <f>JUNHO!G22</f>
        <v>0</v>
      </c>
      <c r="G411" s="68">
        <f>JUNHO!H22</f>
        <v>24.3333333333333</v>
      </c>
      <c r="H411" s="37">
        <f>JUNHO!I22</f>
        <v>46322</v>
      </c>
      <c r="I411" s="34" t="str">
        <f>JUNHO!O22</f>
        <v>DESPESAS</v>
      </c>
      <c r="J411">
        <f t="shared" si="43"/>
        <v>16</v>
      </c>
      <c r="K411">
        <f t="shared" si="44"/>
        <v>6</v>
      </c>
      <c r="L411" t="str">
        <f t="shared" si="45"/>
        <v>JUN</v>
      </c>
      <c r="M411">
        <f t="shared" si="46"/>
        <v>27</v>
      </c>
      <c r="N411">
        <f t="shared" si="47"/>
        <v>10</v>
      </c>
      <c r="O411" t="str">
        <f t="shared" si="49"/>
        <v>OCT</v>
      </c>
      <c r="P411" t="str">
        <f t="shared" si="48"/>
        <v>PAGO</v>
      </c>
    </row>
    <row r="412" spans="3:16" ht="30" x14ac:dyDescent="0.25">
      <c r="C412" s="35">
        <f>JUNHO!C23</f>
        <v>46190</v>
      </c>
      <c r="D412" s="35" t="str">
        <f>JUNHO!D23</f>
        <v>DESPESAS COM PRODUTOS</v>
      </c>
      <c r="E412" s="35" t="str">
        <f>JUNHO!E23</f>
        <v>-</v>
      </c>
      <c r="F412" s="67">
        <f>JUNHO!G23</f>
        <v>0</v>
      </c>
      <c r="G412" s="68">
        <f>JUNHO!H23</f>
        <v>25.8333333333333</v>
      </c>
      <c r="H412" s="37">
        <f>JUNHO!I23</f>
        <v>46323</v>
      </c>
      <c r="I412" s="34" t="str">
        <f>JUNHO!O23</f>
        <v>DESPESAS</v>
      </c>
      <c r="J412">
        <f t="shared" si="43"/>
        <v>17</v>
      </c>
      <c r="K412">
        <f t="shared" si="44"/>
        <v>6</v>
      </c>
      <c r="L412" t="str">
        <f t="shared" si="45"/>
        <v>JUN</v>
      </c>
      <c r="M412">
        <f t="shared" si="46"/>
        <v>28</v>
      </c>
      <c r="N412">
        <f t="shared" si="47"/>
        <v>10</v>
      </c>
      <c r="O412" t="str">
        <f t="shared" si="49"/>
        <v>OCT</v>
      </c>
      <c r="P412" t="str">
        <f t="shared" si="48"/>
        <v>PAGO</v>
      </c>
    </row>
    <row r="413" spans="3:16" ht="30" x14ac:dyDescent="0.25">
      <c r="C413" s="35">
        <f>JUNHO!C24</f>
        <v>46191</v>
      </c>
      <c r="D413" s="35" t="str">
        <f>JUNHO!D24</f>
        <v>DESPESAS COM PRODUTOS</v>
      </c>
      <c r="E413" s="35" t="str">
        <f>JUNHO!E24</f>
        <v>-</v>
      </c>
      <c r="F413" s="67">
        <f>JUNHO!G24</f>
        <v>0</v>
      </c>
      <c r="G413" s="68">
        <f>JUNHO!H24</f>
        <v>27.3333333333333</v>
      </c>
      <c r="H413" s="37">
        <f>JUNHO!I24</f>
        <v>46324</v>
      </c>
      <c r="I413" s="34" t="str">
        <f>JUNHO!O24</f>
        <v>DESPESAS</v>
      </c>
      <c r="J413">
        <f t="shared" si="43"/>
        <v>18</v>
      </c>
      <c r="K413">
        <f t="shared" si="44"/>
        <v>6</v>
      </c>
      <c r="L413" t="str">
        <f t="shared" si="45"/>
        <v>JUN</v>
      </c>
      <c r="M413">
        <f t="shared" si="46"/>
        <v>29</v>
      </c>
      <c r="N413">
        <f t="shared" si="47"/>
        <v>10</v>
      </c>
      <c r="O413" t="str">
        <f t="shared" si="49"/>
        <v>OCT</v>
      </c>
      <c r="P413" t="str">
        <f t="shared" si="48"/>
        <v>PAGO</v>
      </c>
    </row>
    <row r="414" spans="3:16" ht="30" x14ac:dyDescent="0.25">
      <c r="C414" s="35">
        <f>JUNHO!C25</f>
        <v>46192</v>
      </c>
      <c r="D414" s="35" t="str">
        <f>JUNHO!D25</f>
        <v>DESPESAS COM PRODUTOS</v>
      </c>
      <c r="E414" s="35" t="str">
        <f>JUNHO!E25</f>
        <v>-</v>
      </c>
      <c r="F414" s="67">
        <f>JUNHO!G25</f>
        <v>0</v>
      </c>
      <c r="G414" s="68">
        <f>JUNHO!H25</f>
        <v>28.8333333333333</v>
      </c>
      <c r="H414" s="37">
        <f>JUNHO!I25</f>
        <v>46325</v>
      </c>
      <c r="I414" s="34" t="str">
        <f>JUNHO!O25</f>
        <v>DESPESAS</v>
      </c>
      <c r="J414">
        <f t="shared" si="43"/>
        <v>19</v>
      </c>
      <c r="K414">
        <f t="shared" si="44"/>
        <v>6</v>
      </c>
      <c r="L414" t="str">
        <f t="shared" si="45"/>
        <v>JUN</v>
      </c>
      <c r="M414">
        <f t="shared" si="46"/>
        <v>30</v>
      </c>
      <c r="N414">
        <f t="shared" si="47"/>
        <v>10</v>
      </c>
      <c r="O414" t="str">
        <f t="shared" si="49"/>
        <v>OCT</v>
      </c>
      <c r="P414" t="str">
        <f t="shared" si="48"/>
        <v>PAGO</v>
      </c>
    </row>
    <row r="415" spans="3:16" ht="30" x14ac:dyDescent="0.25">
      <c r="C415" s="35">
        <f>JUNHO!C26</f>
        <v>46193</v>
      </c>
      <c r="D415" s="35" t="str">
        <f>JUNHO!D26</f>
        <v>DESPESAS COM PRODUTOS</v>
      </c>
      <c r="E415" s="35" t="str">
        <f>JUNHO!E26</f>
        <v>-</v>
      </c>
      <c r="F415" s="67">
        <f>JUNHO!G26</f>
        <v>0</v>
      </c>
      <c r="G415" s="68">
        <f>JUNHO!H26</f>
        <v>30.3333333333333</v>
      </c>
      <c r="H415" s="37">
        <f>JUNHO!I26</f>
        <v>46326</v>
      </c>
      <c r="I415" s="34" t="str">
        <f>JUNHO!O26</f>
        <v>DESPESAS</v>
      </c>
      <c r="J415">
        <f t="shared" si="43"/>
        <v>20</v>
      </c>
      <c r="K415">
        <f t="shared" si="44"/>
        <v>6</v>
      </c>
      <c r="L415" t="str">
        <f t="shared" si="45"/>
        <v>JUN</v>
      </c>
      <c r="M415">
        <f t="shared" si="46"/>
        <v>31</v>
      </c>
      <c r="N415">
        <f t="shared" si="47"/>
        <v>10</v>
      </c>
      <c r="O415" t="str">
        <f t="shared" si="49"/>
        <v>OCT</v>
      </c>
      <c r="P415" t="str">
        <f t="shared" si="48"/>
        <v>PAGO</v>
      </c>
    </row>
    <row r="416" spans="3:16" ht="30" x14ac:dyDescent="0.25">
      <c r="C416" s="35">
        <f>JUNHO!C27</f>
        <v>46194</v>
      </c>
      <c r="D416" s="35" t="str">
        <f>JUNHO!D27</f>
        <v>DESPESAS COM PRODUTOS</v>
      </c>
      <c r="E416" s="35" t="str">
        <f>JUNHO!E27</f>
        <v>-</v>
      </c>
      <c r="F416" s="67">
        <f>JUNHO!G27</f>
        <v>0</v>
      </c>
      <c r="G416" s="68">
        <f>JUNHO!H27</f>
        <v>31.8333333333333</v>
      </c>
      <c r="H416" s="37">
        <f>JUNHO!I27</f>
        <v>46327</v>
      </c>
      <c r="I416" s="34" t="str">
        <f>JUNHO!O27</f>
        <v>DESPESAS</v>
      </c>
      <c r="J416">
        <f t="shared" si="43"/>
        <v>21</v>
      </c>
      <c r="K416">
        <f t="shared" si="44"/>
        <v>6</v>
      </c>
      <c r="L416" t="str">
        <f t="shared" si="45"/>
        <v>JUN</v>
      </c>
      <c r="M416">
        <f t="shared" si="46"/>
        <v>1</v>
      </c>
      <c r="N416">
        <f t="shared" si="47"/>
        <v>11</v>
      </c>
      <c r="O416" t="str">
        <f t="shared" si="49"/>
        <v>NOV</v>
      </c>
      <c r="P416" t="str">
        <f t="shared" si="48"/>
        <v>PAGO</v>
      </c>
    </row>
    <row r="417" spans="3:16" ht="30" x14ac:dyDescent="0.25">
      <c r="C417" s="35">
        <f>JUNHO!C28</f>
        <v>46195</v>
      </c>
      <c r="D417" s="35" t="str">
        <f>JUNHO!D28</f>
        <v>DESPESAS COM PRODUTOS</v>
      </c>
      <c r="E417" s="35" t="str">
        <f>JUNHO!E28</f>
        <v>-</v>
      </c>
      <c r="F417" s="67">
        <f>JUNHO!G28</f>
        <v>0</v>
      </c>
      <c r="G417" s="68">
        <f>JUNHO!H28</f>
        <v>33.3333333333333</v>
      </c>
      <c r="H417" s="37">
        <f>JUNHO!I28</f>
        <v>46328</v>
      </c>
      <c r="I417" s="34" t="str">
        <f>JUNHO!O28</f>
        <v>DESPESAS</v>
      </c>
      <c r="J417">
        <f t="shared" si="43"/>
        <v>22</v>
      </c>
      <c r="K417">
        <f t="shared" si="44"/>
        <v>6</v>
      </c>
      <c r="L417" t="str">
        <f t="shared" si="45"/>
        <v>JUN</v>
      </c>
      <c r="M417">
        <f t="shared" si="46"/>
        <v>2</v>
      </c>
      <c r="N417">
        <f t="shared" si="47"/>
        <v>11</v>
      </c>
      <c r="O417" t="str">
        <f t="shared" si="49"/>
        <v>NOV</v>
      </c>
      <c r="P417" t="str">
        <f t="shared" si="48"/>
        <v>PAGO</v>
      </c>
    </row>
    <row r="418" spans="3:16" ht="30" x14ac:dyDescent="0.25">
      <c r="C418" s="35">
        <f>JUNHO!C29</f>
        <v>46196</v>
      </c>
      <c r="D418" s="35" t="str">
        <f>JUNHO!D29</f>
        <v>DESPESAS COM PRODUTOS</v>
      </c>
      <c r="E418" s="35" t="str">
        <f>JUNHO!E29</f>
        <v>-</v>
      </c>
      <c r="F418" s="67">
        <f>JUNHO!G29</f>
        <v>0</v>
      </c>
      <c r="G418" s="68">
        <f>JUNHO!H29</f>
        <v>34.8333333333333</v>
      </c>
      <c r="H418" s="37">
        <f>JUNHO!I29</f>
        <v>46329</v>
      </c>
      <c r="I418" s="34" t="str">
        <f>JUNHO!O29</f>
        <v>DESPESAS</v>
      </c>
      <c r="J418">
        <f t="shared" si="43"/>
        <v>23</v>
      </c>
      <c r="K418">
        <f t="shared" si="44"/>
        <v>6</v>
      </c>
      <c r="L418" t="str">
        <f t="shared" si="45"/>
        <v>JUN</v>
      </c>
      <c r="M418">
        <f t="shared" si="46"/>
        <v>3</v>
      </c>
      <c r="N418">
        <f t="shared" si="47"/>
        <v>11</v>
      </c>
      <c r="O418" t="str">
        <f t="shared" si="49"/>
        <v>NOV</v>
      </c>
      <c r="P418" t="str">
        <f t="shared" si="48"/>
        <v>PAGO</v>
      </c>
    </row>
    <row r="419" spans="3:16" ht="30" x14ac:dyDescent="0.25">
      <c r="C419" s="35">
        <f>JUNHO!C30</f>
        <v>46197</v>
      </c>
      <c r="D419" s="35" t="str">
        <f>JUNHO!D30</f>
        <v>DESPESAS COM PRODUTOS</v>
      </c>
      <c r="E419" s="35" t="str">
        <f>JUNHO!E30</f>
        <v>-</v>
      </c>
      <c r="F419" s="67">
        <f>JUNHO!G30</f>
        <v>0</v>
      </c>
      <c r="G419" s="68">
        <f>JUNHO!H30</f>
        <v>36.3333333333333</v>
      </c>
      <c r="H419" s="37">
        <f>JUNHO!I30</f>
        <v>46330</v>
      </c>
      <c r="I419" s="34" t="str">
        <f>JUNHO!O30</f>
        <v>DESPESAS</v>
      </c>
      <c r="J419">
        <f t="shared" si="43"/>
        <v>24</v>
      </c>
      <c r="K419">
        <f t="shared" si="44"/>
        <v>6</v>
      </c>
      <c r="L419" t="str">
        <f t="shared" si="45"/>
        <v>JUN</v>
      </c>
      <c r="M419">
        <f t="shared" si="46"/>
        <v>4</v>
      </c>
      <c r="N419">
        <f t="shared" si="47"/>
        <v>11</v>
      </c>
      <c r="O419" t="str">
        <f t="shared" si="49"/>
        <v>NOV</v>
      </c>
      <c r="P419" t="str">
        <f t="shared" si="48"/>
        <v>PAGO</v>
      </c>
    </row>
    <row r="420" spans="3:16" ht="30" x14ac:dyDescent="0.25">
      <c r="C420" s="35">
        <f>JUNHO!C31</f>
        <v>46198</v>
      </c>
      <c r="D420" s="35" t="str">
        <f>JUNHO!D31</f>
        <v>DESPESAS COM PRODUTOS</v>
      </c>
      <c r="E420" s="35" t="str">
        <f>JUNHO!E31</f>
        <v>-</v>
      </c>
      <c r="F420" s="67">
        <f>JUNHO!G31</f>
        <v>0</v>
      </c>
      <c r="G420" s="68">
        <f>JUNHO!H31</f>
        <v>37.8333333333333</v>
      </c>
      <c r="H420" s="37">
        <f>JUNHO!I31</f>
        <v>46331</v>
      </c>
      <c r="I420" s="34" t="str">
        <f>JUNHO!O31</f>
        <v>DESPESAS</v>
      </c>
      <c r="J420">
        <f t="shared" si="43"/>
        <v>25</v>
      </c>
      <c r="K420">
        <f t="shared" si="44"/>
        <v>6</v>
      </c>
      <c r="L420" t="str">
        <f t="shared" si="45"/>
        <v>JUN</v>
      </c>
      <c r="M420">
        <f t="shared" si="46"/>
        <v>5</v>
      </c>
      <c r="N420">
        <f t="shared" si="47"/>
        <v>11</v>
      </c>
      <c r="O420" t="str">
        <f t="shared" si="49"/>
        <v>NOV</v>
      </c>
      <c r="P420" t="str">
        <f t="shared" si="48"/>
        <v>PAGO</v>
      </c>
    </row>
    <row r="421" spans="3:16" ht="30" x14ac:dyDescent="0.25">
      <c r="C421" s="35">
        <f>JUNHO!C32</f>
        <v>46199</v>
      </c>
      <c r="D421" s="35" t="str">
        <f>JUNHO!D32</f>
        <v>DESPESAS COM PRODUTOS</v>
      </c>
      <c r="E421" s="35" t="str">
        <f>JUNHO!E32</f>
        <v>-</v>
      </c>
      <c r="F421" s="67">
        <f>JUNHO!G32</f>
        <v>0</v>
      </c>
      <c r="G421" s="68">
        <f>JUNHO!H32</f>
        <v>39.3333333333333</v>
      </c>
      <c r="H421" s="37">
        <f>JUNHO!I32</f>
        <v>46332</v>
      </c>
      <c r="I421" s="34" t="str">
        <f>JUNHO!O32</f>
        <v>DESPESAS</v>
      </c>
      <c r="J421">
        <f t="shared" si="43"/>
        <v>26</v>
      </c>
      <c r="K421">
        <f t="shared" si="44"/>
        <v>6</v>
      </c>
      <c r="L421" t="str">
        <f t="shared" si="45"/>
        <v>JUN</v>
      </c>
      <c r="M421">
        <f t="shared" si="46"/>
        <v>6</v>
      </c>
      <c r="N421">
        <f t="shared" si="47"/>
        <v>11</v>
      </c>
      <c r="O421" t="str">
        <f t="shared" si="49"/>
        <v>NOV</v>
      </c>
      <c r="P421" t="str">
        <f t="shared" si="48"/>
        <v>PAGO</v>
      </c>
    </row>
    <row r="422" spans="3:16" ht="30" x14ac:dyDescent="0.25">
      <c r="C422" s="35">
        <f>JUNHO!C33</f>
        <v>46200</v>
      </c>
      <c r="D422" s="35" t="str">
        <f>JUNHO!D33</f>
        <v>DESPESAS COM PRODUTOS</v>
      </c>
      <c r="E422" s="35" t="str">
        <f>JUNHO!E33</f>
        <v>-</v>
      </c>
      <c r="F422" s="67">
        <f>JUNHO!G33</f>
        <v>0</v>
      </c>
      <c r="G422" s="68">
        <f>JUNHO!H33</f>
        <v>40.8333333333333</v>
      </c>
      <c r="H422" s="37">
        <f>JUNHO!I33</f>
        <v>46333</v>
      </c>
      <c r="I422" s="34" t="str">
        <f>JUNHO!O33</f>
        <v>DESPESAS</v>
      </c>
      <c r="J422">
        <f t="shared" si="43"/>
        <v>27</v>
      </c>
      <c r="K422">
        <f t="shared" si="44"/>
        <v>6</v>
      </c>
      <c r="L422" t="str">
        <f t="shared" si="45"/>
        <v>JUN</v>
      </c>
      <c r="M422">
        <f t="shared" si="46"/>
        <v>7</v>
      </c>
      <c r="N422">
        <f t="shared" si="47"/>
        <v>11</v>
      </c>
      <c r="O422" t="str">
        <f t="shared" si="49"/>
        <v>NOV</v>
      </c>
      <c r="P422" t="str">
        <f t="shared" si="48"/>
        <v>PAGO</v>
      </c>
    </row>
    <row r="423" spans="3:16" ht="30" x14ac:dyDescent="0.25">
      <c r="C423" s="35">
        <f>JUNHO!C34</f>
        <v>46201</v>
      </c>
      <c r="D423" s="35" t="str">
        <f>JUNHO!D34</f>
        <v>DESPESAS COM PRODUTOS</v>
      </c>
      <c r="E423" s="35" t="str">
        <f>JUNHO!E34</f>
        <v>-</v>
      </c>
      <c r="F423" s="67">
        <f>JUNHO!G34</f>
        <v>0</v>
      </c>
      <c r="G423" s="68">
        <f>JUNHO!H34</f>
        <v>42.3333333333333</v>
      </c>
      <c r="H423" s="37">
        <f>JUNHO!I34</f>
        <v>46334</v>
      </c>
      <c r="I423" s="34" t="str">
        <f>JUNHO!O34</f>
        <v>DESPESAS</v>
      </c>
      <c r="J423">
        <f t="shared" si="43"/>
        <v>28</v>
      </c>
      <c r="K423">
        <f t="shared" si="44"/>
        <v>6</v>
      </c>
      <c r="L423" t="str">
        <f t="shared" si="45"/>
        <v>JUN</v>
      </c>
      <c r="M423">
        <f t="shared" si="46"/>
        <v>8</v>
      </c>
      <c r="N423">
        <f t="shared" si="47"/>
        <v>11</v>
      </c>
      <c r="O423" t="str">
        <f t="shared" si="49"/>
        <v>NOV</v>
      </c>
      <c r="P423" t="str">
        <f t="shared" si="48"/>
        <v>PAGO</v>
      </c>
    </row>
    <row r="424" spans="3:16" ht="30" x14ac:dyDescent="0.25">
      <c r="C424" s="35">
        <f>JUNHO!C35</f>
        <v>46202</v>
      </c>
      <c r="D424" s="35" t="str">
        <f>JUNHO!D35</f>
        <v>DESPESAS COM PRODUTOS</v>
      </c>
      <c r="E424" s="35" t="str">
        <f>JUNHO!E35</f>
        <v>-</v>
      </c>
      <c r="F424" s="67">
        <f>JUNHO!G35</f>
        <v>0</v>
      </c>
      <c r="G424" s="68">
        <f>JUNHO!H35</f>
        <v>43.8333333333333</v>
      </c>
      <c r="H424" s="37">
        <f>JUNHO!I35</f>
        <v>46335</v>
      </c>
      <c r="I424" s="34" t="str">
        <f>JUNHO!O35</f>
        <v>DESPESAS</v>
      </c>
      <c r="J424">
        <f t="shared" si="43"/>
        <v>29</v>
      </c>
      <c r="K424">
        <f t="shared" si="44"/>
        <v>6</v>
      </c>
      <c r="L424" t="str">
        <f t="shared" si="45"/>
        <v>JUN</v>
      </c>
      <c r="M424">
        <f t="shared" si="46"/>
        <v>9</v>
      </c>
      <c r="N424">
        <f t="shared" si="47"/>
        <v>11</v>
      </c>
      <c r="O424" t="str">
        <f t="shared" si="49"/>
        <v>NOV</v>
      </c>
      <c r="P424" t="str">
        <f t="shared" si="48"/>
        <v>PAGO</v>
      </c>
    </row>
    <row r="425" spans="3:16" ht="30" x14ac:dyDescent="0.25">
      <c r="C425" s="35">
        <f>JUNHO!C36</f>
        <v>46203</v>
      </c>
      <c r="D425" s="35" t="str">
        <f>JUNHO!D36</f>
        <v>DESPESAS COM PRODUTOS</v>
      </c>
      <c r="E425" s="35" t="str">
        <f>JUNHO!E36</f>
        <v>-</v>
      </c>
      <c r="F425" s="67">
        <f>JUNHO!G36</f>
        <v>0</v>
      </c>
      <c r="G425" s="68">
        <f>JUNHO!H36</f>
        <v>45.3333333333333</v>
      </c>
      <c r="H425" s="37">
        <f>JUNHO!I36</f>
        <v>46336</v>
      </c>
      <c r="I425" s="34" t="str">
        <f>JUNHO!O36</f>
        <v>DESPESAS</v>
      </c>
      <c r="J425">
        <f t="shared" si="43"/>
        <v>30</v>
      </c>
      <c r="K425">
        <f t="shared" si="44"/>
        <v>6</v>
      </c>
      <c r="L425" t="str">
        <f t="shared" si="45"/>
        <v>JUN</v>
      </c>
      <c r="M425">
        <f t="shared" si="46"/>
        <v>10</v>
      </c>
      <c r="N425">
        <f t="shared" si="47"/>
        <v>11</v>
      </c>
      <c r="O425" t="str">
        <f t="shared" si="49"/>
        <v>NOV</v>
      </c>
      <c r="P425" t="str">
        <f t="shared" si="48"/>
        <v>PAGO</v>
      </c>
    </row>
    <row r="426" spans="3:16" ht="30" x14ac:dyDescent="0.25">
      <c r="C426" s="35">
        <f>JUNHO!C37</f>
        <v>46204</v>
      </c>
      <c r="D426" s="35" t="str">
        <f>JUNHO!D37</f>
        <v>DESPESAS COM PRODUTOS</v>
      </c>
      <c r="E426" s="35" t="str">
        <f>JUNHO!E37</f>
        <v>-</v>
      </c>
      <c r="F426" s="67">
        <f>JUNHO!G37</f>
        <v>0</v>
      </c>
      <c r="G426" s="68">
        <f>JUNHO!H37</f>
        <v>46.8333333333333</v>
      </c>
      <c r="H426" s="37">
        <f>JUNHO!I37</f>
        <v>46337</v>
      </c>
      <c r="I426" s="34" t="str">
        <f>JUNHO!O37</f>
        <v>DESPESAS</v>
      </c>
      <c r="J426">
        <f t="shared" si="43"/>
        <v>1</v>
      </c>
      <c r="K426">
        <f t="shared" si="44"/>
        <v>7</v>
      </c>
      <c r="L426" t="str">
        <f t="shared" si="45"/>
        <v>JUL</v>
      </c>
      <c r="M426">
        <f t="shared" si="46"/>
        <v>11</v>
      </c>
      <c r="N426">
        <f t="shared" si="47"/>
        <v>11</v>
      </c>
      <c r="O426" t="str">
        <f t="shared" si="49"/>
        <v>NOV</v>
      </c>
      <c r="P426" t="str">
        <f t="shared" si="48"/>
        <v>PAGO</v>
      </c>
    </row>
    <row r="427" spans="3:16" ht="30" x14ac:dyDescent="0.25">
      <c r="C427" s="35">
        <f>JUNHO!C38</f>
        <v>0</v>
      </c>
      <c r="D427" s="35" t="str">
        <f>JUNHO!D38</f>
        <v>DESPESAS COM PRODUTOS</v>
      </c>
      <c r="E427" s="35" t="str">
        <f>JUNHO!E38</f>
        <v>-</v>
      </c>
      <c r="F427" s="67">
        <f>JUNHO!G38</f>
        <v>0</v>
      </c>
      <c r="G427" s="68">
        <f>JUNHO!H38</f>
        <v>0</v>
      </c>
      <c r="H427" s="37">
        <f>JUNHO!I38</f>
        <v>46338</v>
      </c>
      <c r="I427" s="34" t="str">
        <f>JUNHO!O38</f>
        <v>DESPESAS</v>
      </c>
      <c r="J427">
        <f t="shared" si="43"/>
        <v>0</v>
      </c>
      <c r="K427" t="str">
        <f t="shared" si="44"/>
        <v xml:space="preserve"> </v>
      </c>
      <c r="L427" t="str">
        <f t="shared" si="45"/>
        <v/>
      </c>
      <c r="M427">
        <f t="shared" si="46"/>
        <v>12</v>
      </c>
      <c r="N427">
        <f t="shared" si="47"/>
        <v>11</v>
      </c>
      <c r="O427" t="str">
        <f t="shared" si="49"/>
        <v>NOV</v>
      </c>
      <c r="P427" t="str">
        <f t="shared" si="48"/>
        <v>PAGO</v>
      </c>
    </row>
    <row r="428" spans="3:16" ht="30" x14ac:dyDescent="0.25">
      <c r="C428" s="35">
        <f>JUNHO!C39</f>
        <v>0</v>
      </c>
      <c r="D428" s="35" t="str">
        <f>JUNHO!D39</f>
        <v>DESPESAS COM PRODUTOS</v>
      </c>
      <c r="E428" s="35" t="str">
        <f>JUNHO!E39</f>
        <v>-</v>
      </c>
      <c r="F428" s="67">
        <f>JUNHO!G39</f>
        <v>0</v>
      </c>
      <c r="G428" s="68">
        <f>JUNHO!H39</f>
        <v>0</v>
      </c>
      <c r="H428" s="37">
        <f>JUNHO!I39</f>
        <v>46339</v>
      </c>
      <c r="I428" s="34" t="str">
        <f>JUNHO!O39</f>
        <v>DESPESAS</v>
      </c>
      <c r="J428">
        <f t="shared" si="43"/>
        <v>0</v>
      </c>
      <c r="K428" t="str">
        <f t="shared" si="44"/>
        <v xml:space="preserve"> </v>
      </c>
      <c r="L428" t="str">
        <f t="shared" si="45"/>
        <v/>
      </c>
      <c r="M428">
        <f t="shared" si="46"/>
        <v>13</v>
      </c>
      <c r="N428">
        <f t="shared" si="47"/>
        <v>11</v>
      </c>
      <c r="O428" t="str">
        <f t="shared" si="49"/>
        <v>NOV</v>
      </c>
      <c r="P428" t="str">
        <f t="shared" si="48"/>
        <v>PAGO</v>
      </c>
    </row>
    <row r="429" spans="3:16" ht="30" x14ac:dyDescent="0.25">
      <c r="C429" s="35">
        <f>JUNHO!C40</f>
        <v>0</v>
      </c>
      <c r="D429" s="35" t="str">
        <f>JUNHO!D40</f>
        <v>DESPESAS COM PRODUTOS</v>
      </c>
      <c r="E429" s="35" t="str">
        <f>JUNHO!E40</f>
        <v>-</v>
      </c>
      <c r="F429" s="67">
        <f>JUNHO!G40</f>
        <v>0</v>
      </c>
      <c r="G429" s="68">
        <f>JUNHO!H40</f>
        <v>0</v>
      </c>
      <c r="H429" s="37">
        <f>JUNHO!I40</f>
        <v>46340</v>
      </c>
      <c r="I429" s="34" t="str">
        <f>JUNHO!O40</f>
        <v>DESPESAS</v>
      </c>
      <c r="J429">
        <f t="shared" si="43"/>
        <v>0</v>
      </c>
      <c r="K429" t="str">
        <f t="shared" si="44"/>
        <v xml:space="preserve"> </v>
      </c>
      <c r="L429" t="str">
        <f t="shared" si="45"/>
        <v/>
      </c>
      <c r="M429">
        <f t="shared" si="46"/>
        <v>14</v>
      </c>
      <c r="N429">
        <f t="shared" si="47"/>
        <v>11</v>
      </c>
      <c r="O429" t="str">
        <f t="shared" si="49"/>
        <v>NOV</v>
      </c>
      <c r="P429" t="str">
        <f t="shared" si="48"/>
        <v>PAGO</v>
      </c>
    </row>
    <row r="430" spans="3:16" ht="30" x14ac:dyDescent="0.25">
      <c r="C430" s="35">
        <f>JUNHO!C41</f>
        <v>0</v>
      </c>
      <c r="D430" s="35" t="str">
        <f>JUNHO!D41</f>
        <v>DESPESAS COM PRODUTOS</v>
      </c>
      <c r="E430" s="35" t="str">
        <f>JUNHO!E41</f>
        <v>-</v>
      </c>
      <c r="F430" s="67">
        <f>JUNHO!G41</f>
        <v>0</v>
      </c>
      <c r="G430" s="68">
        <f>JUNHO!H41</f>
        <v>0</v>
      </c>
      <c r="H430" s="37">
        <f>JUNHO!I41</f>
        <v>46341</v>
      </c>
      <c r="I430" s="34" t="str">
        <f>JUNHO!O41</f>
        <v>DESPESAS</v>
      </c>
      <c r="J430">
        <f t="shared" si="43"/>
        <v>0</v>
      </c>
      <c r="K430" t="str">
        <f t="shared" si="44"/>
        <v xml:space="preserve"> </v>
      </c>
      <c r="L430" t="str">
        <f t="shared" si="45"/>
        <v/>
      </c>
      <c r="M430">
        <f t="shared" si="46"/>
        <v>15</v>
      </c>
      <c r="N430">
        <f t="shared" si="47"/>
        <v>11</v>
      </c>
      <c r="O430" t="str">
        <f t="shared" si="49"/>
        <v>NOV</v>
      </c>
      <c r="P430" t="str">
        <f t="shared" si="48"/>
        <v>PAGO</v>
      </c>
    </row>
    <row r="431" spans="3:16" ht="30" x14ac:dyDescent="0.25">
      <c r="C431" s="35">
        <f>JUNHO!C42</f>
        <v>0</v>
      </c>
      <c r="D431" s="35" t="str">
        <f>JUNHO!D42</f>
        <v>DESPESAS COM PRODUTOS</v>
      </c>
      <c r="E431" s="35" t="str">
        <f>JUNHO!E42</f>
        <v>-</v>
      </c>
      <c r="F431" s="67">
        <f>JUNHO!G42</f>
        <v>0</v>
      </c>
      <c r="G431" s="68">
        <f>JUNHO!H42</f>
        <v>0</v>
      </c>
      <c r="H431" s="37">
        <f>JUNHO!I42</f>
        <v>46342</v>
      </c>
      <c r="I431" s="34" t="str">
        <f>JUNHO!O42</f>
        <v>DESPESAS</v>
      </c>
      <c r="J431">
        <f t="shared" si="43"/>
        <v>0</v>
      </c>
      <c r="K431" t="str">
        <f t="shared" si="44"/>
        <v xml:space="preserve"> </v>
      </c>
      <c r="L431" t="str">
        <f t="shared" si="45"/>
        <v/>
      </c>
      <c r="M431">
        <f t="shared" si="46"/>
        <v>16</v>
      </c>
      <c r="N431">
        <f t="shared" si="47"/>
        <v>11</v>
      </c>
      <c r="O431" t="str">
        <f t="shared" si="49"/>
        <v>NOV</v>
      </c>
      <c r="P431" t="str">
        <f t="shared" si="48"/>
        <v>PAGO</v>
      </c>
    </row>
    <row r="432" spans="3:16" ht="30" x14ac:dyDescent="0.25">
      <c r="C432" s="35">
        <f>JUNHO!C43</f>
        <v>0</v>
      </c>
      <c r="D432" s="35" t="str">
        <f>JUNHO!D43</f>
        <v>DESPESAS COM PRODUTOS</v>
      </c>
      <c r="E432" s="35" t="str">
        <f>JUNHO!E43</f>
        <v>-</v>
      </c>
      <c r="F432" s="67">
        <f>JUNHO!G43</f>
        <v>0</v>
      </c>
      <c r="G432" s="68">
        <f>JUNHO!H43</f>
        <v>0</v>
      </c>
      <c r="H432" s="37">
        <f>JUNHO!I43</f>
        <v>46343</v>
      </c>
      <c r="I432" s="34" t="str">
        <f>JUNHO!O43</f>
        <v>DESPESAS</v>
      </c>
      <c r="J432">
        <f t="shared" si="43"/>
        <v>0</v>
      </c>
      <c r="K432" t="str">
        <f t="shared" si="44"/>
        <v xml:space="preserve"> </v>
      </c>
      <c r="L432" t="str">
        <f t="shared" si="45"/>
        <v/>
      </c>
      <c r="M432">
        <f t="shared" si="46"/>
        <v>17</v>
      </c>
      <c r="N432">
        <f t="shared" si="47"/>
        <v>11</v>
      </c>
      <c r="O432" t="str">
        <f t="shared" si="49"/>
        <v>NOV</v>
      </c>
      <c r="P432" t="str">
        <f t="shared" si="48"/>
        <v>PAGO</v>
      </c>
    </row>
    <row r="433" spans="3:16" ht="30" x14ac:dyDescent="0.25">
      <c r="C433" s="35">
        <f>JUNHO!C44</f>
        <v>0</v>
      </c>
      <c r="D433" s="35" t="str">
        <f>JUNHO!D44</f>
        <v>DESPESAS COM PRODUTOS</v>
      </c>
      <c r="E433" s="35" t="str">
        <f>JUNHO!E44</f>
        <v>-</v>
      </c>
      <c r="F433" s="67">
        <f>JUNHO!G44</f>
        <v>0</v>
      </c>
      <c r="G433" s="68">
        <f>JUNHO!H44</f>
        <v>0</v>
      </c>
      <c r="H433" s="37">
        <f>JUNHO!I44</f>
        <v>46344</v>
      </c>
      <c r="I433" s="34" t="str">
        <f>JUNHO!O44</f>
        <v>DESPESAS</v>
      </c>
      <c r="J433">
        <f t="shared" si="43"/>
        <v>0</v>
      </c>
      <c r="K433" t="str">
        <f t="shared" si="44"/>
        <v xml:space="preserve"> </v>
      </c>
      <c r="L433" t="str">
        <f t="shared" si="45"/>
        <v/>
      </c>
      <c r="M433">
        <f t="shared" si="46"/>
        <v>18</v>
      </c>
      <c r="N433">
        <f t="shared" si="47"/>
        <v>11</v>
      </c>
      <c r="O433" t="str">
        <f t="shared" si="49"/>
        <v>NOV</v>
      </c>
      <c r="P433" t="str">
        <f t="shared" si="48"/>
        <v>PAGO</v>
      </c>
    </row>
    <row r="434" spans="3:16" ht="30" x14ac:dyDescent="0.25">
      <c r="C434" s="35">
        <f>JUNHO!C45</f>
        <v>0</v>
      </c>
      <c r="D434" s="35" t="str">
        <f>JUNHO!D45</f>
        <v>DESPESAS COM PRODUTOS</v>
      </c>
      <c r="E434" s="35" t="str">
        <f>JUNHO!E45</f>
        <v>-</v>
      </c>
      <c r="F434" s="67">
        <f>JUNHO!G45</f>
        <v>0</v>
      </c>
      <c r="G434" s="68">
        <f>JUNHO!H45</f>
        <v>0</v>
      </c>
      <c r="H434" s="37">
        <f>JUNHO!I45</f>
        <v>46345</v>
      </c>
      <c r="I434" s="34" t="str">
        <f>JUNHO!O45</f>
        <v>DESPESAS</v>
      </c>
      <c r="J434">
        <f t="shared" si="43"/>
        <v>0</v>
      </c>
      <c r="K434" t="str">
        <f t="shared" si="44"/>
        <v xml:space="preserve"> </v>
      </c>
      <c r="L434" t="str">
        <f t="shared" si="45"/>
        <v/>
      </c>
      <c r="M434">
        <f t="shared" si="46"/>
        <v>19</v>
      </c>
      <c r="N434">
        <f t="shared" si="47"/>
        <v>11</v>
      </c>
      <c r="O434" t="str">
        <f t="shared" si="49"/>
        <v>NOV</v>
      </c>
      <c r="P434" t="str">
        <f t="shared" si="48"/>
        <v>PAGO</v>
      </c>
    </row>
    <row r="435" spans="3:16" ht="30" x14ac:dyDescent="0.25">
      <c r="C435" s="35">
        <f>JUNHO!C46</f>
        <v>0</v>
      </c>
      <c r="D435" s="35" t="str">
        <f>JUNHO!D46</f>
        <v>DESPESAS COM PRODUTOS</v>
      </c>
      <c r="E435" s="35" t="str">
        <f>JUNHO!E46</f>
        <v>-</v>
      </c>
      <c r="F435" s="67">
        <f>JUNHO!G46</f>
        <v>0</v>
      </c>
      <c r="G435" s="68">
        <f>JUNHO!H46</f>
        <v>0</v>
      </c>
      <c r="H435" s="37">
        <f>JUNHO!I46</f>
        <v>46346</v>
      </c>
      <c r="I435" s="34" t="str">
        <f>JUNHO!O46</f>
        <v>DESPESAS</v>
      </c>
      <c r="J435">
        <f t="shared" si="43"/>
        <v>0</v>
      </c>
      <c r="K435" t="str">
        <f t="shared" si="44"/>
        <v xml:space="preserve"> </v>
      </c>
      <c r="L435" t="str">
        <f t="shared" si="45"/>
        <v/>
      </c>
      <c r="M435">
        <f t="shared" si="46"/>
        <v>20</v>
      </c>
      <c r="N435">
        <f t="shared" si="47"/>
        <v>11</v>
      </c>
      <c r="O435" t="str">
        <f t="shared" si="49"/>
        <v>NOV</v>
      </c>
      <c r="P435" t="str">
        <f t="shared" si="48"/>
        <v>PAGO</v>
      </c>
    </row>
    <row r="436" spans="3:16" ht="30" x14ac:dyDescent="0.25">
      <c r="C436" s="35">
        <f>JUNHO!C47</f>
        <v>0</v>
      </c>
      <c r="D436" s="35" t="str">
        <f>JUNHO!D47</f>
        <v>DESPESAS COM PRODUTOS</v>
      </c>
      <c r="E436" s="35" t="str">
        <f>JUNHO!E47</f>
        <v>-</v>
      </c>
      <c r="F436" s="67">
        <f>JUNHO!G47</f>
        <v>0</v>
      </c>
      <c r="G436" s="68">
        <f>JUNHO!H47</f>
        <v>0</v>
      </c>
      <c r="H436" s="37">
        <f>JUNHO!I47</f>
        <v>46347</v>
      </c>
      <c r="I436" s="34" t="str">
        <f>JUNHO!O47</f>
        <v>DESPESAS</v>
      </c>
      <c r="J436">
        <f t="shared" si="43"/>
        <v>0</v>
      </c>
      <c r="K436" t="str">
        <f t="shared" si="44"/>
        <v xml:space="preserve"> </v>
      </c>
      <c r="L436" t="str">
        <f t="shared" si="45"/>
        <v/>
      </c>
      <c r="M436">
        <f t="shared" si="46"/>
        <v>21</v>
      </c>
      <c r="N436">
        <f t="shared" si="47"/>
        <v>11</v>
      </c>
      <c r="O436" t="str">
        <f t="shared" si="49"/>
        <v>NOV</v>
      </c>
      <c r="P436" t="str">
        <f t="shared" si="48"/>
        <v>PAGO</v>
      </c>
    </row>
    <row r="437" spans="3:16" ht="30" x14ac:dyDescent="0.25">
      <c r="C437" s="35">
        <f>JUNHO!C48</f>
        <v>0</v>
      </c>
      <c r="D437" s="35" t="str">
        <f>JUNHO!D48</f>
        <v>DESPESAS COM PRODUTOS</v>
      </c>
      <c r="E437" s="35" t="str">
        <f>JUNHO!E48</f>
        <v>-</v>
      </c>
      <c r="F437" s="67">
        <f>JUNHO!G48</f>
        <v>0</v>
      </c>
      <c r="G437" s="68">
        <f>JUNHO!H48</f>
        <v>0</v>
      </c>
      <c r="H437" s="37">
        <f>JUNHO!I48</f>
        <v>46348</v>
      </c>
      <c r="I437" s="34" t="str">
        <f>JUNHO!O48</f>
        <v>DESPESAS</v>
      </c>
      <c r="J437">
        <f t="shared" si="43"/>
        <v>0</v>
      </c>
      <c r="K437" t="str">
        <f t="shared" si="44"/>
        <v xml:space="preserve"> </v>
      </c>
      <c r="L437" t="str">
        <f t="shared" si="45"/>
        <v/>
      </c>
      <c r="M437">
        <f t="shared" si="46"/>
        <v>22</v>
      </c>
      <c r="N437">
        <f t="shared" si="47"/>
        <v>11</v>
      </c>
      <c r="O437" t="str">
        <f t="shared" si="49"/>
        <v>NOV</v>
      </c>
      <c r="P437" t="str">
        <f t="shared" si="48"/>
        <v>PAGO</v>
      </c>
    </row>
    <row r="438" spans="3:16" ht="30" x14ac:dyDescent="0.25">
      <c r="C438" s="35">
        <f>JUNHO!C49</f>
        <v>0</v>
      </c>
      <c r="D438" s="35" t="str">
        <f>JUNHO!D49</f>
        <v>DESPESAS COM PRODUTOS</v>
      </c>
      <c r="E438" s="35" t="str">
        <f>JUNHO!E49</f>
        <v>-</v>
      </c>
      <c r="F438" s="67">
        <f>JUNHO!G49</f>
        <v>0</v>
      </c>
      <c r="G438" s="68">
        <f>JUNHO!H49</f>
        <v>0</v>
      </c>
      <c r="H438" s="37">
        <f>JUNHO!I49</f>
        <v>46349</v>
      </c>
      <c r="I438" s="34" t="str">
        <f>JUNHO!O49</f>
        <v>DESPESAS</v>
      </c>
      <c r="J438">
        <f t="shared" si="43"/>
        <v>0</v>
      </c>
      <c r="K438" t="str">
        <f t="shared" si="44"/>
        <v xml:space="preserve"> </v>
      </c>
      <c r="L438" t="str">
        <f t="shared" si="45"/>
        <v/>
      </c>
      <c r="M438">
        <f t="shared" si="46"/>
        <v>23</v>
      </c>
      <c r="N438">
        <f t="shared" si="47"/>
        <v>11</v>
      </c>
      <c r="O438" t="str">
        <f t="shared" si="49"/>
        <v>NOV</v>
      </c>
      <c r="P438" t="str">
        <f t="shared" si="48"/>
        <v>PAGO</v>
      </c>
    </row>
    <row r="439" spans="3:16" ht="30" x14ac:dyDescent="0.25">
      <c r="C439" s="35">
        <f>JUNHO!C50</f>
        <v>0</v>
      </c>
      <c r="D439" s="35" t="str">
        <f>JUNHO!D50</f>
        <v>DESPESAS COM PRODUTOS</v>
      </c>
      <c r="E439" s="35" t="str">
        <f>JUNHO!E50</f>
        <v>-</v>
      </c>
      <c r="F439" s="67">
        <f>JUNHO!G50</f>
        <v>0</v>
      </c>
      <c r="G439" s="68">
        <f>JUNHO!H50</f>
        <v>0</v>
      </c>
      <c r="H439" s="37">
        <f>JUNHO!I50</f>
        <v>46350</v>
      </c>
      <c r="I439" s="34" t="str">
        <f>JUNHO!O50</f>
        <v>DESPESAS</v>
      </c>
      <c r="J439">
        <f t="shared" si="43"/>
        <v>0</v>
      </c>
      <c r="K439" t="str">
        <f t="shared" si="44"/>
        <v xml:space="preserve"> </v>
      </c>
      <c r="L439" t="str">
        <f t="shared" si="45"/>
        <v/>
      </c>
      <c r="M439">
        <f t="shared" si="46"/>
        <v>24</v>
      </c>
      <c r="N439">
        <f t="shared" si="47"/>
        <v>11</v>
      </c>
      <c r="O439" t="str">
        <f t="shared" si="49"/>
        <v>NOV</v>
      </c>
      <c r="P439" t="str">
        <f t="shared" si="48"/>
        <v>PAGO</v>
      </c>
    </row>
    <row r="440" spans="3:16" ht="30" x14ac:dyDescent="0.25">
      <c r="C440" s="35">
        <f>JUNHO!C51</f>
        <v>0</v>
      </c>
      <c r="D440" s="35" t="str">
        <f>JUNHO!D51</f>
        <v>DESPESAS COM PRODUTOS</v>
      </c>
      <c r="E440" s="35" t="str">
        <f>JUNHO!E51</f>
        <v>-</v>
      </c>
      <c r="F440" s="67">
        <f>JUNHO!G51</f>
        <v>0</v>
      </c>
      <c r="G440" s="68">
        <f>JUNHO!H51</f>
        <v>0</v>
      </c>
      <c r="H440" s="37">
        <f>JUNHO!I51</f>
        <v>46351</v>
      </c>
      <c r="I440" s="34" t="str">
        <f>JUNHO!O51</f>
        <v>DESPESAS</v>
      </c>
      <c r="J440">
        <f t="shared" si="43"/>
        <v>0</v>
      </c>
      <c r="K440" t="str">
        <f t="shared" si="44"/>
        <v xml:space="preserve"> </v>
      </c>
      <c r="L440" t="str">
        <f t="shared" si="45"/>
        <v/>
      </c>
      <c r="M440">
        <f t="shared" si="46"/>
        <v>25</v>
      </c>
      <c r="N440">
        <f t="shared" si="47"/>
        <v>11</v>
      </c>
      <c r="O440" t="str">
        <f t="shared" si="49"/>
        <v>NOV</v>
      </c>
      <c r="P440" t="str">
        <f t="shared" si="48"/>
        <v>PAGO</v>
      </c>
    </row>
    <row r="441" spans="3:16" ht="30" x14ac:dyDescent="0.25">
      <c r="C441" s="35">
        <f>JUNHO!C52</f>
        <v>0</v>
      </c>
      <c r="D441" s="35" t="str">
        <f>JUNHO!D52</f>
        <v>DESPESAS COM PRODUTOS</v>
      </c>
      <c r="E441" s="35" t="str">
        <f>JUNHO!E52</f>
        <v>-</v>
      </c>
      <c r="F441" s="67">
        <f>JUNHO!G52</f>
        <v>0</v>
      </c>
      <c r="G441" s="68">
        <f>JUNHO!H52</f>
        <v>0</v>
      </c>
      <c r="H441" s="37">
        <f>JUNHO!I52</f>
        <v>46352</v>
      </c>
      <c r="I441" s="34" t="str">
        <f>JUNHO!O52</f>
        <v>DESPESAS</v>
      </c>
      <c r="J441">
        <f t="shared" si="43"/>
        <v>0</v>
      </c>
      <c r="K441" t="str">
        <f t="shared" si="44"/>
        <v xml:space="preserve"> </v>
      </c>
      <c r="L441" t="str">
        <f t="shared" si="45"/>
        <v/>
      </c>
      <c r="M441">
        <f t="shared" si="46"/>
        <v>26</v>
      </c>
      <c r="N441">
        <f t="shared" si="47"/>
        <v>11</v>
      </c>
      <c r="O441" t="str">
        <f t="shared" si="49"/>
        <v>NOV</v>
      </c>
      <c r="P441" t="str">
        <f t="shared" si="48"/>
        <v>PAGO</v>
      </c>
    </row>
    <row r="442" spans="3:16" ht="30" x14ac:dyDescent="0.25">
      <c r="C442" s="35">
        <f>JUNHO!C53</f>
        <v>0</v>
      </c>
      <c r="D442" s="35" t="str">
        <f>JUNHO!D53</f>
        <v>DESPESAS COM PRODUTOS</v>
      </c>
      <c r="E442" s="35" t="str">
        <f>JUNHO!E53</f>
        <v>-</v>
      </c>
      <c r="F442" s="67">
        <f>JUNHO!G53</f>
        <v>0</v>
      </c>
      <c r="G442" s="68">
        <f>JUNHO!H53</f>
        <v>0</v>
      </c>
      <c r="H442" s="37">
        <f>JUNHO!I53</f>
        <v>46353</v>
      </c>
      <c r="I442" s="34" t="str">
        <f>JUNHO!O53</f>
        <v>DESPESAS</v>
      </c>
      <c r="J442">
        <f t="shared" si="43"/>
        <v>0</v>
      </c>
      <c r="K442" t="str">
        <f t="shared" si="44"/>
        <v xml:space="preserve"> </v>
      </c>
      <c r="L442" t="str">
        <f t="shared" si="45"/>
        <v/>
      </c>
      <c r="M442">
        <f t="shared" si="46"/>
        <v>27</v>
      </c>
      <c r="N442">
        <f t="shared" si="47"/>
        <v>11</v>
      </c>
      <c r="O442" t="str">
        <f t="shared" si="49"/>
        <v>NOV</v>
      </c>
      <c r="P442" t="str">
        <f t="shared" si="48"/>
        <v>PAGO</v>
      </c>
    </row>
    <row r="443" spans="3:16" ht="30" x14ac:dyDescent="0.25">
      <c r="C443" s="35">
        <f>JUNHO!C54</f>
        <v>0</v>
      </c>
      <c r="D443" s="35" t="str">
        <f>JUNHO!D54</f>
        <v>DESPESAS COM PRODUTOS</v>
      </c>
      <c r="E443" s="35" t="str">
        <f>JUNHO!E54</f>
        <v>-</v>
      </c>
      <c r="F443" s="67">
        <f>JUNHO!G54</f>
        <v>0</v>
      </c>
      <c r="G443" s="68">
        <f>JUNHO!H54</f>
        <v>0</v>
      </c>
      <c r="H443" s="37">
        <f>JUNHO!I54</f>
        <v>46354</v>
      </c>
      <c r="I443" s="34" t="str">
        <f>JUNHO!O54</f>
        <v>DESPESAS</v>
      </c>
      <c r="J443">
        <f t="shared" si="43"/>
        <v>0</v>
      </c>
      <c r="K443" t="str">
        <f t="shared" si="44"/>
        <v xml:space="preserve"> </v>
      </c>
      <c r="L443" t="str">
        <f t="shared" si="45"/>
        <v/>
      </c>
      <c r="M443">
        <f t="shared" si="46"/>
        <v>28</v>
      </c>
      <c r="N443">
        <f t="shared" si="47"/>
        <v>11</v>
      </c>
      <c r="O443" t="str">
        <f t="shared" si="49"/>
        <v>NOV</v>
      </c>
      <c r="P443" t="str">
        <f t="shared" si="48"/>
        <v>PAGO</v>
      </c>
    </row>
    <row r="444" spans="3:16" ht="30" x14ac:dyDescent="0.25">
      <c r="C444" s="35">
        <f>JUNHO!C55</f>
        <v>0</v>
      </c>
      <c r="D444" s="35" t="str">
        <f>JUNHO!D55</f>
        <v>DESPESAS COM PRODUTOS</v>
      </c>
      <c r="E444" s="35" t="str">
        <f>JUNHO!E55</f>
        <v>-</v>
      </c>
      <c r="F444" s="67">
        <f>JUNHO!G55</f>
        <v>0</v>
      </c>
      <c r="G444" s="68">
        <f>JUNHO!H55</f>
        <v>0</v>
      </c>
      <c r="H444" s="37">
        <f>JUNHO!I55</f>
        <v>46355</v>
      </c>
      <c r="I444" s="34" t="str">
        <f>JUNHO!O55</f>
        <v>DESPESAS</v>
      </c>
      <c r="J444">
        <f t="shared" si="43"/>
        <v>0</v>
      </c>
      <c r="K444" t="str">
        <f t="shared" si="44"/>
        <v xml:space="preserve"> </v>
      </c>
      <c r="L444" t="str">
        <f t="shared" si="45"/>
        <v/>
      </c>
      <c r="M444">
        <f t="shared" si="46"/>
        <v>29</v>
      </c>
      <c r="N444">
        <f t="shared" si="47"/>
        <v>11</v>
      </c>
      <c r="O444" t="str">
        <f t="shared" si="49"/>
        <v>NOV</v>
      </c>
      <c r="P444" t="str">
        <f t="shared" si="48"/>
        <v>PAGO</v>
      </c>
    </row>
    <row r="445" spans="3:16" ht="30" x14ac:dyDescent="0.25">
      <c r="C445" s="35">
        <f>JUNHO!C56</f>
        <v>0</v>
      </c>
      <c r="D445" s="35" t="str">
        <f>JUNHO!D56</f>
        <v>DESPESAS COM PRODUTOS</v>
      </c>
      <c r="E445" s="35" t="str">
        <f>JUNHO!E56</f>
        <v>-</v>
      </c>
      <c r="F445" s="67">
        <f>JUNHO!G56</f>
        <v>0</v>
      </c>
      <c r="G445" s="68">
        <f>JUNHO!H56</f>
        <v>0</v>
      </c>
      <c r="H445" s="37">
        <f>JUNHO!I56</f>
        <v>46356</v>
      </c>
      <c r="I445" s="34" t="str">
        <f>JUNHO!O56</f>
        <v>DESPESAS</v>
      </c>
      <c r="J445">
        <f t="shared" si="43"/>
        <v>0</v>
      </c>
      <c r="K445" t="str">
        <f t="shared" si="44"/>
        <v xml:space="preserve"> </v>
      </c>
      <c r="L445" t="str">
        <f t="shared" si="45"/>
        <v/>
      </c>
      <c r="M445">
        <f t="shared" si="46"/>
        <v>30</v>
      </c>
      <c r="N445">
        <f t="shared" si="47"/>
        <v>11</v>
      </c>
      <c r="O445" t="str">
        <f t="shared" si="49"/>
        <v>NOV</v>
      </c>
      <c r="P445" t="str">
        <f t="shared" si="48"/>
        <v>PAGO</v>
      </c>
    </row>
    <row r="446" spans="3:16" ht="30" x14ac:dyDescent="0.25">
      <c r="C446" s="35">
        <f>JUNHO!C57</f>
        <v>0</v>
      </c>
      <c r="D446" s="35" t="str">
        <f>JUNHO!D57</f>
        <v>DESPESAS COM PRODUTOS</v>
      </c>
      <c r="E446" s="35" t="str">
        <f>JUNHO!E57</f>
        <v>-</v>
      </c>
      <c r="F446" s="67">
        <f>JUNHO!G57</f>
        <v>0</v>
      </c>
      <c r="G446" s="68">
        <f>JUNHO!H57</f>
        <v>0</v>
      </c>
      <c r="H446" s="37">
        <f>JUNHO!I57</f>
        <v>46357</v>
      </c>
      <c r="I446" s="34" t="str">
        <f>JUNHO!O57</f>
        <v>DESPESAS</v>
      </c>
      <c r="J446">
        <f t="shared" si="43"/>
        <v>0</v>
      </c>
      <c r="K446" t="str">
        <f t="shared" si="44"/>
        <v xml:space="preserve"> </v>
      </c>
      <c r="L446" t="str">
        <f t="shared" si="45"/>
        <v/>
      </c>
      <c r="M446">
        <f t="shared" si="46"/>
        <v>1</v>
      </c>
      <c r="N446">
        <f t="shared" si="47"/>
        <v>12</v>
      </c>
      <c r="O446" t="str">
        <f t="shared" si="49"/>
        <v>DEC</v>
      </c>
      <c r="P446" t="str">
        <f t="shared" si="48"/>
        <v>PAGO</v>
      </c>
    </row>
    <row r="447" spans="3:16" ht="30" x14ac:dyDescent="0.25">
      <c r="C447" s="35">
        <f>JUNHO!C58</f>
        <v>0</v>
      </c>
      <c r="D447" s="35" t="str">
        <f>JUNHO!D58</f>
        <v>DESPESAS COM PRODUTOS</v>
      </c>
      <c r="E447" s="35" t="str">
        <f>JUNHO!E58</f>
        <v>-</v>
      </c>
      <c r="F447" s="67">
        <f>JUNHO!G58</f>
        <v>0</v>
      </c>
      <c r="G447" s="68">
        <f>JUNHO!H58</f>
        <v>0</v>
      </c>
      <c r="H447" s="37">
        <f>JUNHO!I58</f>
        <v>46358</v>
      </c>
      <c r="I447" s="34" t="str">
        <f>JUNHO!O58</f>
        <v>DESPESAS</v>
      </c>
      <c r="J447">
        <f t="shared" si="43"/>
        <v>0</v>
      </c>
      <c r="K447" t="str">
        <f t="shared" si="44"/>
        <v xml:space="preserve"> </v>
      </c>
      <c r="L447" t="str">
        <f t="shared" si="45"/>
        <v/>
      </c>
      <c r="M447">
        <f t="shared" si="46"/>
        <v>2</v>
      </c>
      <c r="N447">
        <f t="shared" si="47"/>
        <v>12</v>
      </c>
      <c r="O447" t="str">
        <f t="shared" si="49"/>
        <v>DEC</v>
      </c>
      <c r="P447" t="str">
        <f t="shared" si="48"/>
        <v>PAGO</v>
      </c>
    </row>
    <row r="448" spans="3:16" ht="30" x14ac:dyDescent="0.25">
      <c r="C448" s="35">
        <f>JUNHO!C59</f>
        <v>0</v>
      </c>
      <c r="D448" s="35" t="str">
        <f>JUNHO!D59</f>
        <v>DESPESAS COM PRODUTOS</v>
      </c>
      <c r="E448" s="35" t="str">
        <f>JUNHO!E59</f>
        <v>-</v>
      </c>
      <c r="F448" s="67">
        <f>JUNHO!G59</f>
        <v>0</v>
      </c>
      <c r="G448" s="68">
        <f>JUNHO!H59</f>
        <v>0</v>
      </c>
      <c r="H448" s="37">
        <f>JUNHO!I59</f>
        <v>46359</v>
      </c>
      <c r="I448" s="34" t="str">
        <f>JUNHO!O59</f>
        <v>DESPESAS</v>
      </c>
      <c r="J448">
        <f t="shared" si="43"/>
        <v>0</v>
      </c>
      <c r="K448" t="str">
        <f t="shared" si="44"/>
        <v xml:space="preserve"> </v>
      </c>
      <c r="L448" t="str">
        <f t="shared" si="45"/>
        <v/>
      </c>
      <c r="M448">
        <f t="shared" si="46"/>
        <v>3</v>
      </c>
      <c r="N448">
        <f t="shared" si="47"/>
        <v>12</v>
      </c>
      <c r="O448" t="str">
        <f t="shared" si="49"/>
        <v>DEC</v>
      </c>
      <c r="P448" t="str">
        <f t="shared" si="48"/>
        <v>PAGO</v>
      </c>
    </row>
    <row r="449" spans="3:16" ht="30" x14ac:dyDescent="0.25">
      <c r="C449" s="35">
        <f>JUNHO!C60</f>
        <v>0</v>
      </c>
      <c r="D449" s="35" t="str">
        <f>JUNHO!D60</f>
        <v>DESPESAS COM PRODUTOS</v>
      </c>
      <c r="E449" s="35" t="str">
        <f>JUNHO!E60</f>
        <v>-</v>
      </c>
      <c r="F449" s="67">
        <f>JUNHO!G60</f>
        <v>0</v>
      </c>
      <c r="G449" s="68">
        <f>JUNHO!H60</f>
        <v>0</v>
      </c>
      <c r="H449" s="37">
        <f>JUNHO!I60</f>
        <v>46360</v>
      </c>
      <c r="I449" s="34" t="str">
        <f>JUNHO!O60</f>
        <v>DESPESAS</v>
      </c>
      <c r="J449">
        <f t="shared" si="43"/>
        <v>0</v>
      </c>
      <c r="K449" t="str">
        <f t="shared" si="44"/>
        <v xml:space="preserve"> </v>
      </c>
      <c r="L449" t="str">
        <f t="shared" si="45"/>
        <v/>
      </c>
      <c r="M449">
        <f t="shared" si="46"/>
        <v>4</v>
      </c>
      <c r="N449">
        <f t="shared" si="47"/>
        <v>12</v>
      </c>
      <c r="O449" t="str">
        <f t="shared" si="49"/>
        <v>DEC</v>
      </c>
      <c r="P449" t="str">
        <f t="shared" si="48"/>
        <v>PAGO</v>
      </c>
    </row>
    <row r="450" spans="3:16" ht="30" x14ac:dyDescent="0.25">
      <c r="C450" s="35">
        <f>JUNHO!C61</f>
        <v>0</v>
      </c>
      <c r="D450" s="35" t="str">
        <f>JUNHO!D61</f>
        <v>DESPESAS COM PRODUTOS</v>
      </c>
      <c r="E450" s="35" t="str">
        <f>JUNHO!E61</f>
        <v>-</v>
      </c>
      <c r="F450" s="67">
        <f>JUNHO!G61</f>
        <v>0</v>
      </c>
      <c r="G450" s="68">
        <f>JUNHO!H61</f>
        <v>0</v>
      </c>
      <c r="H450" s="37">
        <f>JUNHO!I61</f>
        <v>46361</v>
      </c>
      <c r="I450" s="34" t="str">
        <f>JUNHO!O61</f>
        <v>DESPESAS</v>
      </c>
      <c r="J450">
        <f t="shared" si="43"/>
        <v>0</v>
      </c>
      <c r="K450" t="str">
        <f t="shared" si="44"/>
        <v xml:space="preserve"> </v>
      </c>
      <c r="L450" t="str">
        <f t="shared" si="45"/>
        <v/>
      </c>
      <c r="M450">
        <f t="shared" si="46"/>
        <v>5</v>
      </c>
      <c r="N450">
        <f t="shared" si="47"/>
        <v>12</v>
      </c>
      <c r="O450" t="str">
        <f t="shared" si="49"/>
        <v>DEC</v>
      </c>
      <c r="P450" t="str">
        <f t="shared" si="48"/>
        <v>PAGO</v>
      </c>
    </row>
    <row r="451" spans="3:16" ht="30" x14ac:dyDescent="0.25">
      <c r="C451" s="35">
        <f>JUNHO!C62</f>
        <v>0</v>
      </c>
      <c r="D451" s="35" t="str">
        <f>JUNHO!D62</f>
        <v>DESPESAS COM PRODUTOS</v>
      </c>
      <c r="E451" s="35" t="str">
        <f>JUNHO!E62</f>
        <v>-</v>
      </c>
      <c r="F451" s="67">
        <f>JUNHO!G62</f>
        <v>0</v>
      </c>
      <c r="G451" s="68">
        <f>JUNHO!H62</f>
        <v>0</v>
      </c>
      <c r="H451" s="37">
        <f>JUNHO!I62</f>
        <v>46362</v>
      </c>
      <c r="I451" s="34" t="str">
        <f>JUNHO!O62</f>
        <v>DESPESAS</v>
      </c>
      <c r="J451">
        <f t="shared" si="43"/>
        <v>0</v>
      </c>
      <c r="K451" t="str">
        <f t="shared" si="44"/>
        <v xml:space="preserve"> </v>
      </c>
      <c r="L451" t="str">
        <f t="shared" si="45"/>
        <v/>
      </c>
      <c r="M451">
        <f t="shared" si="46"/>
        <v>6</v>
      </c>
      <c r="N451">
        <f t="shared" si="47"/>
        <v>12</v>
      </c>
      <c r="O451" t="str">
        <f t="shared" si="49"/>
        <v>DEC</v>
      </c>
      <c r="P451" t="str">
        <f t="shared" si="48"/>
        <v>PAGO</v>
      </c>
    </row>
    <row r="452" spans="3:16" ht="30" x14ac:dyDescent="0.25">
      <c r="C452" s="35">
        <f>JUNHO!C63</f>
        <v>0</v>
      </c>
      <c r="D452" s="35" t="str">
        <f>JUNHO!D63</f>
        <v>DESPESAS COM PRODUTOS</v>
      </c>
      <c r="E452" s="35" t="str">
        <f>JUNHO!E63</f>
        <v>-</v>
      </c>
      <c r="F452" s="67">
        <f>JUNHO!G63</f>
        <v>0</v>
      </c>
      <c r="G452" s="68">
        <f>JUNHO!H63</f>
        <v>0</v>
      </c>
      <c r="H452" s="37">
        <f>JUNHO!I63</f>
        <v>46363</v>
      </c>
      <c r="I452" s="34" t="str">
        <f>JUNHO!O63</f>
        <v>DESPESAS</v>
      </c>
      <c r="J452">
        <f t="shared" si="43"/>
        <v>0</v>
      </c>
      <c r="K452" t="str">
        <f t="shared" si="44"/>
        <v xml:space="preserve"> </v>
      </c>
      <c r="L452" t="str">
        <f t="shared" si="45"/>
        <v/>
      </c>
      <c r="M452">
        <f t="shared" si="46"/>
        <v>7</v>
      </c>
      <c r="N452">
        <f t="shared" si="47"/>
        <v>12</v>
      </c>
      <c r="O452" t="str">
        <f t="shared" si="49"/>
        <v>DEC</v>
      </c>
      <c r="P452" t="str">
        <f t="shared" si="48"/>
        <v>PAGO</v>
      </c>
    </row>
    <row r="453" spans="3:16" ht="30" x14ac:dyDescent="0.25">
      <c r="C453" s="35">
        <f>JUNHO!C64</f>
        <v>0</v>
      </c>
      <c r="D453" s="35" t="str">
        <f>JUNHO!D64</f>
        <v>DESPESAS COM PRODUTOS</v>
      </c>
      <c r="E453" s="35" t="str">
        <f>JUNHO!E64</f>
        <v>-</v>
      </c>
      <c r="F453" s="67">
        <f>JUNHO!G64</f>
        <v>0</v>
      </c>
      <c r="G453" s="68">
        <f>JUNHO!H64</f>
        <v>0</v>
      </c>
      <c r="H453" s="37">
        <f>JUNHO!I64</f>
        <v>46364</v>
      </c>
      <c r="I453" s="34" t="str">
        <f>JUNHO!O64</f>
        <v>DESPESAS</v>
      </c>
      <c r="J453">
        <f t="shared" si="43"/>
        <v>0</v>
      </c>
      <c r="K453" t="str">
        <f t="shared" si="44"/>
        <v xml:space="preserve"> </v>
      </c>
      <c r="L453" t="str">
        <f t="shared" si="45"/>
        <v/>
      </c>
      <c r="M453">
        <f t="shared" si="46"/>
        <v>8</v>
      </c>
      <c r="N453">
        <f t="shared" si="47"/>
        <v>12</v>
      </c>
      <c r="O453" t="str">
        <f t="shared" si="49"/>
        <v>DEC</v>
      </c>
      <c r="P453" t="str">
        <f t="shared" si="48"/>
        <v>PAGO</v>
      </c>
    </row>
    <row r="454" spans="3:16" ht="30" x14ac:dyDescent="0.25">
      <c r="C454" s="35">
        <f>JUNHO!C65</f>
        <v>0</v>
      </c>
      <c r="D454" s="35" t="str">
        <f>JUNHO!D65</f>
        <v>DESPESAS COM PRODUTOS</v>
      </c>
      <c r="E454" s="35" t="str">
        <f>JUNHO!E65</f>
        <v>-</v>
      </c>
      <c r="F454" s="67">
        <f>JUNHO!G65</f>
        <v>0</v>
      </c>
      <c r="G454" s="68">
        <f>JUNHO!H65</f>
        <v>0</v>
      </c>
      <c r="H454" s="37">
        <f>JUNHO!I65</f>
        <v>46365</v>
      </c>
      <c r="I454" s="34" t="str">
        <f>JUNHO!O65</f>
        <v>DESPESAS</v>
      </c>
      <c r="J454">
        <f t="shared" si="43"/>
        <v>0</v>
      </c>
      <c r="K454" t="str">
        <f t="shared" si="44"/>
        <v xml:space="preserve"> </v>
      </c>
      <c r="L454" t="str">
        <f t="shared" si="45"/>
        <v/>
      </c>
      <c r="M454">
        <f t="shared" si="46"/>
        <v>9</v>
      </c>
      <c r="N454">
        <f t="shared" si="47"/>
        <v>12</v>
      </c>
      <c r="O454" t="str">
        <f t="shared" si="49"/>
        <v>DEC</v>
      </c>
      <c r="P454" t="str">
        <f t="shared" si="48"/>
        <v>PAGO</v>
      </c>
    </row>
    <row r="455" spans="3:16" ht="30" x14ac:dyDescent="0.25">
      <c r="C455" s="35">
        <f>JUNHO!C66</f>
        <v>0</v>
      </c>
      <c r="D455" s="35" t="str">
        <f>JUNHO!D66</f>
        <v>DESPESAS COM PRODUTOS</v>
      </c>
      <c r="E455" s="35" t="str">
        <f>JUNHO!E66</f>
        <v>-</v>
      </c>
      <c r="F455" s="67">
        <f>JUNHO!G66</f>
        <v>0</v>
      </c>
      <c r="G455" s="68">
        <f>JUNHO!H66</f>
        <v>0</v>
      </c>
      <c r="H455" s="37">
        <f>JUNHO!I66</f>
        <v>46366</v>
      </c>
      <c r="I455" s="34" t="str">
        <f>JUNHO!O66</f>
        <v>DESPESAS</v>
      </c>
      <c r="J455">
        <f t="shared" ref="J455:J518" si="50">DAY(C455)</f>
        <v>0</v>
      </c>
      <c r="K455" t="str">
        <f t="shared" ref="K455:K518" si="51">IF(C455 = 0, " ",MONTH(C455))</f>
        <v xml:space="preserve"> </v>
      </c>
      <c r="L455" t="str">
        <f t="shared" ref="L455:L518" si="52">IFERROR(VLOOKUP(K455,$R$6:$S$17,2),"")</f>
        <v/>
      </c>
      <c r="M455">
        <f t="shared" ref="M455:M518" si="53">DAY(H455)</f>
        <v>10</v>
      </c>
      <c r="N455">
        <f t="shared" ref="N455:N518" si="54">IF(H455 = 0, " ",MONTH(H455))</f>
        <v>12</v>
      </c>
      <c r="O455" t="str">
        <f t="shared" si="49"/>
        <v>DEC</v>
      </c>
      <c r="P455" t="str">
        <f t="shared" ref="P455:P518" si="55">IF(H455=0,"NAO PAGO","PAGO")</f>
        <v>PAGO</v>
      </c>
    </row>
    <row r="456" spans="3:16" ht="30" x14ac:dyDescent="0.25">
      <c r="C456" s="35">
        <f>JUNHO!C67</f>
        <v>0</v>
      </c>
      <c r="D456" s="35" t="str">
        <f>JUNHO!D67</f>
        <v>DESPESAS COM PRODUTOS</v>
      </c>
      <c r="E456" s="35" t="str">
        <f>JUNHO!E67</f>
        <v>-</v>
      </c>
      <c r="F456" s="67">
        <f>JUNHO!G67</f>
        <v>0</v>
      </c>
      <c r="G456" s="68">
        <f>JUNHO!H67</f>
        <v>0</v>
      </c>
      <c r="H456" s="37">
        <f>JUNHO!I67</f>
        <v>46367</v>
      </c>
      <c r="I456" s="34" t="str">
        <f>JUNHO!O67</f>
        <v>DESPESAS</v>
      </c>
      <c r="J456">
        <f t="shared" si="50"/>
        <v>0</v>
      </c>
      <c r="K456" t="str">
        <f t="shared" si="51"/>
        <v xml:space="preserve"> </v>
      </c>
      <c r="L456" t="str">
        <f t="shared" si="52"/>
        <v/>
      </c>
      <c r="M456">
        <f t="shared" si="53"/>
        <v>11</v>
      </c>
      <c r="N456">
        <f t="shared" si="54"/>
        <v>12</v>
      </c>
      <c r="O456" t="str">
        <f t="shared" si="49"/>
        <v>DEC</v>
      </c>
      <c r="P456" t="str">
        <f t="shared" si="55"/>
        <v>PAGO</v>
      </c>
    </row>
    <row r="457" spans="3:16" ht="30" x14ac:dyDescent="0.25">
      <c r="C457" s="35">
        <f>JUNHO!C68</f>
        <v>0</v>
      </c>
      <c r="D457" s="35" t="str">
        <f>JUNHO!D68</f>
        <v>DESPESAS COM PRODUTOS</v>
      </c>
      <c r="E457" s="35" t="str">
        <f>JUNHO!E68</f>
        <v>-</v>
      </c>
      <c r="F457" s="67">
        <f>JUNHO!G68</f>
        <v>0</v>
      </c>
      <c r="G457" s="68">
        <f>JUNHO!H68</f>
        <v>0</v>
      </c>
      <c r="H457" s="37">
        <f>JUNHO!I68</f>
        <v>46368</v>
      </c>
      <c r="I457" s="34" t="str">
        <f>JUNHO!O68</f>
        <v>DESPESAS</v>
      </c>
      <c r="J457">
        <f t="shared" si="50"/>
        <v>0</v>
      </c>
      <c r="K457" t="str">
        <f t="shared" si="51"/>
        <v xml:space="preserve"> </v>
      </c>
      <c r="L457" t="str">
        <f t="shared" si="52"/>
        <v/>
      </c>
      <c r="M457">
        <f t="shared" si="53"/>
        <v>12</v>
      </c>
      <c r="N457">
        <f t="shared" si="54"/>
        <v>12</v>
      </c>
      <c r="O457" t="str">
        <f t="shared" si="49"/>
        <v>DEC</v>
      </c>
      <c r="P457" t="str">
        <f t="shared" si="55"/>
        <v>PAGO</v>
      </c>
    </row>
    <row r="458" spans="3:16" ht="30" x14ac:dyDescent="0.25">
      <c r="C458" s="35">
        <f>JUNHO!C69</f>
        <v>0</v>
      </c>
      <c r="D458" s="35" t="str">
        <f>JUNHO!D69</f>
        <v>DESPESAS COM PRODUTOS</v>
      </c>
      <c r="E458" s="35" t="str">
        <f>JUNHO!E69</f>
        <v>-</v>
      </c>
      <c r="F458" s="67">
        <f>JUNHO!G69</f>
        <v>0</v>
      </c>
      <c r="G458" s="68">
        <f>JUNHO!H69</f>
        <v>0</v>
      </c>
      <c r="H458" s="37">
        <f>JUNHO!I69</f>
        <v>46369</v>
      </c>
      <c r="I458" s="34" t="str">
        <f>JUNHO!O69</f>
        <v>DESPESAS</v>
      </c>
      <c r="J458">
        <f t="shared" si="50"/>
        <v>0</v>
      </c>
      <c r="K458" t="str">
        <f t="shared" si="51"/>
        <v xml:space="preserve"> </v>
      </c>
      <c r="L458" t="str">
        <f t="shared" si="52"/>
        <v/>
      </c>
      <c r="M458">
        <f t="shared" si="53"/>
        <v>13</v>
      </c>
      <c r="N458">
        <f t="shared" si="54"/>
        <v>12</v>
      </c>
      <c r="O458" t="str">
        <f t="shared" si="49"/>
        <v>DEC</v>
      </c>
      <c r="P458" t="str">
        <f t="shared" si="55"/>
        <v>PAGO</v>
      </c>
    </row>
    <row r="459" spans="3:16" ht="30" x14ac:dyDescent="0.25">
      <c r="C459" s="35">
        <f>JUNHO!C70</f>
        <v>0</v>
      </c>
      <c r="D459" s="35" t="str">
        <f>JUNHO!D70</f>
        <v>DESPESAS COM PRODUTOS</v>
      </c>
      <c r="E459" s="35" t="str">
        <f>JUNHO!E70</f>
        <v>-</v>
      </c>
      <c r="F459" s="67">
        <f>JUNHO!G70</f>
        <v>0</v>
      </c>
      <c r="G459" s="68">
        <f>JUNHO!H70</f>
        <v>0</v>
      </c>
      <c r="H459" s="37">
        <f>JUNHO!I70</f>
        <v>46370</v>
      </c>
      <c r="I459" s="34" t="str">
        <f>JUNHO!O70</f>
        <v>DESPESAS</v>
      </c>
      <c r="J459">
        <f t="shared" si="50"/>
        <v>0</v>
      </c>
      <c r="K459" t="str">
        <f t="shared" si="51"/>
        <v xml:space="preserve"> </v>
      </c>
      <c r="L459" t="str">
        <f t="shared" si="52"/>
        <v/>
      </c>
      <c r="M459">
        <f t="shared" si="53"/>
        <v>14</v>
      </c>
      <c r="N459">
        <f t="shared" si="54"/>
        <v>12</v>
      </c>
      <c r="O459" t="str">
        <f t="shared" si="49"/>
        <v>DEC</v>
      </c>
      <c r="P459" t="str">
        <f t="shared" si="55"/>
        <v>PAGO</v>
      </c>
    </row>
    <row r="460" spans="3:16" ht="30" x14ac:dyDescent="0.25">
      <c r="C460" s="35">
        <f>JUNHO!C71</f>
        <v>0</v>
      </c>
      <c r="D460" s="35" t="str">
        <f>JUNHO!D71</f>
        <v>DESPESAS COM PRODUTOS</v>
      </c>
      <c r="E460" s="35" t="str">
        <f>JUNHO!E71</f>
        <v>-</v>
      </c>
      <c r="F460" s="67">
        <f>JUNHO!G71</f>
        <v>0</v>
      </c>
      <c r="G460" s="68">
        <f>JUNHO!H71</f>
        <v>0</v>
      </c>
      <c r="H460" s="37">
        <f>JUNHO!I71</f>
        <v>46371</v>
      </c>
      <c r="I460" s="34" t="str">
        <f>JUNHO!O71</f>
        <v>DESPESAS</v>
      </c>
      <c r="J460">
        <f t="shared" si="50"/>
        <v>0</v>
      </c>
      <c r="K460" t="str">
        <f t="shared" si="51"/>
        <v xml:space="preserve"> </v>
      </c>
      <c r="L460" t="str">
        <f t="shared" si="52"/>
        <v/>
      </c>
      <c r="M460">
        <f t="shared" si="53"/>
        <v>15</v>
      </c>
      <c r="N460">
        <f t="shared" si="54"/>
        <v>12</v>
      </c>
      <c r="O460" t="str">
        <f t="shared" si="49"/>
        <v>DEC</v>
      </c>
      <c r="P460" t="str">
        <f t="shared" si="55"/>
        <v>PAGO</v>
      </c>
    </row>
    <row r="461" spans="3:16" ht="30" x14ac:dyDescent="0.25">
      <c r="C461" s="35">
        <f>JUNHO!C72</f>
        <v>0</v>
      </c>
      <c r="D461" s="35" t="str">
        <f>JUNHO!D72</f>
        <v>DESPESAS COM PRODUTOS</v>
      </c>
      <c r="E461" s="35" t="str">
        <f>JUNHO!E72</f>
        <v>-</v>
      </c>
      <c r="F461" s="67">
        <f>JUNHO!G72</f>
        <v>0</v>
      </c>
      <c r="G461" s="68">
        <f>JUNHO!H72</f>
        <v>0</v>
      </c>
      <c r="H461" s="37">
        <f>JUNHO!I72</f>
        <v>46372</v>
      </c>
      <c r="I461" s="34" t="str">
        <f>JUNHO!O72</f>
        <v>DESPESAS</v>
      </c>
      <c r="J461">
        <f t="shared" si="50"/>
        <v>0</v>
      </c>
      <c r="K461" t="str">
        <f t="shared" si="51"/>
        <v xml:space="preserve"> </v>
      </c>
      <c r="L461" t="str">
        <f t="shared" si="52"/>
        <v/>
      </c>
      <c r="M461">
        <f t="shared" si="53"/>
        <v>16</v>
      </c>
      <c r="N461">
        <f t="shared" si="54"/>
        <v>12</v>
      </c>
      <c r="O461" t="str">
        <f t="shared" si="49"/>
        <v>DEC</v>
      </c>
      <c r="P461" t="str">
        <f t="shared" si="55"/>
        <v>PAGO</v>
      </c>
    </row>
    <row r="462" spans="3:16" ht="30" x14ac:dyDescent="0.25">
      <c r="C462" s="35">
        <f>JUNHO!C73</f>
        <v>0</v>
      </c>
      <c r="D462" s="35" t="str">
        <f>JUNHO!D73</f>
        <v>DESPESAS COM PRODUTOS</v>
      </c>
      <c r="E462" s="35" t="str">
        <f>JUNHO!E73</f>
        <v>-</v>
      </c>
      <c r="F462" s="67">
        <f>JUNHO!G73</f>
        <v>0</v>
      </c>
      <c r="G462" s="68">
        <f>JUNHO!H73</f>
        <v>0</v>
      </c>
      <c r="H462" s="37">
        <f>JUNHO!I73</f>
        <v>46373</v>
      </c>
      <c r="I462" s="34" t="str">
        <f>JUNHO!O73</f>
        <v>DESPESAS</v>
      </c>
      <c r="J462">
        <f t="shared" si="50"/>
        <v>0</v>
      </c>
      <c r="K462" t="str">
        <f t="shared" si="51"/>
        <v xml:space="preserve"> </v>
      </c>
      <c r="L462" t="str">
        <f t="shared" si="52"/>
        <v/>
      </c>
      <c r="M462">
        <f t="shared" si="53"/>
        <v>17</v>
      </c>
      <c r="N462">
        <f t="shared" si="54"/>
        <v>12</v>
      </c>
      <c r="O462" t="str">
        <f t="shared" si="49"/>
        <v>DEC</v>
      </c>
      <c r="P462" t="str">
        <f t="shared" si="55"/>
        <v>PAGO</v>
      </c>
    </row>
    <row r="463" spans="3:16" ht="30" x14ac:dyDescent="0.25">
      <c r="C463" s="35">
        <f>JUNHO!C74</f>
        <v>0</v>
      </c>
      <c r="D463" s="35" t="str">
        <f>JUNHO!D74</f>
        <v>DESPESAS COM PRODUTOS</v>
      </c>
      <c r="E463" s="35" t="str">
        <f>JUNHO!E74</f>
        <v>-</v>
      </c>
      <c r="F463" s="67">
        <f>JUNHO!G74</f>
        <v>0</v>
      </c>
      <c r="G463" s="68">
        <f>JUNHO!H74</f>
        <v>0</v>
      </c>
      <c r="H463" s="37">
        <f>JUNHO!I74</f>
        <v>46374</v>
      </c>
      <c r="I463" s="34" t="str">
        <f>JUNHO!O74</f>
        <v>DESPESAS</v>
      </c>
      <c r="J463">
        <f t="shared" si="50"/>
        <v>0</v>
      </c>
      <c r="K463" t="str">
        <f t="shared" si="51"/>
        <v xml:space="preserve"> </v>
      </c>
      <c r="L463" t="str">
        <f t="shared" si="52"/>
        <v/>
      </c>
      <c r="M463">
        <f t="shared" si="53"/>
        <v>18</v>
      </c>
      <c r="N463">
        <f t="shared" si="54"/>
        <v>12</v>
      </c>
      <c r="O463" t="str">
        <f t="shared" si="49"/>
        <v>DEC</v>
      </c>
      <c r="P463" t="str">
        <f t="shared" si="55"/>
        <v>PAGO</v>
      </c>
    </row>
    <row r="464" spans="3:16" ht="30" x14ac:dyDescent="0.25">
      <c r="C464" s="35">
        <f>JUNHO!C75</f>
        <v>0</v>
      </c>
      <c r="D464" s="35" t="str">
        <f>JUNHO!D75</f>
        <v>DESPESAS COM PRODUTOS</v>
      </c>
      <c r="E464" s="35" t="str">
        <f>JUNHO!E75</f>
        <v>-</v>
      </c>
      <c r="F464" s="67">
        <f>JUNHO!G75</f>
        <v>0</v>
      </c>
      <c r="G464" s="68">
        <f>JUNHO!H75</f>
        <v>0</v>
      </c>
      <c r="H464" s="37">
        <f>JUNHO!I75</f>
        <v>46375</v>
      </c>
      <c r="I464" s="34" t="str">
        <f>JUNHO!O75</f>
        <v>DESPESAS</v>
      </c>
      <c r="J464">
        <f t="shared" si="50"/>
        <v>0</v>
      </c>
      <c r="K464" t="str">
        <f t="shared" si="51"/>
        <v xml:space="preserve"> </v>
      </c>
      <c r="L464" t="str">
        <f t="shared" si="52"/>
        <v/>
      </c>
      <c r="M464">
        <f t="shared" si="53"/>
        <v>19</v>
      </c>
      <c r="N464">
        <f t="shared" si="54"/>
        <v>12</v>
      </c>
      <c r="O464" t="str">
        <f t="shared" si="49"/>
        <v>DEC</v>
      </c>
      <c r="P464" t="str">
        <f t="shared" si="55"/>
        <v>PAGO</v>
      </c>
    </row>
    <row r="465" spans="2:16" ht="30" x14ac:dyDescent="0.25">
      <c r="C465" s="35">
        <f>JUNHO!C76</f>
        <v>0</v>
      </c>
      <c r="D465" s="35" t="str">
        <f>JUNHO!D76</f>
        <v>DESPESAS COM PRODUTOS</v>
      </c>
      <c r="E465" s="35" t="str">
        <f>JUNHO!E76</f>
        <v>-</v>
      </c>
      <c r="F465" s="67">
        <f>JUNHO!G76</f>
        <v>0</v>
      </c>
      <c r="G465" s="68">
        <f>JUNHO!H76</f>
        <v>0</v>
      </c>
      <c r="H465" s="37">
        <f>JUNHO!I76</f>
        <v>46376</v>
      </c>
      <c r="I465" s="34" t="str">
        <f>JUNHO!O76</f>
        <v>DESPESAS</v>
      </c>
      <c r="J465">
        <f t="shared" si="50"/>
        <v>0</v>
      </c>
      <c r="K465" t="str">
        <f t="shared" si="51"/>
        <v xml:space="preserve"> </v>
      </c>
      <c r="L465" t="str">
        <f t="shared" si="52"/>
        <v/>
      </c>
      <c r="M465">
        <f t="shared" si="53"/>
        <v>20</v>
      </c>
      <c r="N465">
        <f t="shared" si="54"/>
        <v>12</v>
      </c>
      <c r="O465" t="str">
        <f t="shared" si="49"/>
        <v>DEC</v>
      </c>
      <c r="P465" t="str">
        <f t="shared" si="55"/>
        <v>PAGO</v>
      </c>
    </row>
    <row r="466" spans="2:16" ht="30" x14ac:dyDescent="0.25">
      <c r="C466" s="35">
        <f>JUNHO!C77</f>
        <v>0</v>
      </c>
      <c r="D466" s="35" t="str">
        <f>JUNHO!D77</f>
        <v>DESPESAS COM PRODUTOS</v>
      </c>
      <c r="E466" s="35" t="str">
        <f>JUNHO!E77</f>
        <v>-</v>
      </c>
      <c r="F466" s="67">
        <f>JUNHO!G77</f>
        <v>0</v>
      </c>
      <c r="G466" s="68">
        <f>JUNHO!H77</f>
        <v>0</v>
      </c>
      <c r="H466" s="37">
        <f>JUNHO!I77</f>
        <v>46377</v>
      </c>
      <c r="I466" s="34" t="str">
        <f>JUNHO!O77</f>
        <v>DESPESAS</v>
      </c>
      <c r="J466">
        <f t="shared" si="50"/>
        <v>0</v>
      </c>
      <c r="K466" t="str">
        <f t="shared" si="51"/>
        <v xml:space="preserve"> </v>
      </c>
      <c r="L466" t="str">
        <f t="shared" si="52"/>
        <v/>
      </c>
      <c r="M466">
        <f t="shared" si="53"/>
        <v>21</v>
      </c>
      <c r="N466">
        <f t="shared" si="54"/>
        <v>12</v>
      </c>
      <c r="O466" t="str">
        <f t="shared" si="49"/>
        <v>DEC</v>
      </c>
      <c r="P466" t="str">
        <f t="shared" si="55"/>
        <v>PAGO</v>
      </c>
    </row>
    <row r="467" spans="2:16" ht="30" x14ac:dyDescent="0.25">
      <c r="C467" s="35">
        <f>JUNHO!C78</f>
        <v>0</v>
      </c>
      <c r="D467" s="35" t="str">
        <f>JUNHO!D78</f>
        <v>DESPESAS COM PRODUTOS</v>
      </c>
      <c r="E467" s="35" t="str">
        <f>JUNHO!E78</f>
        <v>-</v>
      </c>
      <c r="F467" s="67">
        <f>JUNHO!G78</f>
        <v>0</v>
      </c>
      <c r="G467" s="68">
        <f>JUNHO!H78</f>
        <v>0</v>
      </c>
      <c r="H467" s="37">
        <f>JUNHO!I78</f>
        <v>46378</v>
      </c>
      <c r="I467" s="34" t="str">
        <f>JUNHO!O78</f>
        <v>DESPESAS</v>
      </c>
      <c r="J467">
        <f t="shared" si="50"/>
        <v>0</v>
      </c>
      <c r="K467" t="str">
        <f t="shared" si="51"/>
        <v xml:space="preserve"> </v>
      </c>
      <c r="L467" t="str">
        <f t="shared" si="52"/>
        <v/>
      </c>
      <c r="M467">
        <f t="shared" si="53"/>
        <v>22</v>
      </c>
      <c r="N467">
        <f t="shared" si="54"/>
        <v>12</v>
      </c>
      <c r="O467" t="str">
        <f t="shared" si="49"/>
        <v>DEC</v>
      </c>
      <c r="P467" t="str">
        <f t="shared" si="55"/>
        <v>PAGO</v>
      </c>
    </row>
    <row r="468" spans="2:16" ht="30" x14ac:dyDescent="0.25">
      <c r="C468" s="35">
        <f>JUNHO!C79</f>
        <v>0</v>
      </c>
      <c r="D468" s="35" t="str">
        <f>JUNHO!D79</f>
        <v>DESPESAS COM PRODUTOS</v>
      </c>
      <c r="E468" s="35" t="str">
        <f>JUNHO!E79</f>
        <v>-</v>
      </c>
      <c r="F468" s="67">
        <f>JUNHO!G79</f>
        <v>0</v>
      </c>
      <c r="G468" s="68">
        <f>JUNHO!H79</f>
        <v>0</v>
      </c>
      <c r="H468" s="37">
        <f>JUNHO!I79</f>
        <v>46379</v>
      </c>
      <c r="I468" s="34" t="str">
        <f>JUNHO!O79</f>
        <v>DESPESAS</v>
      </c>
      <c r="J468">
        <f t="shared" si="50"/>
        <v>0</v>
      </c>
      <c r="K468" t="str">
        <f t="shared" si="51"/>
        <v xml:space="preserve"> </v>
      </c>
      <c r="L468" t="str">
        <f t="shared" si="52"/>
        <v/>
      </c>
      <c r="M468">
        <f t="shared" si="53"/>
        <v>23</v>
      </c>
      <c r="N468">
        <f t="shared" si="54"/>
        <v>12</v>
      </c>
      <c r="O468" t="str">
        <f t="shared" si="49"/>
        <v>DEC</v>
      </c>
      <c r="P468" t="str">
        <f t="shared" si="55"/>
        <v>PAGO</v>
      </c>
    </row>
    <row r="469" spans="2:16" ht="30" x14ac:dyDescent="0.25">
      <c r="C469" s="35">
        <f>JUNHO!C80</f>
        <v>0</v>
      </c>
      <c r="D469" s="35" t="str">
        <f>JUNHO!D80</f>
        <v>DESPESAS COM PRODUTOS</v>
      </c>
      <c r="E469" s="35" t="str">
        <f>JUNHO!E80</f>
        <v>-</v>
      </c>
      <c r="F469" s="67" t="str">
        <f>JUNHO!G80</f>
        <v>BENFICA</v>
      </c>
      <c r="G469" s="68">
        <f>JUNHO!H80</f>
        <v>0</v>
      </c>
      <c r="H469" s="37">
        <f>JUNHO!I80</f>
        <v>46380</v>
      </c>
      <c r="I469" s="34" t="str">
        <f>JUNHO!O80</f>
        <v>DESPESAS</v>
      </c>
      <c r="J469">
        <f t="shared" si="50"/>
        <v>0</v>
      </c>
      <c r="K469" t="str">
        <f t="shared" si="51"/>
        <v xml:space="preserve"> </v>
      </c>
      <c r="L469" t="str">
        <f t="shared" si="52"/>
        <v/>
      </c>
      <c r="M469">
        <f t="shared" si="53"/>
        <v>24</v>
      </c>
      <c r="N469">
        <f t="shared" si="54"/>
        <v>12</v>
      </c>
      <c r="O469" t="str">
        <f t="shared" si="49"/>
        <v>DEC</v>
      </c>
      <c r="P469" t="str">
        <f t="shared" si="55"/>
        <v>PAGO</v>
      </c>
    </row>
    <row r="470" spans="2:16" ht="30" x14ac:dyDescent="0.25">
      <c r="C470" s="35">
        <f>JUNHO!C81</f>
        <v>0</v>
      </c>
      <c r="D470" s="35" t="str">
        <f>JUNHO!D81</f>
        <v>DESPESAS COM PRODUTOS</v>
      </c>
      <c r="E470" s="35" t="str">
        <f>JUNHO!E81</f>
        <v>-</v>
      </c>
      <c r="F470" s="67">
        <f>JUNHO!G81</f>
        <v>0</v>
      </c>
      <c r="G470" s="68">
        <f>JUNHO!H81</f>
        <v>0</v>
      </c>
      <c r="H470" s="37">
        <f>JUNHO!I81</f>
        <v>46381</v>
      </c>
      <c r="I470" s="34" t="str">
        <f>JUNHO!O81</f>
        <v>DESPESAS</v>
      </c>
      <c r="J470">
        <f t="shared" si="50"/>
        <v>0</v>
      </c>
      <c r="K470" t="str">
        <f t="shared" si="51"/>
        <v xml:space="preserve"> </v>
      </c>
      <c r="L470" t="str">
        <f t="shared" si="52"/>
        <v/>
      </c>
      <c r="M470">
        <f t="shared" si="53"/>
        <v>25</v>
      </c>
      <c r="N470">
        <f t="shared" si="54"/>
        <v>12</v>
      </c>
      <c r="O470" t="str">
        <f t="shared" si="49"/>
        <v>DEC</v>
      </c>
      <c r="P470" t="str">
        <f t="shared" si="55"/>
        <v>PAGO</v>
      </c>
    </row>
    <row r="471" spans="2:16" ht="30" x14ac:dyDescent="0.25">
      <c r="C471" s="35">
        <f>JUNHO!C82</f>
        <v>0</v>
      </c>
      <c r="D471" s="35" t="str">
        <f>JUNHO!D82</f>
        <v>DESPESAS COM PRODUTOS</v>
      </c>
      <c r="E471" s="35" t="str">
        <f>JUNHO!E82</f>
        <v>-</v>
      </c>
      <c r="F471" s="67">
        <f>JUNHO!G82</f>
        <v>0</v>
      </c>
      <c r="G471" s="68">
        <f>JUNHO!H82</f>
        <v>0</v>
      </c>
      <c r="H471" s="37">
        <f>JUNHO!I82</f>
        <v>46382</v>
      </c>
      <c r="I471" s="34" t="str">
        <f>JUNHO!O82</f>
        <v>DESPESAS</v>
      </c>
      <c r="J471">
        <f t="shared" si="50"/>
        <v>0</v>
      </c>
      <c r="K471" t="str">
        <f t="shared" si="51"/>
        <v xml:space="preserve"> </v>
      </c>
      <c r="L471" t="str">
        <f t="shared" si="52"/>
        <v/>
      </c>
      <c r="M471">
        <f t="shared" si="53"/>
        <v>26</v>
      </c>
      <c r="N471">
        <f t="shared" si="54"/>
        <v>12</v>
      </c>
      <c r="O471" t="str">
        <f t="shared" ref="O471:O534" si="56">IFERROR(VLOOKUP(N471,$R$6:$S$17,2),"")</f>
        <v>DEC</v>
      </c>
      <c r="P471" t="str">
        <f t="shared" si="55"/>
        <v>PAGO</v>
      </c>
    </row>
    <row r="472" spans="2:16" ht="30" x14ac:dyDescent="0.25">
      <c r="C472" s="35">
        <f>JUNHO!C83</f>
        <v>0</v>
      </c>
      <c r="D472" s="35" t="str">
        <f>JUNHO!D83</f>
        <v>DESPESAS COM PRODUTOS</v>
      </c>
      <c r="E472" s="35" t="str">
        <f>JUNHO!E83</f>
        <v>-</v>
      </c>
      <c r="F472" s="67">
        <f>JUNHO!G83</f>
        <v>0</v>
      </c>
      <c r="G472" s="68">
        <f>JUNHO!H83</f>
        <v>0</v>
      </c>
      <c r="H472" s="37">
        <f>JUNHO!I83</f>
        <v>46383</v>
      </c>
      <c r="I472" s="34" t="str">
        <f>JUNHO!O83</f>
        <v>DESPESAS</v>
      </c>
      <c r="J472">
        <f t="shared" si="50"/>
        <v>0</v>
      </c>
      <c r="K472" t="str">
        <f t="shared" si="51"/>
        <v xml:space="preserve"> </v>
      </c>
      <c r="L472" t="str">
        <f t="shared" si="52"/>
        <v/>
      </c>
      <c r="M472">
        <f t="shared" si="53"/>
        <v>27</v>
      </c>
      <c r="N472">
        <f t="shared" si="54"/>
        <v>12</v>
      </c>
      <c r="O472" t="str">
        <f t="shared" si="56"/>
        <v>DEC</v>
      </c>
      <c r="P472" t="str">
        <f t="shared" si="55"/>
        <v>PAGO</v>
      </c>
    </row>
    <row r="473" spans="2:16" ht="30" x14ac:dyDescent="0.25">
      <c r="C473" s="35">
        <f>JUNHO!C84</f>
        <v>0</v>
      </c>
      <c r="D473" s="35" t="str">
        <f>JUNHO!D84</f>
        <v>DESPESAS COM PRODUTOS</v>
      </c>
      <c r="E473" s="35" t="str">
        <f>JUNHO!E84</f>
        <v>-</v>
      </c>
      <c r="F473" s="67">
        <f>JUNHO!G84</f>
        <v>0</v>
      </c>
      <c r="G473" s="68">
        <f>JUNHO!H84</f>
        <v>0</v>
      </c>
      <c r="H473" s="37">
        <f>JUNHO!I84</f>
        <v>46384</v>
      </c>
      <c r="I473" s="34" t="str">
        <f>JUNHO!O84</f>
        <v>DESPESAS</v>
      </c>
      <c r="J473">
        <f t="shared" si="50"/>
        <v>0</v>
      </c>
      <c r="K473" t="str">
        <f t="shared" si="51"/>
        <v xml:space="preserve"> </v>
      </c>
      <c r="L473" t="str">
        <f t="shared" si="52"/>
        <v/>
      </c>
      <c r="M473">
        <f t="shared" si="53"/>
        <v>28</v>
      </c>
      <c r="N473">
        <f t="shared" si="54"/>
        <v>12</v>
      </c>
      <c r="O473" t="str">
        <f t="shared" si="56"/>
        <v>DEC</v>
      </c>
      <c r="P473" t="str">
        <f t="shared" si="55"/>
        <v>PAGO</v>
      </c>
    </row>
    <row r="474" spans="2:16" x14ac:dyDescent="0.25">
      <c r="B474" s="44" t="s">
        <v>93</v>
      </c>
      <c r="C474" s="35">
        <f>JULHO!C7</f>
        <v>46023</v>
      </c>
      <c r="D474" s="35" t="str">
        <f>JULHO!D7</f>
        <v>RECEITAS COM SERVIÇOS</v>
      </c>
      <c r="E474" s="35" t="str">
        <f>JULHO!E7</f>
        <v>-</v>
      </c>
      <c r="F474" s="67">
        <f>JULHO!G7</f>
        <v>0</v>
      </c>
      <c r="G474" s="68">
        <f>JULHO!H7</f>
        <v>1</v>
      </c>
      <c r="H474" s="37">
        <f>JULHO!I7</f>
        <v>46204</v>
      </c>
      <c r="I474" s="34" t="str">
        <f>JULHO!O7</f>
        <v>RECEITAS</v>
      </c>
      <c r="J474">
        <f t="shared" si="50"/>
        <v>1</v>
      </c>
      <c r="K474">
        <f t="shared" si="51"/>
        <v>1</v>
      </c>
      <c r="L474" t="str">
        <f t="shared" si="52"/>
        <v>JAN</v>
      </c>
      <c r="M474">
        <f t="shared" si="53"/>
        <v>1</v>
      </c>
      <c r="N474">
        <f t="shared" si="54"/>
        <v>7</v>
      </c>
      <c r="O474" t="str">
        <f t="shared" si="56"/>
        <v>JUL</v>
      </c>
      <c r="P474" t="str">
        <f t="shared" si="55"/>
        <v>PAGO</v>
      </c>
    </row>
    <row r="475" spans="2:16" x14ac:dyDescent="0.25">
      <c r="C475" s="35">
        <f>JULHO!C8</f>
        <v>46024</v>
      </c>
      <c r="D475" s="35" t="str">
        <f>JULHO!D8</f>
        <v>RECEITAS COM SERVIÇOS</v>
      </c>
      <c r="E475" s="35" t="str">
        <f>JULHO!E8</f>
        <v>-</v>
      </c>
      <c r="F475" s="67">
        <f>JULHO!G8</f>
        <v>0</v>
      </c>
      <c r="G475" s="68">
        <f>JULHO!H8</f>
        <v>2</v>
      </c>
      <c r="H475" s="37">
        <f>JULHO!I8</f>
        <v>46205</v>
      </c>
      <c r="I475" s="34" t="str">
        <f>JULHO!O8</f>
        <v>RECEITAS</v>
      </c>
      <c r="J475">
        <f t="shared" si="50"/>
        <v>2</v>
      </c>
      <c r="K475">
        <f t="shared" si="51"/>
        <v>1</v>
      </c>
      <c r="L475" t="str">
        <f t="shared" si="52"/>
        <v>JAN</v>
      </c>
      <c r="M475">
        <f t="shared" si="53"/>
        <v>2</v>
      </c>
      <c r="N475">
        <f t="shared" si="54"/>
        <v>7</v>
      </c>
      <c r="O475" t="str">
        <f t="shared" si="56"/>
        <v>JUL</v>
      </c>
      <c r="P475" t="str">
        <f t="shared" si="55"/>
        <v>PAGO</v>
      </c>
    </row>
    <row r="476" spans="2:16" x14ac:dyDescent="0.25">
      <c r="C476" s="35">
        <f>JULHO!C9</f>
        <v>46025</v>
      </c>
      <c r="D476" s="35" t="str">
        <f>JULHO!D9</f>
        <v>RECEITAS COM SERVIÇOS</v>
      </c>
      <c r="E476" s="35" t="str">
        <f>JULHO!E9</f>
        <v>MARKETING OFFLINE</v>
      </c>
      <c r="F476" s="67">
        <f>JULHO!G9</f>
        <v>0</v>
      </c>
      <c r="G476" s="68">
        <f>JULHO!H9</f>
        <v>3</v>
      </c>
      <c r="H476" s="37">
        <f>JULHO!I9</f>
        <v>46206</v>
      </c>
      <c r="I476" s="34" t="str">
        <f>JULHO!O9</f>
        <v>RECEITAS</v>
      </c>
      <c r="J476">
        <f t="shared" si="50"/>
        <v>3</v>
      </c>
      <c r="K476">
        <f t="shared" si="51"/>
        <v>1</v>
      </c>
      <c r="L476" t="str">
        <f t="shared" si="52"/>
        <v>JAN</v>
      </c>
      <c r="M476">
        <f t="shared" si="53"/>
        <v>3</v>
      </c>
      <c r="N476">
        <f t="shared" si="54"/>
        <v>7</v>
      </c>
      <c r="O476" t="str">
        <f t="shared" si="56"/>
        <v>JUL</v>
      </c>
      <c r="P476" t="str">
        <f t="shared" si="55"/>
        <v>PAGO</v>
      </c>
    </row>
    <row r="477" spans="2:16" x14ac:dyDescent="0.25">
      <c r="C477" s="35">
        <f>JULHO!C10</f>
        <v>46026</v>
      </c>
      <c r="D477" s="35" t="str">
        <f>JULHO!D10</f>
        <v>RECEITAS COM SERVIÇOS</v>
      </c>
      <c r="E477" s="35" t="str">
        <f>JULHO!E10</f>
        <v>-</v>
      </c>
      <c r="F477" s="67">
        <f>JULHO!G10</f>
        <v>0</v>
      </c>
      <c r="G477" s="68">
        <f>JULHO!H10</f>
        <v>4</v>
      </c>
      <c r="H477" s="37">
        <f>JULHO!I10</f>
        <v>46207</v>
      </c>
      <c r="I477" s="34" t="str">
        <f>JULHO!O10</f>
        <v>RECEITAS</v>
      </c>
      <c r="J477">
        <f t="shared" si="50"/>
        <v>4</v>
      </c>
      <c r="K477">
        <f t="shared" si="51"/>
        <v>1</v>
      </c>
      <c r="L477" t="str">
        <f t="shared" si="52"/>
        <v>JAN</v>
      </c>
      <c r="M477">
        <f t="shared" si="53"/>
        <v>4</v>
      </c>
      <c r="N477">
        <f t="shared" si="54"/>
        <v>7</v>
      </c>
      <c r="O477" t="str">
        <f t="shared" si="56"/>
        <v>JUL</v>
      </c>
      <c r="P477" t="str">
        <f t="shared" si="55"/>
        <v>PAGO</v>
      </c>
    </row>
    <row r="478" spans="2:16" x14ac:dyDescent="0.25">
      <c r="C478" s="35">
        <f>JULHO!C11</f>
        <v>46027</v>
      </c>
      <c r="D478" s="35" t="str">
        <f>JULHO!D11</f>
        <v>RECEITAS COM SERVIÇOS</v>
      </c>
      <c r="E478" s="35" t="str">
        <f>JULHO!E11</f>
        <v>-</v>
      </c>
      <c r="F478" s="67">
        <f>JULHO!G11</f>
        <v>0</v>
      </c>
      <c r="G478" s="68">
        <f>JULHO!H11</f>
        <v>5</v>
      </c>
      <c r="H478" s="37">
        <f>JULHO!I11</f>
        <v>46208</v>
      </c>
      <c r="I478" s="34" t="str">
        <f>JULHO!O11</f>
        <v>RECEITAS</v>
      </c>
      <c r="J478">
        <f t="shared" si="50"/>
        <v>5</v>
      </c>
      <c r="K478">
        <f t="shared" si="51"/>
        <v>1</v>
      </c>
      <c r="L478" t="str">
        <f t="shared" si="52"/>
        <v>JAN</v>
      </c>
      <c r="M478">
        <f t="shared" si="53"/>
        <v>5</v>
      </c>
      <c r="N478">
        <f t="shared" si="54"/>
        <v>7</v>
      </c>
      <c r="O478" t="str">
        <f t="shared" si="56"/>
        <v>JUL</v>
      </c>
      <c r="P478" t="str">
        <f t="shared" si="55"/>
        <v>PAGO</v>
      </c>
    </row>
    <row r="479" spans="2:16" ht="30" x14ac:dyDescent="0.25">
      <c r="C479" s="35">
        <f>JULHO!C12</f>
        <v>46028</v>
      </c>
      <c r="D479" s="35" t="str">
        <f>JULHO!D12</f>
        <v>DESPESAS COM RH</v>
      </c>
      <c r="E479" s="35" t="str">
        <f>JULHO!E12</f>
        <v>OUTRAS DESPESAS HR</v>
      </c>
      <c r="F479" s="67" t="str">
        <f>JULHO!G12</f>
        <v>BENFICA</v>
      </c>
      <c r="G479" s="68">
        <f>JULHO!H12</f>
        <v>100</v>
      </c>
      <c r="H479" s="37">
        <f>JULHO!I12</f>
        <v>46209</v>
      </c>
      <c r="I479" s="34" t="str">
        <f>JULHO!O12</f>
        <v>DESPESAS</v>
      </c>
      <c r="J479">
        <f t="shared" si="50"/>
        <v>6</v>
      </c>
      <c r="K479">
        <f t="shared" si="51"/>
        <v>1</v>
      </c>
      <c r="L479" t="str">
        <f t="shared" si="52"/>
        <v>JAN</v>
      </c>
      <c r="M479">
        <f t="shared" si="53"/>
        <v>6</v>
      </c>
      <c r="N479">
        <f t="shared" si="54"/>
        <v>7</v>
      </c>
      <c r="O479" t="str">
        <f t="shared" si="56"/>
        <v>JUL</v>
      </c>
      <c r="P479" t="str">
        <f t="shared" si="55"/>
        <v>PAGO</v>
      </c>
    </row>
    <row r="480" spans="2:16" x14ac:dyDescent="0.25">
      <c r="C480" s="35">
        <f>JULHO!C13</f>
        <v>46029</v>
      </c>
      <c r="D480" s="35" t="str">
        <f>JULHO!D13</f>
        <v>RECEITAS COM SERVIÇOS</v>
      </c>
      <c r="E480" s="35" t="str">
        <f>JULHO!E13</f>
        <v>-</v>
      </c>
      <c r="F480" s="67">
        <f>JULHO!G13</f>
        <v>0</v>
      </c>
      <c r="G480" s="68">
        <f>JULHO!H13</f>
        <v>7</v>
      </c>
      <c r="H480" s="37">
        <f>JULHO!I13</f>
        <v>46210</v>
      </c>
      <c r="I480" s="34" t="str">
        <f>JULHO!O13</f>
        <v>RECEITAS</v>
      </c>
      <c r="J480">
        <f t="shared" si="50"/>
        <v>7</v>
      </c>
      <c r="K480">
        <f t="shared" si="51"/>
        <v>1</v>
      </c>
      <c r="L480" t="str">
        <f t="shared" si="52"/>
        <v>JAN</v>
      </c>
      <c r="M480">
        <f t="shared" si="53"/>
        <v>7</v>
      </c>
      <c r="N480">
        <f t="shared" si="54"/>
        <v>7</v>
      </c>
      <c r="O480" t="str">
        <f t="shared" si="56"/>
        <v>JUL</v>
      </c>
      <c r="P480" t="str">
        <f t="shared" si="55"/>
        <v>PAGO</v>
      </c>
    </row>
    <row r="481" spans="3:16" x14ac:dyDescent="0.25">
      <c r="C481" s="35">
        <f>JULHO!C14</f>
        <v>46030</v>
      </c>
      <c r="D481" s="35" t="str">
        <f>JULHO!D14</f>
        <v>RECEITAS COM SERVIÇOS</v>
      </c>
      <c r="E481" s="35" t="str">
        <f>JULHO!E14</f>
        <v>ACTUALIZAÇÕES</v>
      </c>
      <c r="F481" s="67">
        <f>JULHO!G14</f>
        <v>0</v>
      </c>
      <c r="G481" s="68">
        <f>JULHO!H14</f>
        <v>8</v>
      </c>
      <c r="H481" s="37">
        <f>JULHO!I14</f>
        <v>46211</v>
      </c>
      <c r="I481" s="34" t="str">
        <f>JULHO!O14</f>
        <v>RECEITAS</v>
      </c>
      <c r="J481">
        <f t="shared" si="50"/>
        <v>8</v>
      </c>
      <c r="K481">
        <f t="shared" si="51"/>
        <v>1</v>
      </c>
      <c r="L481" t="str">
        <f t="shared" si="52"/>
        <v>JAN</v>
      </c>
      <c r="M481">
        <f t="shared" si="53"/>
        <v>8</v>
      </c>
      <c r="N481">
        <f t="shared" si="54"/>
        <v>7</v>
      </c>
      <c r="O481" t="str">
        <f t="shared" si="56"/>
        <v>JUL</v>
      </c>
      <c r="P481" t="str">
        <f t="shared" si="55"/>
        <v>PAGO</v>
      </c>
    </row>
    <row r="482" spans="3:16" x14ac:dyDescent="0.25">
      <c r="C482" s="35">
        <f>JULHO!C15</f>
        <v>46031</v>
      </c>
      <c r="D482" s="35" t="str">
        <f>JULHO!D15</f>
        <v>RECEITAS COM SERVIÇOS</v>
      </c>
      <c r="E482" s="35" t="str">
        <f>JULHO!E15</f>
        <v>-</v>
      </c>
      <c r="F482" s="67">
        <f>JULHO!G15</f>
        <v>0</v>
      </c>
      <c r="G482" s="68">
        <f>JULHO!H15</f>
        <v>9</v>
      </c>
      <c r="H482" s="37">
        <f>JULHO!I15</f>
        <v>46212</v>
      </c>
      <c r="I482" s="34" t="str">
        <f>JULHO!O15</f>
        <v>RECEITAS</v>
      </c>
      <c r="J482">
        <f t="shared" si="50"/>
        <v>9</v>
      </c>
      <c r="K482">
        <f t="shared" si="51"/>
        <v>1</v>
      </c>
      <c r="L482" t="str">
        <f t="shared" si="52"/>
        <v>JAN</v>
      </c>
      <c r="M482">
        <f t="shared" si="53"/>
        <v>9</v>
      </c>
      <c r="N482">
        <f t="shared" si="54"/>
        <v>7</v>
      </c>
      <c r="O482" t="str">
        <f t="shared" si="56"/>
        <v>JUL</v>
      </c>
      <c r="P482" t="str">
        <f t="shared" si="55"/>
        <v>PAGO</v>
      </c>
    </row>
    <row r="483" spans="3:16" x14ac:dyDescent="0.25">
      <c r="C483" s="35">
        <f>JULHO!C16</f>
        <v>46032</v>
      </c>
      <c r="D483" s="35" t="str">
        <f>JULHO!D16</f>
        <v>RECEITAS COM SERVIÇOS</v>
      </c>
      <c r="E483" s="35" t="str">
        <f>JULHO!E16</f>
        <v>-</v>
      </c>
      <c r="F483" s="67">
        <f>JULHO!G16</f>
        <v>0</v>
      </c>
      <c r="G483" s="68">
        <f>JULHO!H16</f>
        <v>10</v>
      </c>
      <c r="H483" s="37">
        <f>JULHO!I16</f>
        <v>46213</v>
      </c>
      <c r="I483" s="34" t="str">
        <f>JULHO!O16</f>
        <v>RECEITAS</v>
      </c>
      <c r="J483">
        <f t="shared" si="50"/>
        <v>10</v>
      </c>
      <c r="K483">
        <f t="shared" si="51"/>
        <v>1</v>
      </c>
      <c r="L483" t="str">
        <f t="shared" si="52"/>
        <v>JAN</v>
      </c>
      <c r="M483">
        <f t="shared" si="53"/>
        <v>10</v>
      </c>
      <c r="N483">
        <f t="shared" si="54"/>
        <v>7</v>
      </c>
      <c r="O483" t="str">
        <f t="shared" si="56"/>
        <v>JUL</v>
      </c>
      <c r="P483" t="str">
        <f t="shared" si="55"/>
        <v>PAGO</v>
      </c>
    </row>
    <row r="484" spans="3:16" ht="30" x14ac:dyDescent="0.25">
      <c r="C484" s="35">
        <f>JULHO!C17</f>
        <v>46033</v>
      </c>
      <c r="D484" s="35" t="str">
        <f>JULHO!D17</f>
        <v>RECEITAS COM SERVIÇOS</v>
      </c>
      <c r="E484" s="35" t="str">
        <f>JULHO!E17</f>
        <v>ESTUDIOS GRAVAÇÃO</v>
      </c>
      <c r="F484" s="67">
        <f>JULHO!G17</f>
        <v>0</v>
      </c>
      <c r="G484" s="68">
        <f>JULHO!H17</f>
        <v>11</v>
      </c>
      <c r="H484" s="37">
        <f>JULHO!I17</f>
        <v>46214</v>
      </c>
      <c r="I484" s="34" t="str">
        <f>JULHO!O17</f>
        <v>RECEITAS</v>
      </c>
      <c r="J484">
        <f t="shared" si="50"/>
        <v>11</v>
      </c>
      <c r="K484">
        <f t="shared" si="51"/>
        <v>1</v>
      </c>
      <c r="L484" t="str">
        <f t="shared" si="52"/>
        <v>JAN</v>
      </c>
      <c r="M484">
        <f t="shared" si="53"/>
        <v>11</v>
      </c>
      <c r="N484">
        <f t="shared" si="54"/>
        <v>7</v>
      </c>
      <c r="O484" t="str">
        <f t="shared" si="56"/>
        <v>JUL</v>
      </c>
      <c r="P484" t="str">
        <f t="shared" si="55"/>
        <v>PAGO</v>
      </c>
    </row>
    <row r="485" spans="3:16" x14ac:dyDescent="0.25">
      <c r="C485" s="35">
        <f>JULHO!C18</f>
        <v>46034</v>
      </c>
      <c r="D485" s="35" t="str">
        <f>JULHO!D18</f>
        <v>RECEITAS COM SERVIÇOS</v>
      </c>
      <c r="E485" s="35" t="str">
        <f>JULHO!E18</f>
        <v>-</v>
      </c>
      <c r="F485" s="67" t="str">
        <f>JULHO!G18</f>
        <v>CALEMBA 2</v>
      </c>
      <c r="G485" s="68">
        <f>JULHO!H18</f>
        <v>12</v>
      </c>
      <c r="H485" s="37">
        <f>JULHO!I18</f>
        <v>46215</v>
      </c>
      <c r="I485" s="34" t="str">
        <f>JULHO!O18</f>
        <v>RECEITAS</v>
      </c>
      <c r="J485">
        <f t="shared" si="50"/>
        <v>12</v>
      </c>
      <c r="K485">
        <f t="shared" si="51"/>
        <v>1</v>
      </c>
      <c r="L485" t="str">
        <f t="shared" si="52"/>
        <v>JAN</v>
      </c>
      <c r="M485">
        <f t="shared" si="53"/>
        <v>12</v>
      </c>
      <c r="N485">
        <f t="shared" si="54"/>
        <v>7</v>
      </c>
      <c r="O485" t="str">
        <f t="shared" si="56"/>
        <v>JUL</v>
      </c>
      <c r="P485" t="str">
        <f t="shared" si="55"/>
        <v>PAGO</v>
      </c>
    </row>
    <row r="486" spans="3:16" x14ac:dyDescent="0.25">
      <c r="C486" s="35">
        <f>JULHO!C19</f>
        <v>46035</v>
      </c>
      <c r="D486" s="35" t="str">
        <f>JULHO!D19</f>
        <v>RECEITAS COM SERVIÇOS</v>
      </c>
      <c r="E486" s="35" t="str">
        <f>JULHO!E19</f>
        <v>-</v>
      </c>
      <c r="F486" s="67">
        <f>JULHO!G19</f>
        <v>0</v>
      </c>
      <c r="G486" s="68">
        <f>JULHO!H19</f>
        <v>13</v>
      </c>
      <c r="H486" s="37">
        <f>JULHO!I19</f>
        <v>46216</v>
      </c>
      <c r="I486" s="34" t="str">
        <f>JULHO!O19</f>
        <v>RECEITAS</v>
      </c>
      <c r="J486">
        <f t="shared" si="50"/>
        <v>13</v>
      </c>
      <c r="K486">
        <f t="shared" si="51"/>
        <v>1</v>
      </c>
      <c r="L486" t="str">
        <f t="shared" si="52"/>
        <v>JAN</v>
      </c>
      <c r="M486">
        <f t="shared" si="53"/>
        <v>13</v>
      </c>
      <c r="N486">
        <f t="shared" si="54"/>
        <v>7</v>
      </c>
      <c r="O486" t="str">
        <f t="shared" si="56"/>
        <v>JUL</v>
      </c>
      <c r="P486" t="str">
        <f t="shared" si="55"/>
        <v>PAGO</v>
      </c>
    </row>
    <row r="487" spans="3:16" x14ac:dyDescent="0.25">
      <c r="C487" s="35">
        <f>JULHO!C20</f>
        <v>46036</v>
      </c>
      <c r="D487" s="35" t="str">
        <f>JULHO!D20</f>
        <v>RECEITAS COM SERVIÇOS</v>
      </c>
      <c r="E487" s="35" t="str">
        <f>JULHO!E20</f>
        <v>-</v>
      </c>
      <c r="F487" s="67">
        <f>JULHO!G20</f>
        <v>0</v>
      </c>
      <c r="G487" s="68">
        <f>JULHO!H20</f>
        <v>14</v>
      </c>
      <c r="H487" s="37">
        <f>JULHO!I20</f>
        <v>46217</v>
      </c>
      <c r="I487" s="34" t="str">
        <f>JULHO!O20</f>
        <v>RECEITAS</v>
      </c>
      <c r="J487">
        <f t="shared" si="50"/>
        <v>14</v>
      </c>
      <c r="K487">
        <f t="shared" si="51"/>
        <v>1</v>
      </c>
      <c r="L487" t="str">
        <f t="shared" si="52"/>
        <v>JAN</v>
      </c>
      <c r="M487">
        <f t="shared" si="53"/>
        <v>14</v>
      </c>
      <c r="N487">
        <f t="shared" si="54"/>
        <v>7</v>
      </c>
      <c r="O487" t="str">
        <f t="shared" si="56"/>
        <v>JUL</v>
      </c>
      <c r="P487" t="str">
        <f t="shared" si="55"/>
        <v>PAGO</v>
      </c>
    </row>
    <row r="488" spans="3:16" x14ac:dyDescent="0.25">
      <c r="C488" s="35">
        <f>JULHO!C21</f>
        <v>46037</v>
      </c>
      <c r="D488" s="35" t="str">
        <f>JULHO!D21</f>
        <v>RECEITAS COM SERVIÇOS</v>
      </c>
      <c r="E488" s="35" t="str">
        <f>JULHO!E21</f>
        <v>-</v>
      </c>
      <c r="F488" s="67">
        <f>JULHO!G21</f>
        <v>0</v>
      </c>
      <c r="G488" s="68">
        <f>JULHO!H21</f>
        <v>15</v>
      </c>
      <c r="H488" s="37">
        <f>JULHO!I21</f>
        <v>46218</v>
      </c>
      <c r="I488" s="34" t="str">
        <f>JULHO!O21</f>
        <v>RECEITAS</v>
      </c>
      <c r="J488">
        <f t="shared" si="50"/>
        <v>15</v>
      </c>
      <c r="K488">
        <f t="shared" si="51"/>
        <v>1</v>
      </c>
      <c r="L488" t="str">
        <f t="shared" si="52"/>
        <v>JAN</v>
      </c>
      <c r="M488">
        <f t="shared" si="53"/>
        <v>15</v>
      </c>
      <c r="N488">
        <f t="shared" si="54"/>
        <v>7</v>
      </c>
      <c r="O488" t="str">
        <f t="shared" si="56"/>
        <v>JUL</v>
      </c>
      <c r="P488" t="str">
        <f t="shared" si="55"/>
        <v>PAGO</v>
      </c>
    </row>
    <row r="489" spans="3:16" x14ac:dyDescent="0.25">
      <c r="C489" s="35">
        <f>JULHO!C22</f>
        <v>46038</v>
      </c>
      <c r="D489" s="35" t="str">
        <f>JULHO!D22</f>
        <v>RECEITAS COM SERVIÇOS</v>
      </c>
      <c r="E489" s="35" t="str">
        <f>JULHO!E22</f>
        <v>-</v>
      </c>
      <c r="F489" s="67">
        <f>JULHO!G22</f>
        <v>0</v>
      </c>
      <c r="G489" s="68">
        <f>JULHO!H22</f>
        <v>16</v>
      </c>
      <c r="H489" s="37">
        <f>JULHO!I22</f>
        <v>46219</v>
      </c>
      <c r="I489" s="34" t="str">
        <f>JULHO!O22</f>
        <v>RECEITAS</v>
      </c>
      <c r="J489">
        <f t="shared" si="50"/>
        <v>16</v>
      </c>
      <c r="K489">
        <f t="shared" si="51"/>
        <v>1</v>
      </c>
      <c r="L489" t="str">
        <f t="shared" si="52"/>
        <v>JAN</v>
      </c>
      <c r="M489">
        <f t="shared" si="53"/>
        <v>16</v>
      </c>
      <c r="N489">
        <f t="shared" si="54"/>
        <v>7</v>
      </c>
      <c r="O489" t="str">
        <f t="shared" si="56"/>
        <v>JUL</v>
      </c>
      <c r="P489" t="str">
        <f t="shared" si="55"/>
        <v>PAGO</v>
      </c>
    </row>
    <row r="490" spans="3:16" x14ac:dyDescent="0.25">
      <c r="C490" s="35">
        <f>JULHO!C23</f>
        <v>46039</v>
      </c>
      <c r="D490" s="35" t="str">
        <f>JULHO!D23</f>
        <v>RECEITAS COM SERVIÇOS</v>
      </c>
      <c r="E490" s="35" t="str">
        <f>JULHO!E23</f>
        <v>-</v>
      </c>
      <c r="F490" s="67">
        <f>JULHO!G23</f>
        <v>0</v>
      </c>
      <c r="G490" s="68">
        <f>JULHO!H23</f>
        <v>17</v>
      </c>
      <c r="H490" s="37">
        <f>JULHO!I23</f>
        <v>46220</v>
      </c>
      <c r="I490" s="34" t="str">
        <f>JULHO!O23</f>
        <v>RECEITAS</v>
      </c>
      <c r="J490">
        <f t="shared" si="50"/>
        <v>17</v>
      </c>
      <c r="K490">
        <f t="shared" si="51"/>
        <v>1</v>
      </c>
      <c r="L490" t="str">
        <f t="shared" si="52"/>
        <v>JAN</v>
      </c>
      <c r="M490">
        <f t="shared" si="53"/>
        <v>17</v>
      </c>
      <c r="N490">
        <f t="shared" si="54"/>
        <v>7</v>
      </c>
      <c r="O490" t="str">
        <f t="shared" si="56"/>
        <v>JUL</v>
      </c>
      <c r="P490" t="str">
        <f t="shared" si="55"/>
        <v>PAGO</v>
      </c>
    </row>
    <row r="491" spans="3:16" x14ac:dyDescent="0.25">
      <c r="C491" s="35">
        <f>JULHO!C24</f>
        <v>46040</v>
      </c>
      <c r="D491" s="35" t="str">
        <f>JULHO!D24</f>
        <v>RECEITAS COM SERVIÇOS</v>
      </c>
      <c r="E491" s="35" t="str">
        <f>JULHO!E24</f>
        <v>-</v>
      </c>
      <c r="F491" s="67">
        <f>JULHO!G24</f>
        <v>0</v>
      </c>
      <c r="G491" s="68">
        <f>JULHO!H24</f>
        <v>18</v>
      </c>
      <c r="H491" s="37">
        <f>JULHO!I24</f>
        <v>46221</v>
      </c>
      <c r="I491" s="34" t="str">
        <f>JULHO!O24</f>
        <v>RECEITAS</v>
      </c>
      <c r="J491">
        <f t="shared" si="50"/>
        <v>18</v>
      </c>
      <c r="K491">
        <f t="shared" si="51"/>
        <v>1</v>
      </c>
      <c r="L491" t="str">
        <f t="shared" si="52"/>
        <v>JAN</v>
      </c>
      <c r="M491">
        <f t="shared" si="53"/>
        <v>18</v>
      </c>
      <c r="N491">
        <f t="shared" si="54"/>
        <v>7</v>
      </c>
      <c r="O491" t="str">
        <f t="shared" si="56"/>
        <v>JUL</v>
      </c>
      <c r="P491" t="str">
        <f t="shared" si="55"/>
        <v>PAGO</v>
      </c>
    </row>
    <row r="492" spans="3:16" x14ac:dyDescent="0.25">
      <c r="C492" s="35">
        <f>JULHO!C25</f>
        <v>46041</v>
      </c>
      <c r="D492" s="35" t="str">
        <f>JULHO!D25</f>
        <v>RECEITAS COM SERVIÇOS</v>
      </c>
      <c r="E492" s="35" t="str">
        <f>JULHO!E25</f>
        <v>-</v>
      </c>
      <c r="F492" s="67">
        <f>JULHO!G25</f>
        <v>0</v>
      </c>
      <c r="G492" s="68">
        <f>JULHO!H25</f>
        <v>19</v>
      </c>
      <c r="H492" s="37">
        <f>JULHO!I25</f>
        <v>46222</v>
      </c>
      <c r="I492" s="34" t="str">
        <f>JULHO!O25</f>
        <v>RECEITAS</v>
      </c>
      <c r="J492">
        <f t="shared" si="50"/>
        <v>19</v>
      </c>
      <c r="K492">
        <f t="shared" si="51"/>
        <v>1</v>
      </c>
      <c r="L492" t="str">
        <f t="shared" si="52"/>
        <v>JAN</v>
      </c>
      <c r="M492">
        <f t="shared" si="53"/>
        <v>19</v>
      </c>
      <c r="N492">
        <f t="shared" si="54"/>
        <v>7</v>
      </c>
      <c r="O492" t="str">
        <f t="shared" si="56"/>
        <v>JUL</v>
      </c>
      <c r="P492" t="str">
        <f t="shared" si="55"/>
        <v>PAGO</v>
      </c>
    </row>
    <row r="493" spans="3:16" x14ac:dyDescent="0.25">
      <c r="C493" s="35">
        <f>JULHO!C26</f>
        <v>46042</v>
      </c>
      <c r="D493" s="35" t="str">
        <f>JULHO!D26</f>
        <v>RECEITAS COM SERVIÇOS</v>
      </c>
      <c r="E493" s="35" t="str">
        <f>JULHO!E26</f>
        <v>-</v>
      </c>
      <c r="F493" s="67">
        <f>JULHO!G26</f>
        <v>0</v>
      </c>
      <c r="G493" s="68">
        <f>JULHO!H26</f>
        <v>20</v>
      </c>
      <c r="H493" s="37">
        <f>JULHO!I26</f>
        <v>46223</v>
      </c>
      <c r="I493" s="34" t="str">
        <f>JULHO!O26</f>
        <v>RECEITAS</v>
      </c>
      <c r="J493">
        <f t="shared" si="50"/>
        <v>20</v>
      </c>
      <c r="K493">
        <f t="shared" si="51"/>
        <v>1</v>
      </c>
      <c r="L493" t="str">
        <f t="shared" si="52"/>
        <v>JAN</v>
      </c>
      <c r="M493">
        <f t="shared" si="53"/>
        <v>20</v>
      </c>
      <c r="N493">
        <f t="shared" si="54"/>
        <v>7</v>
      </c>
      <c r="O493" t="str">
        <f t="shared" si="56"/>
        <v>JUL</v>
      </c>
      <c r="P493" t="str">
        <f t="shared" si="55"/>
        <v>PAGO</v>
      </c>
    </row>
    <row r="494" spans="3:16" x14ac:dyDescent="0.25">
      <c r="C494" s="35">
        <f>JULHO!C27</f>
        <v>46043</v>
      </c>
      <c r="D494" s="35" t="str">
        <f>JULHO!D27</f>
        <v>RECEITAS COM SERVIÇOS</v>
      </c>
      <c r="E494" s="35" t="str">
        <f>JULHO!E27</f>
        <v>-</v>
      </c>
      <c r="F494" s="67">
        <f>JULHO!G27</f>
        <v>0</v>
      </c>
      <c r="G494" s="68">
        <f>JULHO!H27</f>
        <v>21</v>
      </c>
      <c r="H494" s="37">
        <f>JULHO!I27</f>
        <v>46224</v>
      </c>
      <c r="I494" s="34" t="str">
        <f>JULHO!O27</f>
        <v>RECEITAS</v>
      </c>
      <c r="J494">
        <f t="shared" si="50"/>
        <v>21</v>
      </c>
      <c r="K494">
        <f t="shared" si="51"/>
        <v>1</v>
      </c>
      <c r="L494" t="str">
        <f t="shared" si="52"/>
        <v>JAN</v>
      </c>
      <c r="M494">
        <f t="shared" si="53"/>
        <v>21</v>
      </c>
      <c r="N494">
        <f t="shared" si="54"/>
        <v>7</v>
      </c>
      <c r="O494" t="str">
        <f t="shared" si="56"/>
        <v>JUL</v>
      </c>
      <c r="P494" t="str">
        <f t="shared" si="55"/>
        <v>PAGO</v>
      </c>
    </row>
    <row r="495" spans="3:16" x14ac:dyDescent="0.25">
      <c r="C495" s="35">
        <f>JULHO!C28</f>
        <v>46044</v>
      </c>
      <c r="D495" s="35" t="str">
        <f>JULHO!D28</f>
        <v>RECEITAS COM SERVIÇOS</v>
      </c>
      <c r="E495" s="35" t="str">
        <f>JULHO!E28</f>
        <v>-</v>
      </c>
      <c r="F495" s="67">
        <f>JULHO!G28</f>
        <v>0</v>
      </c>
      <c r="G495" s="68">
        <f>JULHO!H28</f>
        <v>22</v>
      </c>
      <c r="H495" s="37">
        <f>JULHO!I28</f>
        <v>46225</v>
      </c>
      <c r="I495" s="34" t="str">
        <f>JULHO!O28</f>
        <v>RECEITAS</v>
      </c>
      <c r="J495">
        <f t="shared" si="50"/>
        <v>22</v>
      </c>
      <c r="K495">
        <f t="shared" si="51"/>
        <v>1</v>
      </c>
      <c r="L495" t="str">
        <f t="shared" si="52"/>
        <v>JAN</v>
      </c>
      <c r="M495">
        <f t="shared" si="53"/>
        <v>22</v>
      </c>
      <c r="N495">
        <f t="shared" si="54"/>
        <v>7</v>
      </c>
      <c r="O495" t="str">
        <f t="shared" si="56"/>
        <v>JUL</v>
      </c>
      <c r="P495" t="str">
        <f t="shared" si="55"/>
        <v>PAGO</v>
      </c>
    </row>
    <row r="496" spans="3:16" x14ac:dyDescent="0.25">
      <c r="C496" s="35">
        <f>JULHO!C29</f>
        <v>46045</v>
      </c>
      <c r="D496" s="35" t="str">
        <f>JULHO!D29</f>
        <v>RECEITAS COM SERVIÇOS</v>
      </c>
      <c r="E496" s="35" t="str">
        <f>JULHO!E29</f>
        <v>-</v>
      </c>
      <c r="F496" s="67">
        <f>JULHO!G29</f>
        <v>0</v>
      </c>
      <c r="G496" s="68">
        <f>JULHO!H29</f>
        <v>23</v>
      </c>
      <c r="H496" s="37">
        <f>JULHO!I29</f>
        <v>46226</v>
      </c>
      <c r="I496" s="34" t="str">
        <f>JULHO!O29</f>
        <v>RECEITAS</v>
      </c>
      <c r="J496">
        <f t="shared" si="50"/>
        <v>23</v>
      </c>
      <c r="K496">
        <f t="shared" si="51"/>
        <v>1</v>
      </c>
      <c r="L496" t="str">
        <f t="shared" si="52"/>
        <v>JAN</v>
      </c>
      <c r="M496">
        <f t="shared" si="53"/>
        <v>23</v>
      </c>
      <c r="N496">
        <f t="shared" si="54"/>
        <v>7</v>
      </c>
      <c r="O496" t="str">
        <f t="shared" si="56"/>
        <v>JUL</v>
      </c>
      <c r="P496" t="str">
        <f t="shared" si="55"/>
        <v>PAGO</v>
      </c>
    </row>
    <row r="497" spans="3:16" x14ac:dyDescent="0.25">
      <c r="C497" s="35">
        <f>JULHO!C30</f>
        <v>46046</v>
      </c>
      <c r="D497" s="35" t="str">
        <f>JULHO!D30</f>
        <v>RECEITAS COM SERVIÇOS</v>
      </c>
      <c r="E497" s="35" t="str">
        <f>JULHO!E30</f>
        <v>-</v>
      </c>
      <c r="F497" s="67">
        <f>JULHO!G30</f>
        <v>0</v>
      </c>
      <c r="G497" s="68">
        <f>JULHO!H30</f>
        <v>24</v>
      </c>
      <c r="H497" s="37">
        <f>JULHO!I30</f>
        <v>46227</v>
      </c>
      <c r="I497" s="34" t="str">
        <f>JULHO!O30</f>
        <v>RECEITAS</v>
      </c>
      <c r="J497">
        <f t="shared" si="50"/>
        <v>24</v>
      </c>
      <c r="K497">
        <f t="shared" si="51"/>
        <v>1</v>
      </c>
      <c r="L497" t="str">
        <f t="shared" si="52"/>
        <v>JAN</v>
      </c>
      <c r="M497">
        <f t="shared" si="53"/>
        <v>24</v>
      </c>
      <c r="N497">
        <f t="shared" si="54"/>
        <v>7</v>
      </c>
      <c r="O497" t="str">
        <f t="shared" si="56"/>
        <v>JUL</v>
      </c>
      <c r="P497" t="str">
        <f t="shared" si="55"/>
        <v>PAGO</v>
      </c>
    </row>
    <row r="498" spans="3:16" x14ac:dyDescent="0.25">
      <c r="C498" s="35">
        <f>JULHO!C31</f>
        <v>46047</v>
      </c>
      <c r="D498" s="35" t="str">
        <f>JULHO!D31</f>
        <v>RECEITAS COM SERVIÇOS</v>
      </c>
      <c r="E498" s="35" t="str">
        <f>JULHO!E31</f>
        <v>-</v>
      </c>
      <c r="F498" s="67">
        <f>JULHO!G31</f>
        <v>0</v>
      </c>
      <c r="G498" s="68">
        <f>JULHO!H31</f>
        <v>25</v>
      </c>
      <c r="H498" s="37">
        <f>JULHO!I31</f>
        <v>46228</v>
      </c>
      <c r="I498" s="34" t="str">
        <f>JULHO!O31</f>
        <v>RECEITAS</v>
      </c>
      <c r="J498">
        <f t="shared" si="50"/>
        <v>25</v>
      </c>
      <c r="K498">
        <f t="shared" si="51"/>
        <v>1</v>
      </c>
      <c r="L498" t="str">
        <f t="shared" si="52"/>
        <v>JAN</v>
      </c>
      <c r="M498">
        <f t="shared" si="53"/>
        <v>25</v>
      </c>
      <c r="N498">
        <f t="shared" si="54"/>
        <v>7</v>
      </c>
      <c r="O498" t="str">
        <f t="shared" si="56"/>
        <v>JUL</v>
      </c>
      <c r="P498" t="str">
        <f t="shared" si="55"/>
        <v>PAGO</v>
      </c>
    </row>
    <row r="499" spans="3:16" x14ac:dyDescent="0.25">
      <c r="C499" s="35">
        <f>JULHO!C32</f>
        <v>46048</v>
      </c>
      <c r="D499" s="35" t="str">
        <f>JULHO!D32</f>
        <v>RECEITAS COM SERVIÇOS</v>
      </c>
      <c r="E499" s="35" t="str">
        <f>JULHO!E32</f>
        <v>-</v>
      </c>
      <c r="F499" s="67">
        <f>JULHO!G32</f>
        <v>0</v>
      </c>
      <c r="G499" s="68">
        <f>JULHO!H32</f>
        <v>26</v>
      </c>
      <c r="H499" s="37">
        <f>JULHO!I32</f>
        <v>46229</v>
      </c>
      <c r="I499" s="34" t="str">
        <f>JULHO!O32</f>
        <v>RECEITAS</v>
      </c>
      <c r="J499">
        <f t="shared" si="50"/>
        <v>26</v>
      </c>
      <c r="K499">
        <f t="shared" si="51"/>
        <v>1</v>
      </c>
      <c r="L499" t="str">
        <f t="shared" si="52"/>
        <v>JAN</v>
      </c>
      <c r="M499">
        <f t="shared" si="53"/>
        <v>26</v>
      </c>
      <c r="N499">
        <f t="shared" si="54"/>
        <v>7</v>
      </c>
      <c r="O499" t="str">
        <f t="shared" si="56"/>
        <v>JUL</v>
      </c>
      <c r="P499" t="str">
        <f t="shared" si="55"/>
        <v>PAGO</v>
      </c>
    </row>
    <row r="500" spans="3:16" x14ac:dyDescent="0.25">
      <c r="C500" s="35">
        <f>JULHO!C33</f>
        <v>46049</v>
      </c>
      <c r="D500" s="35" t="str">
        <f>JULHO!D33</f>
        <v>RECEITAS COM SERVIÇOS</v>
      </c>
      <c r="E500" s="35" t="str">
        <f>JULHO!E33</f>
        <v>-</v>
      </c>
      <c r="F500" s="67">
        <f>JULHO!G33</f>
        <v>0</v>
      </c>
      <c r="G500" s="68">
        <f>JULHO!H33</f>
        <v>27</v>
      </c>
      <c r="H500" s="37">
        <f>JULHO!I33</f>
        <v>46230</v>
      </c>
      <c r="I500" s="34" t="str">
        <f>JULHO!O33</f>
        <v>RECEITAS</v>
      </c>
      <c r="J500">
        <f t="shared" si="50"/>
        <v>27</v>
      </c>
      <c r="K500">
        <f t="shared" si="51"/>
        <v>1</v>
      </c>
      <c r="L500" t="str">
        <f t="shared" si="52"/>
        <v>JAN</v>
      </c>
      <c r="M500">
        <f t="shared" si="53"/>
        <v>27</v>
      </c>
      <c r="N500">
        <f t="shared" si="54"/>
        <v>7</v>
      </c>
      <c r="O500" t="str">
        <f t="shared" si="56"/>
        <v>JUL</v>
      </c>
      <c r="P500" t="str">
        <f t="shared" si="55"/>
        <v>PAGO</v>
      </c>
    </row>
    <row r="501" spans="3:16" x14ac:dyDescent="0.25">
      <c r="C501" s="35">
        <f>JULHO!C34</f>
        <v>46050</v>
      </c>
      <c r="D501" s="35" t="str">
        <f>JULHO!D34</f>
        <v>RECEITAS COM SERVIÇOS</v>
      </c>
      <c r="E501" s="35" t="str">
        <f>JULHO!E34</f>
        <v>-</v>
      </c>
      <c r="F501" s="67">
        <f>JULHO!G34</f>
        <v>0</v>
      </c>
      <c r="G501" s="68">
        <f>JULHO!H34</f>
        <v>28</v>
      </c>
      <c r="H501" s="37">
        <f>JULHO!I34</f>
        <v>46231</v>
      </c>
      <c r="I501" s="34" t="str">
        <f>JULHO!O34</f>
        <v>RECEITAS</v>
      </c>
      <c r="J501">
        <f t="shared" si="50"/>
        <v>28</v>
      </c>
      <c r="K501">
        <f t="shared" si="51"/>
        <v>1</v>
      </c>
      <c r="L501" t="str">
        <f t="shared" si="52"/>
        <v>JAN</v>
      </c>
      <c r="M501">
        <f t="shared" si="53"/>
        <v>28</v>
      </c>
      <c r="N501">
        <f t="shared" si="54"/>
        <v>7</v>
      </c>
      <c r="O501" t="str">
        <f t="shared" si="56"/>
        <v>JUL</v>
      </c>
      <c r="P501" t="str">
        <f t="shared" si="55"/>
        <v>PAGO</v>
      </c>
    </row>
    <row r="502" spans="3:16" x14ac:dyDescent="0.25">
      <c r="C502" s="35">
        <f>JULHO!C35</f>
        <v>46051</v>
      </c>
      <c r="D502" s="35" t="str">
        <f>JULHO!D35</f>
        <v>RECEITAS COM SERVIÇOS</v>
      </c>
      <c r="E502" s="35" t="str">
        <f>JULHO!E35</f>
        <v>-</v>
      </c>
      <c r="F502" s="67">
        <f>JULHO!G35</f>
        <v>0</v>
      </c>
      <c r="G502" s="68">
        <f>JULHO!H35</f>
        <v>29</v>
      </c>
      <c r="H502" s="37">
        <f>JULHO!I35</f>
        <v>46232</v>
      </c>
      <c r="I502" s="34" t="str">
        <f>JULHO!O35</f>
        <v>RECEITAS</v>
      </c>
      <c r="J502">
        <f t="shared" si="50"/>
        <v>29</v>
      </c>
      <c r="K502">
        <f t="shared" si="51"/>
        <v>1</v>
      </c>
      <c r="L502" t="str">
        <f t="shared" si="52"/>
        <v>JAN</v>
      </c>
      <c r="M502">
        <f t="shared" si="53"/>
        <v>29</v>
      </c>
      <c r="N502">
        <f t="shared" si="54"/>
        <v>7</v>
      </c>
      <c r="O502" t="str">
        <f t="shared" si="56"/>
        <v>JUL</v>
      </c>
      <c r="P502" t="str">
        <f t="shared" si="55"/>
        <v>PAGO</v>
      </c>
    </row>
    <row r="503" spans="3:16" x14ac:dyDescent="0.25">
      <c r="C503" s="35">
        <f>JULHO!C36</f>
        <v>46052</v>
      </c>
      <c r="D503" s="35" t="str">
        <f>JULHO!D36</f>
        <v>RECEITAS COM SERVIÇOS</v>
      </c>
      <c r="E503" s="35" t="str">
        <f>JULHO!E36</f>
        <v>-</v>
      </c>
      <c r="F503" s="67">
        <f>JULHO!G36</f>
        <v>0</v>
      </c>
      <c r="G503" s="68">
        <f>JULHO!H36</f>
        <v>30</v>
      </c>
      <c r="H503" s="37">
        <f>JULHO!I36</f>
        <v>46233</v>
      </c>
      <c r="I503" s="34" t="str">
        <f>JULHO!O36</f>
        <v>RECEITAS</v>
      </c>
      <c r="J503">
        <f t="shared" si="50"/>
        <v>30</v>
      </c>
      <c r="K503">
        <f t="shared" si="51"/>
        <v>1</v>
      </c>
      <c r="L503" t="str">
        <f t="shared" si="52"/>
        <v>JAN</v>
      </c>
      <c r="M503">
        <f t="shared" si="53"/>
        <v>30</v>
      </c>
      <c r="N503">
        <f t="shared" si="54"/>
        <v>7</v>
      </c>
      <c r="O503" t="str">
        <f t="shared" si="56"/>
        <v>JUL</v>
      </c>
      <c r="P503" t="str">
        <f t="shared" si="55"/>
        <v>PAGO</v>
      </c>
    </row>
    <row r="504" spans="3:16" x14ac:dyDescent="0.25">
      <c r="C504" s="35">
        <f>JULHO!C37</f>
        <v>46053</v>
      </c>
      <c r="D504" s="35" t="str">
        <f>JULHO!D37</f>
        <v>RECEITAS COM SERVIÇOS</v>
      </c>
      <c r="E504" s="35" t="str">
        <f>JULHO!E37</f>
        <v>-</v>
      </c>
      <c r="F504" s="67">
        <f>JULHO!G37</f>
        <v>0</v>
      </c>
      <c r="G504" s="68">
        <f>JULHO!H37</f>
        <v>31</v>
      </c>
      <c r="H504" s="37">
        <f>JULHO!I37</f>
        <v>46234</v>
      </c>
      <c r="I504" s="34" t="str">
        <f>JULHO!O37</f>
        <v>RECEITAS</v>
      </c>
      <c r="J504">
        <f t="shared" si="50"/>
        <v>31</v>
      </c>
      <c r="K504">
        <f t="shared" si="51"/>
        <v>1</v>
      </c>
      <c r="L504" t="str">
        <f t="shared" si="52"/>
        <v>JAN</v>
      </c>
      <c r="M504">
        <f t="shared" si="53"/>
        <v>31</v>
      </c>
      <c r="N504">
        <f t="shared" si="54"/>
        <v>7</v>
      </c>
      <c r="O504" t="str">
        <f t="shared" si="56"/>
        <v>JUL</v>
      </c>
      <c r="P504" t="str">
        <f t="shared" si="55"/>
        <v>PAGO</v>
      </c>
    </row>
    <row r="505" spans="3:16" x14ac:dyDescent="0.25">
      <c r="C505" s="35">
        <f>JULHO!C38</f>
        <v>0</v>
      </c>
      <c r="D505" s="35" t="str">
        <f>JULHO!D38</f>
        <v>RECEITAS COM SERVIÇOS</v>
      </c>
      <c r="E505" s="35" t="str">
        <f>JULHO!E38</f>
        <v>-</v>
      </c>
      <c r="F505" s="67">
        <f>JULHO!G38</f>
        <v>0</v>
      </c>
      <c r="G505" s="68">
        <f>JULHO!H38</f>
        <v>0</v>
      </c>
      <c r="H505" s="37">
        <f>JULHO!I38</f>
        <v>46235</v>
      </c>
      <c r="I505" s="34" t="str">
        <f>JULHO!O38</f>
        <v>RECEITAS</v>
      </c>
      <c r="J505">
        <f t="shared" si="50"/>
        <v>0</v>
      </c>
      <c r="K505" t="str">
        <f t="shared" si="51"/>
        <v xml:space="preserve"> </v>
      </c>
      <c r="L505" t="str">
        <f t="shared" si="52"/>
        <v/>
      </c>
      <c r="M505">
        <f t="shared" si="53"/>
        <v>1</v>
      </c>
      <c r="N505">
        <f t="shared" si="54"/>
        <v>8</v>
      </c>
      <c r="O505" t="str">
        <f t="shared" si="56"/>
        <v>AUG</v>
      </c>
      <c r="P505" t="str">
        <f t="shared" si="55"/>
        <v>PAGO</v>
      </c>
    </row>
    <row r="506" spans="3:16" x14ac:dyDescent="0.25">
      <c r="C506" s="35">
        <f>JULHO!C39</f>
        <v>0</v>
      </c>
      <c r="D506" s="35" t="str">
        <f>JULHO!D39</f>
        <v>RECEITAS COM SERVIÇOS</v>
      </c>
      <c r="E506" s="35" t="str">
        <f>JULHO!E39</f>
        <v>-</v>
      </c>
      <c r="F506" s="67">
        <f>JULHO!G39</f>
        <v>0</v>
      </c>
      <c r="G506" s="68">
        <f>JULHO!H39</f>
        <v>0</v>
      </c>
      <c r="H506" s="37">
        <f>JULHO!I39</f>
        <v>46236</v>
      </c>
      <c r="I506" s="34" t="str">
        <f>JULHO!O39</f>
        <v>RECEITAS</v>
      </c>
      <c r="J506">
        <f t="shared" si="50"/>
        <v>0</v>
      </c>
      <c r="K506" t="str">
        <f t="shared" si="51"/>
        <v xml:space="preserve"> </v>
      </c>
      <c r="L506" t="str">
        <f t="shared" si="52"/>
        <v/>
      </c>
      <c r="M506">
        <f t="shared" si="53"/>
        <v>2</v>
      </c>
      <c r="N506">
        <f t="shared" si="54"/>
        <v>8</v>
      </c>
      <c r="O506" t="str">
        <f t="shared" si="56"/>
        <v>AUG</v>
      </c>
      <c r="P506" t="str">
        <f t="shared" si="55"/>
        <v>PAGO</v>
      </c>
    </row>
    <row r="507" spans="3:16" x14ac:dyDescent="0.25">
      <c r="C507" s="35">
        <f>JULHO!C40</f>
        <v>0</v>
      </c>
      <c r="D507" s="35" t="str">
        <f>JULHO!D40</f>
        <v>RECEITAS COM SERVIÇOS</v>
      </c>
      <c r="E507" s="35" t="str">
        <f>JULHO!E40</f>
        <v>-</v>
      </c>
      <c r="F507" s="67">
        <f>JULHO!G40</f>
        <v>0</v>
      </c>
      <c r="G507" s="68">
        <f>JULHO!H40</f>
        <v>0</v>
      </c>
      <c r="H507" s="37">
        <f>JULHO!I40</f>
        <v>46237</v>
      </c>
      <c r="I507" s="34" t="str">
        <f>JULHO!O40</f>
        <v>RECEITAS</v>
      </c>
      <c r="J507">
        <f t="shared" si="50"/>
        <v>0</v>
      </c>
      <c r="K507" t="str">
        <f t="shared" si="51"/>
        <v xml:space="preserve"> </v>
      </c>
      <c r="L507" t="str">
        <f t="shared" si="52"/>
        <v/>
      </c>
      <c r="M507">
        <f t="shared" si="53"/>
        <v>3</v>
      </c>
      <c r="N507">
        <f t="shared" si="54"/>
        <v>8</v>
      </c>
      <c r="O507" t="str">
        <f t="shared" si="56"/>
        <v>AUG</v>
      </c>
      <c r="P507" t="str">
        <f t="shared" si="55"/>
        <v>PAGO</v>
      </c>
    </row>
    <row r="508" spans="3:16" x14ac:dyDescent="0.25">
      <c r="C508" s="35">
        <f>JULHO!C41</f>
        <v>0</v>
      </c>
      <c r="D508" s="35" t="str">
        <f>JULHO!D41</f>
        <v>RECEITAS COM SERVIÇOS</v>
      </c>
      <c r="E508" s="35" t="str">
        <f>JULHO!E41</f>
        <v>-</v>
      </c>
      <c r="F508" s="67">
        <f>JULHO!G41</f>
        <v>0</v>
      </c>
      <c r="G508" s="68">
        <f>JULHO!H41</f>
        <v>0</v>
      </c>
      <c r="H508" s="37">
        <f>JULHO!I41</f>
        <v>46238</v>
      </c>
      <c r="I508" s="34" t="str">
        <f>JULHO!O41</f>
        <v>RECEITAS</v>
      </c>
      <c r="J508">
        <f t="shared" si="50"/>
        <v>0</v>
      </c>
      <c r="K508" t="str">
        <f t="shared" si="51"/>
        <v xml:space="preserve"> </v>
      </c>
      <c r="L508" t="str">
        <f t="shared" si="52"/>
        <v/>
      </c>
      <c r="M508">
        <f t="shared" si="53"/>
        <v>4</v>
      </c>
      <c r="N508">
        <f t="shared" si="54"/>
        <v>8</v>
      </c>
      <c r="O508" t="str">
        <f t="shared" si="56"/>
        <v>AUG</v>
      </c>
      <c r="P508" t="str">
        <f t="shared" si="55"/>
        <v>PAGO</v>
      </c>
    </row>
    <row r="509" spans="3:16" x14ac:dyDescent="0.25">
      <c r="C509" s="35">
        <f>JULHO!C42</f>
        <v>0</v>
      </c>
      <c r="D509" s="35" t="str">
        <f>JULHO!D42</f>
        <v>RECEITAS COM SERVIÇOS</v>
      </c>
      <c r="E509" s="35" t="str">
        <f>JULHO!E42</f>
        <v>-</v>
      </c>
      <c r="F509" s="67">
        <f>JULHO!G42</f>
        <v>0</v>
      </c>
      <c r="G509" s="68">
        <f>JULHO!H42</f>
        <v>0</v>
      </c>
      <c r="H509" s="37">
        <f>JULHO!I42</f>
        <v>46239</v>
      </c>
      <c r="I509" s="34" t="str">
        <f>JULHO!O42</f>
        <v>RECEITAS</v>
      </c>
      <c r="J509">
        <f t="shared" si="50"/>
        <v>0</v>
      </c>
      <c r="K509" t="str">
        <f t="shared" si="51"/>
        <v xml:space="preserve"> </v>
      </c>
      <c r="L509" t="str">
        <f t="shared" si="52"/>
        <v/>
      </c>
      <c r="M509">
        <f t="shared" si="53"/>
        <v>5</v>
      </c>
      <c r="N509">
        <f t="shared" si="54"/>
        <v>8</v>
      </c>
      <c r="O509" t="str">
        <f t="shared" si="56"/>
        <v>AUG</v>
      </c>
      <c r="P509" t="str">
        <f t="shared" si="55"/>
        <v>PAGO</v>
      </c>
    </row>
    <row r="510" spans="3:16" x14ac:dyDescent="0.25">
      <c r="C510" s="35">
        <f>JULHO!C43</f>
        <v>0</v>
      </c>
      <c r="D510" s="35" t="str">
        <f>JULHO!D43</f>
        <v>RECEITAS COM SERVIÇOS</v>
      </c>
      <c r="E510" s="35" t="str">
        <f>JULHO!E43</f>
        <v>-</v>
      </c>
      <c r="F510" s="67">
        <f>JULHO!G43</f>
        <v>0</v>
      </c>
      <c r="G510" s="68">
        <f>JULHO!H43</f>
        <v>0</v>
      </c>
      <c r="H510" s="37">
        <f>JULHO!I43</f>
        <v>46240</v>
      </c>
      <c r="I510" s="34" t="str">
        <f>JULHO!O43</f>
        <v>RECEITAS</v>
      </c>
      <c r="J510">
        <f t="shared" si="50"/>
        <v>0</v>
      </c>
      <c r="K510" t="str">
        <f t="shared" si="51"/>
        <v xml:space="preserve"> </v>
      </c>
      <c r="L510" t="str">
        <f t="shared" si="52"/>
        <v/>
      </c>
      <c r="M510">
        <f t="shared" si="53"/>
        <v>6</v>
      </c>
      <c r="N510">
        <f t="shared" si="54"/>
        <v>8</v>
      </c>
      <c r="O510" t="str">
        <f t="shared" si="56"/>
        <v>AUG</v>
      </c>
      <c r="P510" t="str">
        <f t="shared" si="55"/>
        <v>PAGO</v>
      </c>
    </row>
    <row r="511" spans="3:16" x14ac:dyDescent="0.25">
      <c r="C511" s="35">
        <f>JULHO!C44</f>
        <v>0</v>
      </c>
      <c r="D511" s="35" t="str">
        <f>JULHO!D44</f>
        <v>RECEITAS COM SERVIÇOS</v>
      </c>
      <c r="E511" s="35" t="str">
        <f>JULHO!E44</f>
        <v>-</v>
      </c>
      <c r="F511" s="67">
        <f>JULHO!G44</f>
        <v>0</v>
      </c>
      <c r="G511" s="68">
        <f>JULHO!H44</f>
        <v>0</v>
      </c>
      <c r="H511" s="37">
        <f>JULHO!I44</f>
        <v>46241</v>
      </c>
      <c r="I511" s="34" t="str">
        <f>JULHO!O44</f>
        <v>RECEITAS</v>
      </c>
      <c r="J511">
        <f t="shared" si="50"/>
        <v>0</v>
      </c>
      <c r="K511" t="str">
        <f t="shared" si="51"/>
        <v xml:space="preserve"> </v>
      </c>
      <c r="L511" t="str">
        <f t="shared" si="52"/>
        <v/>
      </c>
      <c r="M511">
        <f t="shared" si="53"/>
        <v>7</v>
      </c>
      <c r="N511">
        <f t="shared" si="54"/>
        <v>8</v>
      </c>
      <c r="O511" t="str">
        <f t="shared" si="56"/>
        <v>AUG</v>
      </c>
      <c r="P511" t="str">
        <f t="shared" si="55"/>
        <v>PAGO</v>
      </c>
    </row>
    <row r="512" spans="3:16" x14ac:dyDescent="0.25">
      <c r="C512" s="35">
        <f>JULHO!C45</f>
        <v>0</v>
      </c>
      <c r="D512" s="35" t="str">
        <f>JULHO!D45</f>
        <v>RECEITAS COM SERVIÇOS</v>
      </c>
      <c r="E512" s="35" t="str">
        <f>JULHO!E45</f>
        <v>-</v>
      </c>
      <c r="F512" s="67">
        <f>JULHO!G45</f>
        <v>0</v>
      </c>
      <c r="G512" s="68">
        <f>JULHO!H45</f>
        <v>0</v>
      </c>
      <c r="H512" s="37">
        <f>JULHO!I45</f>
        <v>46242</v>
      </c>
      <c r="I512" s="34" t="str">
        <f>JULHO!O45</f>
        <v>RECEITAS</v>
      </c>
      <c r="J512">
        <f t="shared" si="50"/>
        <v>0</v>
      </c>
      <c r="K512" t="str">
        <f t="shared" si="51"/>
        <v xml:space="preserve"> </v>
      </c>
      <c r="L512" t="str">
        <f t="shared" si="52"/>
        <v/>
      </c>
      <c r="M512">
        <f t="shared" si="53"/>
        <v>8</v>
      </c>
      <c r="N512">
        <f t="shared" si="54"/>
        <v>8</v>
      </c>
      <c r="O512" t="str">
        <f t="shared" si="56"/>
        <v>AUG</v>
      </c>
      <c r="P512" t="str">
        <f t="shared" si="55"/>
        <v>PAGO</v>
      </c>
    </row>
    <row r="513" spans="3:16" x14ac:dyDescent="0.25">
      <c r="C513" s="35">
        <f>JULHO!C46</f>
        <v>0</v>
      </c>
      <c r="D513" s="35" t="str">
        <f>JULHO!D46</f>
        <v>RECEITAS COM SERVIÇOS</v>
      </c>
      <c r="E513" s="35" t="str">
        <f>JULHO!E46</f>
        <v>-</v>
      </c>
      <c r="F513" s="67">
        <f>JULHO!G46</f>
        <v>0</v>
      </c>
      <c r="G513" s="68">
        <f>JULHO!H46</f>
        <v>0</v>
      </c>
      <c r="H513" s="37">
        <f>JULHO!I46</f>
        <v>46243</v>
      </c>
      <c r="I513" s="34" t="str">
        <f>JULHO!O46</f>
        <v>RECEITAS</v>
      </c>
      <c r="J513">
        <f t="shared" si="50"/>
        <v>0</v>
      </c>
      <c r="K513" t="str">
        <f t="shared" si="51"/>
        <v xml:space="preserve"> </v>
      </c>
      <c r="L513" t="str">
        <f t="shared" si="52"/>
        <v/>
      </c>
      <c r="M513">
        <f t="shared" si="53"/>
        <v>9</v>
      </c>
      <c r="N513">
        <f t="shared" si="54"/>
        <v>8</v>
      </c>
      <c r="O513" t="str">
        <f t="shared" si="56"/>
        <v>AUG</v>
      </c>
      <c r="P513" t="str">
        <f t="shared" si="55"/>
        <v>PAGO</v>
      </c>
    </row>
    <row r="514" spans="3:16" x14ac:dyDescent="0.25">
      <c r="C514" s="35">
        <f>JULHO!C47</f>
        <v>0</v>
      </c>
      <c r="D514" s="35" t="str">
        <f>JULHO!D47</f>
        <v>RECEITAS COM SERVIÇOS</v>
      </c>
      <c r="E514" s="35" t="str">
        <f>JULHO!E47</f>
        <v>-</v>
      </c>
      <c r="F514" s="67">
        <f>JULHO!G47</f>
        <v>0</v>
      </c>
      <c r="G514" s="68">
        <f>JULHO!H47</f>
        <v>0</v>
      </c>
      <c r="H514" s="37">
        <f>JULHO!I47</f>
        <v>46244</v>
      </c>
      <c r="I514" s="34" t="str">
        <f>JULHO!O47</f>
        <v>RECEITAS</v>
      </c>
      <c r="J514">
        <f t="shared" si="50"/>
        <v>0</v>
      </c>
      <c r="K514" t="str">
        <f t="shared" si="51"/>
        <v xml:space="preserve"> </v>
      </c>
      <c r="L514" t="str">
        <f t="shared" si="52"/>
        <v/>
      </c>
      <c r="M514">
        <f t="shared" si="53"/>
        <v>10</v>
      </c>
      <c r="N514">
        <f t="shared" si="54"/>
        <v>8</v>
      </c>
      <c r="O514" t="str">
        <f t="shared" si="56"/>
        <v>AUG</v>
      </c>
      <c r="P514" t="str">
        <f t="shared" si="55"/>
        <v>PAGO</v>
      </c>
    </row>
    <row r="515" spans="3:16" x14ac:dyDescent="0.25">
      <c r="C515" s="35">
        <f>JULHO!C48</f>
        <v>0</v>
      </c>
      <c r="D515" s="35" t="str">
        <f>JULHO!D48</f>
        <v>RECEITAS COM SERVIÇOS</v>
      </c>
      <c r="E515" s="35" t="str">
        <f>JULHO!E48</f>
        <v>-</v>
      </c>
      <c r="F515" s="67">
        <f>JULHO!G48</f>
        <v>0</v>
      </c>
      <c r="G515" s="68">
        <f>JULHO!H48</f>
        <v>0</v>
      </c>
      <c r="H515" s="37">
        <f>JULHO!I48</f>
        <v>46245</v>
      </c>
      <c r="I515" s="34" t="str">
        <f>JULHO!O48</f>
        <v>RECEITAS</v>
      </c>
      <c r="J515">
        <f t="shared" si="50"/>
        <v>0</v>
      </c>
      <c r="K515" t="str">
        <f t="shared" si="51"/>
        <v xml:space="preserve"> </v>
      </c>
      <c r="L515" t="str">
        <f t="shared" si="52"/>
        <v/>
      </c>
      <c r="M515">
        <f t="shared" si="53"/>
        <v>11</v>
      </c>
      <c r="N515">
        <f t="shared" si="54"/>
        <v>8</v>
      </c>
      <c r="O515" t="str">
        <f t="shared" si="56"/>
        <v>AUG</v>
      </c>
      <c r="P515" t="str">
        <f t="shared" si="55"/>
        <v>PAGO</v>
      </c>
    </row>
    <row r="516" spans="3:16" x14ac:dyDescent="0.25">
      <c r="C516" s="35">
        <f>JULHO!C49</f>
        <v>0</v>
      </c>
      <c r="D516" s="35" t="str">
        <f>JULHO!D49</f>
        <v>RECEITAS COM SERVIÇOS</v>
      </c>
      <c r="E516" s="35" t="str">
        <f>JULHO!E49</f>
        <v>-</v>
      </c>
      <c r="F516" s="67">
        <f>JULHO!G49</f>
        <v>0</v>
      </c>
      <c r="G516" s="68">
        <f>JULHO!H49</f>
        <v>0</v>
      </c>
      <c r="H516" s="37">
        <f>JULHO!I49</f>
        <v>46246</v>
      </c>
      <c r="I516" s="34" t="str">
        <f>JULHO!O49</f>
        <v>RECEITAS</v>
      </c>
      <c r="J516">
        <f t="shared" si="50"/>
        <v>0</v>
      </c>
      <c r="K516" t="str">
        <f t="shared" si="51"/>
        <v xml:space="preserve"> </v>
      </c>
      <c r="L516" t="str">
        <f t="shared" si="52"/>
        <v/>
      </c>
      <c r="M516">
        <f t="shared" si="53"/>
        <v>12</v>
      </c>
      <c r="N516">
        <f t="shared" si="54"/>
        <v>8</v>
      </c>
      <c r="O516" t="str">
        <f t="shared" si="56"/>
        <v>AUG</v>
      </c>
      <c r="P516" t="str">
        <f t="shared" si="55"/>
        <v>PAGO</v>
      </c>
    </row>
    <row r="517" spans="3:16" x14ac:dyDescent="0.25">
      <c r="C517" s="35">
        <f>JULHO!C50</f>
        <v>0</v>
      </c>
      <c r="D517" s="35" t="str">
        <f>JULHO!D50</f>
        <v>RECEITAS COM SERVIÇOS</v>
      </c>
      <c r="E517" s="35" t="str">
        <f>JULHO!E50</f>
        <v>-</v>
      </c>
      <c r="F517" s="67">
        <f>JULHO!G50</f>
        <v>0</v>
      </c>
      <c r="G517" s="68">
        <f>JULHO!H50</f>
        <v>0</v>
      </c>
      <c r="H517" s="37">
        <f>JULHO!I50</f>
        <v>46247</v>
      </c>
      <c r="I517" s="34" t="str">
        <f>JULHO!O50</f>
        <v>RECEITAS</v>
      </c>
      <c r="J517">
        <f t="shared" si="50"/>
        <v>0</v>
      </c>
      <c r="K517" t="str">
        <f t="shared" si="51"/>
        <v xml:space="preserve"> </v>
      </c>
      <c r="L517" t="str">
        <f t="shared" si="52"/>
        <v/>
      </c>
      <c r="M517">
        <f t="shared" si="53"/>
        <v>13</v>
      </c>
      <c r="N517">
        <f t="shared" si="54"/>
        <v>8</v>
      </c>
      <c r="O517" t="str">
        <f t="shared" si="56"/>
        <v>AUG</v>
      </c>
      <c r="P517" t="str">
        <f t="shared" si="55"/>
        <v>PAGO</v>
      </c>
    </row>
    <row r="518" spans="3:16" x14ac:dyDescent="0.25">
      <c r="C518" s="35">
        <f>JULHO!C51</f>
        <v>0</v>
      </c>
      <c r="D518" s="35" t="str">
        <f>JULHO!D51</f>
        <v>RECEITAS COM SERVIÇOS</v>
      </c>
      <c r="E518" s="35" t="str">
        <f>JULHO!E51</f>
        <v>-</v>
      </c>
      <c r="F518" s="67">
        <f>JULHO!G51</f>
        <v>0</v>
      </c>
      <c r="G518" s="68">
        <f>JULHO!H51</f>
        <v>0</v>
      </c>
      <c r="H518" s="37">
        <f>JULHO!I51</f>
        <v>46248</v>
      </c>
      <c r="I518" s="34" t="str">
        <f>JULHO!O51</f>
        <v>RECEITAS</v>
      </c>
      <c r="J518">
        <f t="shared" si="50"/>
        <v>0</v>
      </c>
      <c r="K518" t="str">
        <f t="shared" si="51"/>
        <v xml:space="preserve"> </v>
      </c>
      <c r="L518" t="str">
        <f t="shared" si="52"/>
        <v/>
      </c>
      <c r="M518">
        <f t="shared" si="53"/>
        <v>14</v>
      </c>
      <c r="N518">
        <f t="shared" si="54"/>
        <v>8</v>
      </c>
      <c r="O518" t="str">
        <f t="shared" si="56"/>
        <v>AUG</v>
      </c>
      <c r="P518" t="str">
        <f t="shared" si="55"/>
        <v>PAGO</v>
      </c>
    </row>
    <row r="519" spans="3:16" x14ac:dyDescent="0.25">
      <c r="C519" s="35">
        <f>JULHO!C52</f>
        <v>0</v>
      </c>
      <c r="D519" s="35" t="str">
        <f>JULHO!D52</f>
        <v>RECEITAS COM SERVIÇOS</v>
      </c>
      <c r="E519" s="35" t="str">
        <f>JULHO!E52</f>
        <v>-</v>
      </c>
      <c r="F519" s="67">
        <f>JULHO!G52</f>
        <v>0</v>
      </c>
      <c r="G519" s="68">
        <f>JULHO!H52</f>
        <v>0</v>
      </c>
      <c r="H519" s="37">
        <f>JULHO!I52</f>
        <v>46249</v>
      </c>
      <c r="I519" s="34" t="str">
        <f>JULHO!O52</f>
        <v>RECEITAS</v>
      </c>
      <c r="J519">
        <f t="shared" ref="J519:J582" si="57">DAY(C519)</f>
        <v>0</v>
      </c>
      <c r="K519" t="str">
        <f t="shared" ref="K519:K582" si="58">IF(C519 = 0, " ",MONTH(C519))</f>
        <v xml:space="preserve"> </v>
      </c>
      <c r="L519" t="str">
        <f t="shared" ref="L519:L582" si="59">IFERROR(VLOOKUP(K519,$R$6:$S$17,2),"")</f>
        <v/>
      </c>
      <c r="M519">
        <f t="shared" ref="M519:M582" si="60">DAY(H519)</f>
        <v>15</v>
      </c>
      <c r="N519">
        <f t="shared" ref="N519:N582" si="61">IF(H519 = 0, " ",MONTH(H519))</f>
        <v>8</v>
      </c>
      <c r="O519" t="str">
        <f t="shared" si="56"/>
        <v>AUG</v>
      </c>
      <c r="P519" t="str">
        <f t="shared" ref="P519:P582" si="62">IF(H519=0,"NAO PAGO","PAGO")</f>
        <v>PAGO</v>
      </c>
    </row>
    <row r="520" spans="3:16" x14ac:dyDescent="0.25">
      <c r="C520" s="35">
        <f>JULHO!C53</f>
        <v>0</v>
      </c>
      <c r="D520" s="35" t="str">
        <f>JULHO!D53</f>
        <v>RECEITAS COM SERVIÇOS</v>
      </c>
      <c r="E520" s="35" t="str">
        <f>JULHO!E53</f>
        <v>-</v>
      </c>
      <c r="F520" s="67">
        <f>JULHO!G53</f>
        <v>0</v>
      </c>
      <c r="G520" s="68">
        <f>JULHO!H53</f>
        <v>0</v>
      </c>
      <c r="H520" s="37">
        <f>JULHO!I53</f>
        <v>46250</v>
      </c>
      <c r="I520" s="34" t="str">
        <f>JULHO!O53</f>
        <v>RECEITAS</v>
      </c>
      <c r="J520">
        <f t="shared" si="57"/>
        <v>0</v>
      </c>
      <c r="K520" t="str">
        <f t="shared" si="58"/>
        <v xml:space="preserve"> </v>
      </c>
      <c r="L520" t="str">
        <f t="shared" si="59"/>
        <v/>
      </c>
      <c r="M520">
        <f t="shared" si="60"/>
        <v>16</v>
      </c>
      <c r="N520">
        <f t="shared" si="61"/>
        <v>8</v>
      </c>
      <c r="O520" t="str">
        <f t="shared" si="56"/>
        <v>AUG</v>
      </c>
      <c r="P520" t="str">
        <f t="shared" si="62"/>
        <v>PAGO</v>
      </c>
    </row>
    <row r="521" spans="3:16" x14ac:dyDescent="0.25">
      <c r="C521" s="35">
        <f>JULHO!C54</f>
        <v>0</v>
      </c>
      <c r="D521" s="35" t="str">
        <f>JULHO!D54</f>
        <v>RECEITAS COM SERVIÇOS</v>
      </c>
      <c r="E521" s="35" t="str">
        <f>JULHO!E54</f>
        <v>-</v>
      </c>
      <c r="F521" s="67">
        <f>JULHO!G54</f>
        <v>0</v>
      </c>
      <c r="G521" s="68">
        <f>JULHO!H54</f>
        <v>0</v>
      </c>
      <c r="H521" s="37">
        <f>JULHO!I54</f>
        <v>46251</v>
      </c>
      <c r="I521" s="34" t="str">
        <f>JULHO!O54</f>
        <v>RECEITAS</v>
      </c>
      <c r="J521">
        <f t="shared" si="57"/>
        <v>0</v>
      </c>
      <c r="K521" t="str">
        <f t="shared" si="58"/>
        <v xml:space="preserve"> </v>
      </c>
      <c r="L521" t="str">
        <f t="shared" si="59"/>
        <v/>
      </c>
      <c r="M521">
        <f t="shared" si="60"/>
        <v>17</v>
      </c>
      <c r="N521">
        <f t="shared" si="61"/>
        <v>8</v>
      </c>
      <c r="O521" t="str">
        <f t="shared" si="56"/>
        <v>AUG</v>
      </c>
      <c r="P521" t="str">
        <f t="shared" si="62"/>
        <v>PAGO</v>
      </c>
    </row>
    <row r="522" spans="3:16" x14ac:dyDescent="0.25">
      <c r="C522" s="35">
        <f>JULHO!C55</f>
        <v>0</v>
      </c>
      <c r="D522" s="35" t="str">
        <f>JULHO!D55</f>
        <v>RECEITAS COM SERVIÇOS</v>
      </c>
      <c r="E522" s="35" t="str">
        <f>JULHO!E55</f>
        <v>-</v>
      </c>
      <c r="F522" s="67">
        <f>JULHO!G55</f>
        <v>0</v>
      </c>
      <c r="G522" s="68">
        <f>JULHO!H55</f>
        <v>0</v>
      </c>
      <c r="H522" s="37">
        <f>JULHO!I55</f>
        <v>46252</v>
      </c>
      <c r="I522" s="34" t="str">
        <f>JULHO!O55</f>
        <v>RECEITAS</v>
      </c>
      <c r="J522">
        <f t="shared" si="57"/>
        <v>0</v>
      </c>
      <c r="K522" t="str">
        <f t="shared" si="58"/>
        <v xml:space="preserve"> </v>
      </c>
      <c r="L522" t="str">
        <f t="shared" si="59"/>
        <v/>
      </c>
      <c r="M522">
        <f t="shared" si="60"/>
        <v>18</v>
      </c>
      <c r="N522">
        <f t="shared" si="61"/>
        <v>8</v>
      </c>
      <c r="O522" t="str">
        <f t="shared" si="56"/>
        <v>AUG</v>
      </c>
      <c r="P522" t="str">
        <f t="shared" si="62"/>
        <v>PAGO</v>
      </c>
    </row>
    <row r="523" spans="3:16" x14ac:dyDescent="0.25">
      <c r="C523" s="35">
        <f>JULHO!C56</f>
        <v>0</v>
      </c>
      <c r="D523" s="35" t="str">
        <f>JULHO!D56</f>
        <v>RECEITAS COM SERVIÇOS</v>
      </c>
      <c r="E523" s="35" t="str">
        <f>JULHO!E56</f>
        <v>-</v>
      </c>
      <c r="F523" s="67">
        <f>JULHO!G56</f>
        <v>0</v>
      </c>
      <c r="G523" s="68">
        <f>JULHO!H56</f>
        <v>0</v>
      </c>
      <c r="H523" s="37">
        <f>JULHO!I56</f>
        <v>46253</v>
      </c>
      <c r="I523" s="34" t="str">
        <f>JULHO!O56</f>
        <v>RECEITAS</v>
      </c>
      <c r="J523">
        <f t="shared" si="57"/>
        <v>0</v>
      </c>
      <c r="K523" t="str">
        <f t="shared" si="58"/>
        <v xml:space="preserve"> </v>
      </c>
      <c r="L523" t="str">
        <f t="shared" si="59"/>
        <v/>
      </c>
      <c r="M523">
        <f t="shared" si="60"/>
        <v>19</v>
      </c>
      <c r="N523">
        <f t="shared" si="61"/>
        <v>8</v>
      </c>
      <c r="O523" t="str">
        <f t="shared" si="56"/>
        <v>AUG</v>
      </c>
      <c r="P523" t="str">
        <f t="shared" si="62"/>
        <v>PAGO</v>
      </c>
    </row>
    <row r="524" spans="3:16" x14ac:dyDescent="0.25">
      <c r="C524" s="35">
        <f>JULHO!C57</f>
        <v>0</v>
      </c>
      <c r="D524" s="35" t="str">
        <f>JULHO!D57</f>
        <v>RECEITAS COM SERVIÇOS</v>
      </c>
      <c r="E524" s="35" t="str">
        <f>JULHO!E57</f>
        <v>-</v>
      </c>
      <c r="F524" s="67">
        <f>JULHO!G57</f>
        <v>0</v>
      </c>
      <c r="G524" s="68">
        <f>JULHO!H57</f>
        <v>0</v>
      </c>
      <c r="H524" s="37">
        <f>JULHO!I57</f>
        <v>46254</v>
      </c>
      <c r="I524" s="34" t="str">
        <f>JULHO!O57</f>
        <v>RECEITAS</v>
      </c>
      <c r="J524">
        <f t="shared" si="57"/>
        <v>0</v>
      </c>
      <c r="K524" t="str">
        <f t="shared" si="58"/>
        <v xml:space="preserve"> </v>
      </c>
      <c r="L524" t="str">
        <f t="shared" si="59"/>
        <v/>
      </c>
      <c r="M524">
        <f t="shared" si="60"/>
        <v>20</v>
      </c>
      <c r="N524">
        <f t="shared" si="61"/>
        <v>8</v>
      </c>
      <c r="O524" t="str">
        <f t="shared" si="56"/>
        <v>AUG</v>
      </c>
      <c r="P524" t="str">
        <f t="shared" si="62"/>
        <v>PAGO</v>
      </c>
    </row>
    <row r="525" spans="3:16" x14ac:dyDescent="0.25">
      <c r="C525" s="35">
        <f>JULHO!C58</f>
        <v>0</v>
      </c>
      <c r="D525" s="35" t="str">
        <f>JULHO!D58</f>
        <v>RECEITAS COM SERVIÇOS</v>
      </c>
      <c r="E525" s="35" t="str">
        <f>JULHO!E58</f>
        <v>-</v>
      </c>
      <c r="F525" s="67">
        <f>JULHO!G58</f>
        <v>0</v>
      </c>
      <c r="G525" s="68">
        <f>JULHO!H58</f>
        <v>0</v>
      </c>
      <c r="H525" s="37">
        <f>JULHO!I58</f>
        <v>46255</v>
      </c>
      <c r="I525" s="34" t="str">
        <f>JULHO!O58</f>
        <v>RECEITAS</v>
      </c>
      <c r="J525">
        <f t="shared" si="57"/>
        <v>0</v>
      </c>
      <c r="K525" t="str">
        <f t="shared" si="58"/>
        <v xml:space="preserve"> </v>
      </c>
      <c r="L525" t="str">
        <f t="shared" si="59"/>
        <v/>
      </c>
      <c r="M525">
        <f t="shared" si="60"/>
        <v>21</v>
      </c>
      <c r="N525">
        <f t="shared" si="61"/>
        <v>8</v>
      </c>
      <c r="O525" t="str">
        <f t="shared" si="56"/>
        <v>AUG</v>
      </c>
      <c r="P525" t="str">
        <f t="shared" si="62"/>
        <v>PAGO</v>
      </c>
    </row>
    <row r="526" spans="3:16" x14ac:dyDescent="0.25">
      <c r="C526" s="35">
        <f>JULHO!C59</f>
        <v>0</v>
      </c>
      <c r="D526" s="35" t="str">
        <f>JULHO!D59</f>
        <v>RECEITAS COM SERVIÇOS</v>
      </c>
      <c r="E526" s="35" t="str">
        <f>JULHO!E59</f>
        <v>-</v>
      </c>
      <c r="F526" s="67">
        <f>JULHO!G59</f>
        <v>0</v>
      </c>
      <c r="G526" s="68">
        <f>JULHO!H59</f>
        <v>0</v>
      </c>
      <c r="H526" s="37">
        <f>JULHO!I59</f>
        <v>46256</v>
      </c>
      <c r="I526" s="34" t="str">
        <f>JULHO!O59</f>
        <v>RECEITAS</v>
      </c>
      <c r="J526">
        <f t="shared" si="57"/>
        <v>0</v>
      </c>
      <c r="K526" t="str">
        <f t="shared" si="58"/>
        <v xml:space="preserve"> </v>
      </c>
      <c r="L526" t="str">
        <f t="shared" si="59"/>
        <v/>
      </c>
      <c r="M526">
        <f t="shared" si="60"/>
        <v>22</v>
      </c>
      <c r="N526">
        <f t="shared" si="61"/>
        <v>8</v>
      </c>
      <c r="O526" t="str">
        <f t="shared" si="56"/>
        <v>AUG</v>
      </c>
      <c r="P526" t="str">
        <f t="shared" si="62"/>
        <v>PAGO</v>
      </c>
    </row>
    <row r="527" spans="3:16" x14ac:dyDescent="0.25">
      <c r="C527" s="35">
        <f>JULHO!C60</f>
        <v>0</v>
      </c>
      <c r="D527" s="35" t="str">
        <f>JULHO!D60</f>
        <v>RECEITAS COM SERVIÇOS</v>
      </c>
      <c r="E527" s="35" t="str">
        <f>JULHO!E60</f>
        <v>-</v>
      </c>
      <c r="F527" s="67">
        <f>JULHO!G60</f>
        <v>0</v>
      </c>
      <c r="G527" s="68">
        <f>JULHO!H60</f>
        <v>0</v>
      </c>
      <c r="H527" s="37">
        <f>JULHO!I60</f>
        <v>46257</v>
      </c>
      <c r="I527" s="34" t="str">
        <f>JULHO!O60</f>
        <v>RECEITAS</v>
      </c>
      <c r="J527">
        <f t="shared" si="57"/>
        <v>0</v>
      </c>
      <c r="K527" t="str">
        <f t="shared" si="58"/>
        <v xml:space="preserve"> </v>
      </c>
      <c r="L527" t="str">
        <f t="shared" si="59"/>
        <v/>
      </c>
      <c r="M527">
        <f t="shared" si="60"/>
        <v>23</v>
      </c>
      <c r="N527">
        <f t="shared" si="61"/>
        <v>8</v>
      </c>
      <c r="O527" t="str">
        <f t="shared" si="56"/>
        <v>AUG</v>
      </c>
      <c r="P527" t="str">
        <f t="shared" si="62"/>
        <v>PAGO</v>
      </c>
    </row>
    <row r="528" spans="3:16" x14ac:dyDescent="0.25">
      <c r="C528" s="35">
        <f>JULHO!C61</f>
        <v>0</v>
      </c>
      <c r="D528" s="35" t="str">
        <f>JULHO!D61</f>
        <v>RECEITAS COM SERVIÇOS</v>
      </c>
      <c r="E528" s="35" t="str">
        <f>JULHO!E61</f>
        <v>-</v>
      </c>
      <c r="F528" s="67">
        <f>JULHO!G61</f>
        <v>0</v>
      </c>
      <c r="G528" s="68">
        <f>JULHO!H61</f>
        <v>0</v>
      </c>
      <c r="H528" s="37">
        <f>JULHO!I61</f>
        <v>46258</v>
      </c>
      <c r="I528" s="34" t="str">
        <f>JULHO!O61</f>
        <v>RECEITAS</v>
      </c>
      <c r="J528">
        <f t="shared" si="57"/>
        <v>0</v>
      </c>
      <c r="K528" t="str">
        <f t="shared" si="58"/>
        <v xml:space="preserve"> </v>
      </c>
      <c r="L528" t="str">
        <f t="shared" si="59"/>
        <v/>
      </c>
      <c r="M528">
        <f t="shared" si="60"/>
        <v>24</v>
      </c>
      <c r="N528">
        <f t="shared" si="61"/>
        <v>8</v>
      </c>
      <c r="O528" t="str">
        <f t="shared" si="56"/>
        <v>AUG</v>
      </c>
      <c r="P528" t="str">
        <f t="shared" si="62"/>
        <v>PAGO</v>
      </c>
    </row>
    <row r="529" spans="3:16" x14ac:dyDescent="0.25">
      <c r="C529" s="35">
        <f>JULHO!C62</f>
        <v>0</v>
      </c>
      <c r="D529" s="35" t="str">
        <f>JULHO!D62</f>
        <v>RECEITAS COM SERVIÇOS</v>
      </c>
      <c r="E529" s="35" t="str">
        <f>JULHO!E62</f>
        <v>-</v>
      </c>
      <c r="F529" s="67">
        <f>JULHO!G62</f>
        <v>0</v>
      </c>
      <c r="G529" s="68">
        <f>JULHO!H62</f>
        <v>0</v>
      </c>
      <c r="H529" s="37">
        <f>JULHO!I62</f>
        <v>46259</v>
      </c>
      <c r="I529" s="34" t="str">
        <f>JULHO!O62</f>
        <v>RECEITAS</v>
      </c>
      <c r="J529">
        <f t="shared" si="57"/>
        <v>0</v>
      </c>
      <c r="K529" t="str">
        <f t="shared" si="58"/>
        <v xml:space="preserve"> </v>
      </c>
      <c r="L529" t="str">
        <f t="shared" si="59"/>
        <v/>
      </c>
      <c r="M529">
        <f t="shared" si="60"/>
        <v>25</v>
      </c>
      <c r="N529">
        <f t="shared" si="61"/>
        <v>8</v>
      </c>
      <c r="O529" t="str">
        <f t="shared" si="56"/>
        <v>AUG</v>
      </c>
      <c r="P529" t="str">
        <f t="shared" si="62"/>
        <v>PAGO</v>
      </c>
    </row>
    <row r="530" spans="3:16" x14ac:dyDescent="0.25">
      <c r="C530" s="35">
        <f>JULHO!C63</f>
        <v>0</v>
      </c>
      <c r="D530" s="35" t="str">
        <f>JULHO!D63</f>
        <v>RECEITAS COM SERVIÇOS</v>
      </c>
      <c r="E530" s="35" t="str">
        <f>JULHO!E63</f>
        <v>-</v>
      </c>
      <c r="F530" s="67">
        <f>JULHO!G63</f>
        <v>0</v>
      </c>
      <c r="G530" s="68">
        <f>JULHO!H63</f>
        <v>0</v>
      </c>
      <c r="H530" s="37">
        <f>JULHO!I63</f>
        <v>46260</v>
      </c>
      <c r="I530" s="34" t="str">
        <f>JULHO!O63</f>
        <v>RECEITAS</v>
      </c>
      <c r="J530">
        <f t="shared" si="57"/>
        <v>0</v>
      </c>
      <c r="K530" t="str">
        <f t="shared" si="58"/>
        <v xml:space="preserve"> </v>
      </c>
      <c r="L530" t="str">
        <f t="shared" si="59"/>
        <v/>
      </c>
      <c r="M530">
        <f t="shared" si="60"/>
        <v>26</v>
      </c>
      <c r="N530">
        <f t="shared" si="61"/>
        <v>8</v>
      </c>
      <c r="O530" t="str">
        <f t="shared" si="56"/>
        <v>AUG</v>
      </c>
      <c r="P530" t="str">
        <f t="shared" si="62"/>
        <v>PAGO</v>
      </c>
    </row>
    <row r="531" spans="3:16" x14ac:dyDescent="0.25">
      <c r="C531" s="35">
        <f>JULHO!C64</f>
        <v>0</v>
      </c>
      <c r="D531" s="35" t="str">
        <f>JULHO!D64</f>
        <v>RECEITAS COM SERVIÇOS</v>
      </c>
      <c r="E531" s="35" t="str">
        <f>JULHO!E64</f>
        <v>-</v>
      </c>
      <c r="F531" s="67">
        <f>JULHO!G64</f>
        <v>0</v>
      </c>
      <c r="G531" s="68">
        <f>JULHO!H64</f>
        <v>0</v>
      </c>
      <c r="H531" s="37">
        <f>JULHO!I64</f>
        <v>46261</v>
      </c>
      <c r="I531" s="34" t="str">
        <f>JULHO!O64</f>
        <v>RECEITAS</v>
      </c>
      <c r="J531">
        <f t="shared" si="57"/>
        <v>0</v>
      </c>
      <c r="K531" t="str">
        <f t="shared" si="58"/>
        <v xml:space="preserve"> </v>
      </c>
      <c r="L531" t="str">
        <f t="shared" si="59"/>
        <v/>
      </c>
      <c r="M531">
        <f t="shared" si="60"/>
        <v>27</v>
      </c>
      <c r="N531">
        <f t="shared" si="61"/>
        <v>8</v>
      </c>
      <c r="O531" t="str">
        <f t="shared" si="56"/>
        <v>AUG</v>
      </c>
      <c r="P531" t="str">
        <f t="shared" si="62"/>
        <v>PAGO</v>
      </c>
    </row>
    <row r="532" spans="3:16" x14ac:dyDescent="0.25">
      <c r="C532" s="35">
        <f>JULHO!C65</f>
        <v>0</v>
      </c>
      <c r="D532" s="35" t="str">
        <f>JULHO!D65</f>
        <v>RECEITAS COM SERVIÇOS</v>
      </c>
      <c r="E532" s="35" t="str">
        <f>JULHO!E65</f>
        <v>-</v>
      </c>
      <c r="F532" s="67">
        <f>JULHO!G65</f>
        <v>0</v>
      </c>
      <c r="G532" s="68">
        <f>JULHO!H65</f>
        <v>0</v>
      </c>
      <c r="H532" s="37">
        <f>JULHO!I65</f>
        <v>46262</v>
      </c>
      <c r="I532" s="34" t="str">
        <f>JULHO!O65</f>
        <v>RECEITAS</v>
      </c>
      <c r="J532">
        <f t="shared" si="57"/>
        <v>0</v>
      </c>
      <c r="K532" t="str">
        <f t="shared" si="58"/>
        <v xml:space="preserve"> </v>
      </c>
      <c r="L532" t="str">
        <f t="shared" si="59"/>
        <v/>
      </c>
      <c r="M532">
        <f t="shared" si="60"/>
        <v>28</v>
      </c>
      <c r="N532">
        <f t="shared" si="61"/>
        <v>8</v>
      </c>
      <c r="O532" t="str">
        <f t="shared" si="56"/>
        <v>AUG</v>
      </c>
      <c r="P532" t="str">
        <f t="shared" si="62"/>
        <v>PAGO</v>
      </c>
    </row>
    <row r="533" spans="3:16" x14ac:dyDescent="0.25">
      <c r="C533" s="35">
        <f>JULHO!C66</f>
        <v>0</v>
      </c>
      <c r="D533" s="35" t="str">
        <f>JULHO!D66</f>
        <v>RECEITAS COM SERVIÇOS</v>
      </c>
      <c r="E533" s="35" t="str">
        <f>JULHO!E66</f>
        <v>-</v>
      </c>
      <c r="F533" s="67">
        <f>JULHO!G66</f>
        <v>0</v>
      </c>
      <c r="G533" s="68">
        <f>JULHO!H66</f>
        <v>0</v>
      </c>
      <c r="H533" s="37">
        <f>JULHO!I66</f>
        <v>46263</v>
      </c>
      <c r="I533" s="34" t="str">
        <f>JULHO!O66</f>
        <v>RECEITAS</v>
      </c>
      <c r="J533">
        <f t="shared" si="57"/>
        <v>0</v>
      </c>
      <c r="K533" t="str">
        <f t="shared" si="58"/>
        <v xml:space="preserve"> </v>
      </c>
      <c r="L533" t="str">
        <f t="shared" si="59"/>
        <v/>
      </c>
      <c r="M533">
        <f t="shared" si="60"/>
        <v>29</v>
      </c>
      <c r="N533">
        <f t="shared" si="61"/>
        <v>8</v>
      </c>
      <c r="O533" t="str">
        <f t="shared" si="56"/>
        <v>AUG</v>
      </c>
      <c r="P533" t="str">
        <f t="shared" si="62"/>
        <v>PAGO</v>
      </c>
    </row>
    <row r="534" spans="3:16" x14ac:dyDescent="0.25">
      <c r="C534" s="35">
        <f>JULHO!C67</f>
        <v>0</v>
      </c>
      <c r="D534" s="35" t="str">
        <f>JULHO!D67</f>
        <v>RECEITAS COM SERVIÇOS</v>
      </c>
      <c r="E534" s="35" t="str">
        <f>JULHO!E67</f>
        <v>-</v>
      </c>
      <c r="F534" s="67">
        <f>JULHO!G67</f>
        <v>0</v>
      </c>
      <c r="G534" s="68">
        <f>JULHO!H67</f>
        <v>0</v>
      </c>
      <c r="H534" s="37">
        <f>JULHO!I67</f>
        <v>46264</v>
      </c>
      <c r="I534" s="34" t="str">
        <f>JULHO!O67</f>
        <v>RECEITAS</v>
      </c>
      <c r="J534">
        <f t="shared" si="57"/>
        <v>0</v>
      </c>
      <c r="K534" t="str">
        <f t="shared" si="58"/>
        <v xml:space="preserve"> </v>
      </c>
      <c r="L534" t="str">
        <f t="shared" si="59"/>
        <v/>
      </c>
      <c r="M534">
        <f t="shared" si="60"/>
        <v>30</v>
      </c>
      <c r="N534">
        <f t="shared" si="61"/>
        <v>8</v>
      </c>
      <c r="O534" t="str">
        <f t="shared" si="56"/>
        <v>AUG</v>
      </c>
      <c r="P534" t="str">
        <f t="shared" si="62"/>
        <v>PAGO</v>
      </c>
    </row>
    <row r="535" spans="3:16" x14ac:dyDescent="0.25">
      <c r="C535" s="35">
        <f>JULHO!C68</f>
        <v>0</v>
      </c>
      <c r="D535" s="35" t="str">
        <f>JULHO!D68</f>
        <v>RECEITAS COM SERVIÇOS</v>
      </c>
      <c r="E535" s="35" t="str">
        <f>JULHO!E68</f>
        <v>-</v>
      </c>
      <c r="F535" s="67">
        <f>JULHO!G68</f>
        <v>0</v>
      </c>
      <c r="G535" s="68">
        <f>JULHO!H68</f>
        <v>0</v>
      </c>
      <c r="H535" s="37">
        <f>JULHO!I68</f>
        <v>46265</v>
      </c>
      <c r="I535" s="34" t="str">
        <f>JULHO!O68</f>
        <v>RECEITAS</v>
      </c>
      <c r="J535">
        <f t="shared" si="57"/>
        <v>0</v>
      </c>
      <c r="K535" t="str">
        <f t="shared" si="58"/>
        <v xml:space="preserve"> </v>
      </c>
      <c r="L535" t="str">
        <f t="shared" si="59"/>
        <v/>
      </c>
      <c r="M535">
        <f t="shared" si="60"/>
        <v>31</v>
      </c>
      <c r="N535">
        <f t="shared" si="61"/>
        <v>8</v>
      </c>
      <c r="O535" t="str">
        <f t="shared" ref="O535:O598" si="63">IFERROR(VLOOKUP(N535,$R$6:$S$17,2),"")</f>
        <v>AUG</v>
      </c>
      <c r="P535" t="str">
        <f t="shared" si="62"/>
        <v>PAGO</v>
      </c>
    </row>
    <row r="536" spans="3:16" x14ac:dyDescent="0.25">
      <c r="C536" s="35">
        <f>JULHO!C69</f>
        <v>0</v>
      </c>
      <c r="D536" s="35" t="str">
        <f>JULHO!D69</f>
        <v>RECEITAS COM SERVIÇOS</v>
      </c>
      <c r="E536" s="35" t="str">
        <f>JULHO!E69</f>
        <v>-</v>
      </c>
      <c r="F536" s="67">
        <f>JULHO!G69</f>
        <v>0</v>
      </c>
      <c r="G536" s="68">
        <f>JULHO!H69</f>
        <v>0</v>
      </c>
      <c r="H536" s="37">
        <f>JULHO!I69</f>
        <v>46266</v>
      </c>
      <c r="I536" s="34" t="str">
        <f>JULHO!O69</f>
        <v>RECEITAS</v>
      </c>
      <c r="J536">
        <f t="shared" si="57"/>
        <v>0</v>
      </c>
      <c r="K536" t="str">
        <f t="shared" si="58"/>
        <v xml:space="preserve"> </v>
      </c>
      <c r="L536" t="str">
        <f t="shared" si="59"/>
        <v/>
      </c>
      <c r="M536">
        <f t="shared" si="60"/>
        <v>1</v>
      </c>
      <c r="N536">
        <f t="shared" si="61"/>
        <v>9</v>
      </c>
      <c r="O536" t="str">
        <f t="shared" si="63"/>
        <v>SEP</v>
      </c>
      <c r="P536" t="str">
        <f t="shared" si="62"/>
        <v>PAGO</v>
      </c>
    </row>
    <row r="537" spans="3:16" x14ac:dyDescent="0.25">
      <c r="C537" s="35">
        <f>JULHO!C70</f>
        <v>0</v>
      </c>
      <c r="D537" s="35" t="str">
        <f>JULHO!D70</f>
        <v>RECEITAS COM SERVIÇOS</v>
      </c>
      <c r="E537" s="35" t="str">
        <f>JULHO!E70</f>
        <v>-</v>
      </c>
      <c r="F537" s="67">
        <f>JULHO!G70</f>
        <v>0</v>
      </c>
      <c r="G537" s="68">
        <f>JULHO!H70</f>
        <v>0</v>
      </c>
      <c r="H537" s="37">
        <f>JULHO!I70</f>
        <v>46267</v>
      </c>
      <c r="I537" s="34" t="str">
        <f>JULHO!O70</f>
        <v>RECEITAS</v>
      </c>
      <c r="J537">
        <f t="shared" si="57"/>
        <v>0</v>
      </c>
      <c r="K537" t="str">
        <f t="shared" si="58"/>
        <v xml:space="preserve"> </v>
      </c>
      <c r="L537" t="str">
        <f t="shared" si="59"/>
        <v/>
      </c>
      <c r="M537">
        <f t="shared" si="60"/>
        <v>2</v>
      </c>
      <c r="N537">
        <f t="shared" si="61"/>
        <v>9</v>
      </c>
      <c r="O537" t="str">
        <f t="shared" si="63"/>
        <v>SEP</v>
      </c>
      <c r="P537" t="str">
        <f t="shared" si="62"/>
        <v>PAGO</v>
      </c>
    </row>
    <row r="538" spans="3:16" x14ac:dyDescent="0.25">
      <c r="C538" s="35">
        <f>JULHO!C71</f>
        <v>0</v>
      </c>
      <c r="D538" s="35" t="str">
        <f>JULHO!D71</f>
        <v>RECEITAS COM SERVIÇOS</v>
      </c>
      <c r="E538" s="35" t="str">
        <f>JULHO!E71</f>
        <v>-</v>
      </c>
      <c r="F538" s="67">
        <f>JULHO!G71</f>
        <v>0</v>
      </c>
      <c r="G538" s="68">
        <f>JULHO!H71</f>
        <v>0</v>
      </c>
      <c r="H538" s="37">
        <f>JULHO!I71</f>
        <v>46268</v>
      </c>
      <c r="I538" s="34" t="str">
        <f>JULHO!O71</f>
        <v>RECEITAS</v>
      </c>
      <c r="J538">
        <f t="shared" si="57"/>
        <v>0</v>
      </c>
      <c r="K538" t="str">
        <f t="shared" si="58"/>
        <v xml:space="preserve"> </v>
      </c>
      <c r="L538" t="str">
        <f t="shared" si="59"/>
        <v/>
      </c>
      <c r="M538">
        <f t="shared" si="60"/>
        <v>3</v>
      </c>
      <c r="N538">
        <f t="shared" si="61"/>
        <v>9</v>
      </c>
      <c r="O538" t="str">
        <f t="shared" si="63"/>
        <v>SEP</v>
      </c>
      <c r="P538" t="str">
        <f t="shared" si="62"/>
        <v>PAGO</v>
      </c>
    </row>
    <row r="539" spans="3:16" x14ac:dyDescent="0.25">
      <c r="C539" s="35">
        <f>JULHO!C72</f>
        <v>0</v>
      </c>
      <c r="D539" s="35" t="str">
        <f>JULHO!D72</f>
        <v>RECEITAS COM SERVIÇOS</v>
      </c>
      <c r="E539" s="35" t="str">
        <f>JULHO!E72</f>
        <v>-</v>
      </c>
      <c r="F539" s="67">
        <f>JULHO!G72</f>
        <v>0</v>
      </c>
      <c r="G539" s="68">
        <f>JULHO!H72</f>
        <v>0</v>
      </c>
      <c r="H539" s="37">
        <f>JULHO!I72</f>
        <v>46269</v>
      </c>
      <c r="I539" s="34" t="str">
        <f>JULHO!O72</f>
        <v>RECEITAS</v>
      </c>
      <c r="J539">
        <f t="shared" si="57"/>
        <v>0</v>
      </c>
      <c r="K539" t="str">
        <f t="shared" si="58"/>
        <v xml:space="preserve"> </v>
      </c>
      <c r="L539" t="str">
        <f t="shared" si="59"/>
        <v/>
      </c>
      <c r="M539">
        <f t="shared" si="60"/>
        <v>4</v>
      </c>
      <c r="N539">
        <f t="shared" si="61"/>
        <v>9</v>
      </c>
      <c r="O539" t="str">
        <f t="shared" si="63"/>
        <v>SEP</v>
      </c>
      <c r="P539" t="str">
        <f t="shared" si="62"/>
        <v>PAGO</v>
      </c>
    </row>
    <row r="540" spans="3:16" x14ac:dyDescent="0.25">
      <c r="C540" s="35">
        <f>JULHO!C73</f>
        <v>0</v>
      </c>
      <c r="D540" s="35" t="str">
        <f>JULHO!D73</f>
        <v>RECEITAS COM SERVIÇOS</v>
      </c>
      <c r="E540" s="35" t="str">
        <f>JULHO!E73</f>
        <v>-</v>
      </c>
      <c r="F540" s="67">
        <f>JULHO!G73</f>
        <v>0</v>
      </c>
      <c r="G540" s="68">
        <f>JULHO!H73</f>
        <v>0</v>
      </c>
      <c r="H540" s="37">
        <f>JULHO!I73</f>
        <v>46270</v>
      </c>
      <c r="I540" s="34" t="str">
        <f>JULHO!O73</f>
        <v>RECEITAS</v>
      </c>
      <c r="J540">
        <f t="shared" si="57"/>
        <v>0</v>
      </c>
      <c r="K540" t="str">
        <f t="shared" si="58"/>
        <v xml:space="preserve"> </v>
      </c>
      <c r="L540" t="str">
        <f t="shared" si="59"/>
        <v/>
      </c>
      <c r="M540">
        <f t="shared" si="60"/>
        <v>5</v>
      </c>
      <c r="N540">
        <f t="shared" si="61"/>
        <v>9</v>
      </c>
      <c r="O540" t="str">
        <f t="shared" si="63"/>
        <v>SEP</v>
      </c>
      <c r="P540" t="str">
        <f t="shared" si="62"/>
        <v>PAGO</v>
      </c>
    </row>
    <row r="541" spans="3:16" x14ac:dyDescent="0.25">
      <c r="C541" s="35">
        <f>JULHO!C74</f>
        <v>0</v>
      </c>
      <c r="D541" s="35" t="str">
        <f>JULHO!D74</f>
        <v>RECEITAS COM SERVIÇOS</v>
      </c>
      <c r="E541" s="35" t="str">
        <f>JULHO!E74</f>
        <v>-</v>
      </c>
      <c r="F541" s="67">
        <f>JULHO!G74</f>
        <v>0</v>
      </c>
      <c r="G541" s="68">
        <f>JULHO!H74</f>
        <v>0</v>
      </c>
      <c r="H541" s="37">
        <f>JULHO!I74</f>
        <v>46271</v>
      </c>
      <c r="I541" s="34" t="str">
        <f>JULHO!O74</f>
        <v>RECEITAS</v>
      </c>
      <c r="J541">
        <f t="shared" si="57"/>
        <v>0</v>
      </c>
      <c r="K541" t="str">
        <f t="shared" si="58"/>
        <v xml:space="preserve"> </v>
      </c>
      <c r="L541" t="str">
        <f t="shared" si="59"/>
        <v/>
      </c>
      <c r="M541">
        <f t="shared" si="60"/>
        <v>6</v>
      </c>
      <c r="N541">
        <f t="shared" si="61"/>
        <v>9</v>
      </c>
      <c r="O541" t="str">
        <f t="shared" si="63"/>
        <v>SEP</v>
      </c>
      <c r="P541" t="str">
        <f t="shared" si="62"/>
        <v>PAGO</v>
      </c>
    </row>
    <row r="542" spans="3:16" x14ac:dyDescent="0.25">
      <c r="C542" s="35">
        <f>JULHO!C75</f>
        <v>0</v>
      </c>
      <c r="D542" s="35" t="str">
        <f>JULHO!D75</f>
        <v>RECEITAS COM SERVIÇOS</v>
      </c>
      <c r="E542" s="35" t="str">
        <f>JULHO!E75</f>
        <v>-</v>
      </c>
      <c r="F542" s="67">
        <f>JULHO!G75</f>
        <v>0</v>
      </c>
      <c r="G542" s="68">
        <f>JULHO!H75</f>
        <v>0</v>
      </c>
      <c r="H542" s="37">
        <f>JULHO!I75</f>
        <v>46272</v>
      </c>
      <c r="I542" s="34" t="str">
        <f>JULHO!O75</f>
        <v>RECEITAS</v>
      </c>
      <c r="J542">
        <f t="shared" si="57"/>
        <v>0</v>
      </c>
      <c r="K542" t="str">
        <f t="shared" si="58"/>
        <v xml:space="preserve"> </v>
      </c>
      <c r="L542" t="str">
        <f t="shared" si="59"/>
        <v/>
      </c>
      <c r="M542">
        <f t="shared" si="60"/>
        <v>7</v>
      </c>
      <c r="N542">
        <f t="shared" si="61"/>
        <v>9</v>
      </c>
      <c r="O542" t="str">
        <f t="shared" si="63"/>
        <v>SEP</v>
      </c>
      <c r="P542" t="str">
        <f t="shared" si="62"/>
        <v>PAGO</v>
      </c>
    </row>
    <row r="543" spans="3:16" x14ac:dyDescent="0.25">
      <c r="C543" s="35">
        <f>JULHO!C76</f>
        <v>0</v>
      </c>
      <c r="D543" s="35" t="str">
        <f>JULHO!D76</f>
        <v>RECEITAS COM SERVIÇOS</v>
      </c>
      <c r="E543" s="35" t="str">
        <f>JULHO!E76</f>
        <v>-</v>
      </c>
      <c r="F543" s="67">
        <f>JULHO!G76</f>
        <v>0</v>
      </c>
      <c r="G543" s="68">
        <f>JULHO!H76</f>
        <v>0</v>
      </c>
      <c r="H543" s="37">
        <f>JULHO!I76</f>
        <v>46273</v>
      </c>
      <c r="I543" s="34" t="str">
        <f>JULHO!O76</f>
        <v>RECEITAS</v>
      </c>
      <c r="J543">
        <f t="shared" si="57"/>
        <v>0</v>
      </c>
      <c r="K543" t="str">
        <f t="shared" si="58"/>
        <v xml:space="preserve"> </v>
      </c>
      <c r="L543" t="str">
        <f t="shared" si="59"/>
        <v/>
      </c>
      <c r="M543">
        <f t="shared" si="60"/>
        <v>8</v>
      </c>
      <c r="N543">
        <f t="shared" si="61"/>
        <v>9</v>
      </c>
      <c r="O543" t="str">
        <f t="shared" si="63"/>
        <v>SEP</v>
      </c>
      <c r="P543" t="str">
        <f t="shared" si="62"/>
        <v>PAGO</v>
      </c>
    </row>
    <row r="544" spans="3:16" x14ac:dyDescent="0.25">
      <c r="C544" s="35">
        <f>JULHO!C77</f>
        <v>0</v>
      </c>
      <c r="D544" s="35" t="str">
        <f>JULHO!D77</f>
        <v>RECEITAS COM SERVIÇOS</v>
      </c>
      <c r="E544" s="35" t="str">
        <f>JULHO!E77</f>
        <v>-</v>
      </c>
      <c r="F544" s="67">
        <f>JULHO!G77</f>
        <v>0</v>
      </c>
      <c r="G544" s="68">
        <f>JULHO!H77</f>
        <v>0</v>
      </c>
      <c r="H544" s="37">
        <f>JULHO!I77</f>
        <v>46274</v>
      </c>
      <c r="I544" s="34" t="str">
        <f>JULHO!O77</f>
        <v>RECEITAS</v>
      </c>
      <c r="J544">
        <f t="shared" si="57"/>
        <v>0</v>
      </c>
      <c r="K544" t="str">
        <f t="shared" si="58"/>
        <v xml:space="preserve"> </v>
      </c>
      <c r="L544" t="str">
        <f t="shared" si="59"/>
        <v/>
      </c>
      <c r="M544">
        <f t="shared" si="60"/>
        <v>9</v>
      </c>
      <c r="N544">
        <f t="shared" si="61"/>
        <v>9</v>
      </c>
      <c r="O544" t="str">
        <f t="shared" si="63"/>
        <v>SEP</v>
      </c>
      <c r="P544" t="str">
        <f t="shared" si="62"/>
        <v>PAGO</v>
      </c>
    </row>
    <row r="545" spans="2:16" x14ac:dyDescent="0.25">
      <c r="C545" s="35">
        <f>JULHO!C78</f>
        <v>0</v>
      </c>
      <c r="D545" s="35" t="str">
        <f>JULHO!D78</f>
        <v>RECEITAS COM SERVIÇOS</v>
      </c>
      <c r="E545" s="35" t="str">
        <f>JULHO!E78</f>
        <v>-</v>
      </c>
      <c r="F545" s="67">
        <f>JULHO!G78</f>
        <v>0</v>
      </c>
      <c r="G545" s="68">
        <f>JULHO!H78</f>
        <v>0</v>
      </c>
      <c r="H545" s="37">
        <f>JULHO!I78</f>
        <v>46275</v>
      </c>
      <c r="I545" s="34" t="str">
        <f>JULHO!O78</f>
        <v>RECEITAS</v>
      </c>
      <c r="J545">
        <f t="shared" si="57"/>
        <v>0</v>
      </c>
      <c r="K545" t="str">
        <f t="shared" si="58"/>
        <v xml:space="preserve"> </v>
      </c>
      <c r="L545" t="str">
        <f t="shared" si="59"/>
        <v/>
      </c>
      <c r="M545">
        <f t="shared" si="60"/>
        <v>10</v>
      </c>
      <c r="N545">
        <f t="shared" si="61"/>
        <v>9</v>
      </c>
      <c r="O545" t="str">
        <f t="shared" si="63"/>
        <v>SEP</v>
      </c>
      <c r="P545" t="str">
        <f t="shared" si="62"/>
        <v>PAGO</v>
      </c>
    </row>
    <row r="546" spans="2:16" x14ac:dyDescent="0.25">
      <c r="C546" s="35">
        <f>JULHO!C79</f>
        <v>0</v>
      </c>
      <c r="D546" s="35" t="str">
        <f>JULHO!D79</f>
        <v>RECEITAS COM SERVIÇOS</v>
      </c>
      <c r="E546" s="35" t="str">
        <f>JULHO!E79</f>
        <v>-</v>
      </c>
      <c r="F546" s="67">
        <f>JULHO!G79</f>
        <v>0</v>
      </c>
      <c r="G546" s="68">
        <f>JULHO!H79</f>
        <v>0</v>
      </c>
      <c r="H546" s="37">
        <f>JULHO!I79</f>
        <v>46276</v>
      </c>
      <c r="I546" s="34" t="str">
        <f>JULHO!O79</f>
        <v>RECEITAS</v>
      </c>
      <c r="J546">
        <f t="shared" si="57"/>
        <v>0</v>
      </c>
      <c r="K546" t="str">
        <f t="shared" si="58"/>
        <v xml:space="preserve"> </v>
      </c>
      <c r="L546" t="str">
        <f t="shared" si="59"/>
        <v/>
      </c>
      <c r="M546">
        <f t="shared" si="60"/>
        <v>11</v>
      </c>
      <c r="N546">
        <f t="shared" si="61"/>
        <v>9</v>
      </c>
      <c r="O546" t="str">
        <f t="shared" si="63"/>
        <v>SEP</v>
      </c>
      <c r="P546" t="str">
        <f t="shared" si="62"/>
        <v>PAGO</v>
      </c>
    </row>
    <row r="547" spans="2:16" x14ac:dyDescent="0.25">
      <c r="C547" s="35">
        <f>JULHO!C80</f>
        <v>0</v>
      </c>
      <c r="D547" s="35" t="str">
        <f>JULHO!D80</f>
        <v>RECEITAS COM SERVIÇOS</v>
      </c>
      <c r="E547" s="35" t="str">
        <f>JULHO!E80</f>
        <v>-</v>
      </c>
      <c r="F547" s="67" t="str">
        <f>JULHO!G80</f>
        <v>BENFICA</v>
      </c>
      <c r="G547" s="68">
        <f>JULHO!H80</f>
        <v>0</v>
      </c>
      <c r="H547" s="37">
        <f>JULHO!I80</f>
        <v>46277</v>
      </c>
      <c r="I547" s="34" t="str">
        <f>JULHO!O80</f>
        <v>RECEITAS</v>
      </c>
      <c r="J547">
        <f t="shared" si="57"/>
        <v>0</v>
      </c>
      <c r="K547" t="str">
        <f t="shared" si="58"/>
        <v xml:space="preserve"> </v>
      </c>
      <c r="L547" t="str">
        <f t="shared" si="59"/>
        <v/>
      </c>
      <c r="M547">
        <f t="shared" si="60"/>
        <v>12</v>
      </c>
      <c r="N547">
        <f t="shared" si="61"/>
        <v>9</v>
      </c>
      <c r="O547" t="str">
        <f t="shared" si="63"/>
        <v>SEP</v>
      </c>
      <c r="P547" t="str">
        <f t="shared" si="62"/>
        <v>PAGO</v>
      </c>
    </row>
    <row r="548" spans="2:16" x14ac:dyDescent="0.25">
      <c r="C548" s="35">
        <f>JULHO!C81</f>
        <v>0</v>
      </c>
      <c r="D548" s="35" t="str">
        <f>JULHO!D81</f>
        <v>RECEITAS COM SERVIÇOS</v>
      </c>
      <c r="E548" s="35" t="str">
        <f>JULHO!E81</f>
        <v>-</v>
      </c>
      <c r="F548" s="67">
        <f>JULHO!G81</f>
        <v>0</v>
      </c>
      <c r="G548" s="68">
        <f>JULHO!H81</f>
        <v>0</v>
      </c>
      <c r="H548" s="37">
        <f>JULHO!I81</f>
        <v>46278</v>
      </c>
      <c r="I548" s="34" t="str">
        <f>JULHO!O81</f>
        <v>RECEITAS</v>
      </c>
      <c r="J548">
        <f t="shared" si="57"/>
        <v>0</v>
      </c>
      <c r="K548" t="str">
        <f t="shared" si="58"/>
        <v xml:space="preserve"> </v>
      </c>
      <c r="L548" t="str">
        <f t="shared" si="59"/>
        <v/>
      </c>
      <c r="M548">
        <f t="shared" si="60"/>
        <v>13</v>
      </c>
      <c r="N548">
        <f t="shared" si="61"/>
        <v>9</v>
      </c>
      <c r="O548" t="str">
        <f t="shared" si="63"/>
        <v>SEP</v>
      </c>
      <c r="P548" t="str">
        <f t="shared" si="62"/>
        <v>PAGO</v>
      </c>
    </row>
    <row r="549" spans="2:16" x14ac:dyDescent="0.25">
      <c r="C549" s="35">
        <f>JULHO!C82</f>
        <v>0</v>
      </c>
      <c r="D549" s="35" t="str">
        <f>JULHO!D82</f>
        <v>RECEITAS COM SERVIÇOS</v>
      </c>
      <c r="E549" s="35" t="str">
        <f>JULHO!E82</f>
        <v>-</v>
      </c>
      <c r="F549" s="67">
        <f>JULHO!G82</f>
        <v>0</v>
      </c>
      <c r="G549" s="68">
        <f>JULHO!H82</f>
        <v>0</v>
      </c>
      <c r="H549" s="37">
        <f>JULHO!I82</f>
        <v>46279</v>
      </c>
      <c r="I549" s="34" t="str">
        <f>JULHO!O82</f>
        <v>RECEITAS</v>
      </c>
      <c r="J549">
        <f t="shared" si="57"/>
        <v>0</v>
      </c>
      <c r="K549" t="str">
        <f t="shared" si="58"/>
        <v xml:space="preserve"> </v>
      </c>
      <c r="L549" t="str">
        <f t="shared" si="59"/>
        <v/>
      </c>
      <c r="M549">
        <f t="shared" si="60"/>
        <v>14</v>
      </c>
      <c r="N549">
        <f t="shared" si="61"/>
        <v>9</v>
      </c>
      <c r="O549" t="str">
        <f t="shared" si="63"/>
        <v>SEP</v>
      </c>
      <c r="P549" t="str">
        <f t="shared" si="62"/>
        <v>PAGO</v>
      </c>
    </row>
    <row r="550" spans="2:16" x14ac:dyDescent="0.25">
      <c r="C550" s="35">
        <f>JULHO!C83</f>
        <v>0</v>
      </c>
      <c r="D550" s="35" t="str">
        <f>JULHO!D83</f>
        <v>RECEITAS COM SERVIÇOS</v>
      </c>
      <c r="E550" s="35" t="str">
        <f>JULHO!E83</f>
        <v>-</v>
      </c>
      <c r="F550" s="67">
        <f>JULHO!G83</f>
        <v>0</v>
      </c>
      <c r="G550" s="68">
        <f>JULHO!H83</f>
        <v>0</v>
      </c>
      <c r="H550" s="37">
        <f>JULHO!I83</f>
        <v>46280</v>
      </c>
      <c r="I550" s="34" t="str">
        <f>JULHO!O83</f>
        <v>RECEITAS</v>
      </c>
      <c r="J550">
        <f t="shared" si="57"/>
        <v>0</v>
      </c>
      <c r="K550" t="str">
        <f t="shared" si="58"/>
        <v xml:space="preserve"> </v>
      </c>
      <c r="L550" t="str">
        <f t="shared" si="59"/>
        <v/>
      </c>
      <c r="M550">
        <f t="shared" si="60"/>
        <v>15</v>
      </c>
      <c r="N550">
        <f t="shared" si="61"/>
        <v>9</v>
      </c>
      <c r="O550" t="str">
        <f t="shared" si="63"/>
        <v>SEP</v>
      </c>
      <c r="P550" t="str">
        <f t="shared" si="62"/>
        <v>PAGO</v>
      </c>
    </row>
    <row r="551" spans="2:16" x14ac:dyDescent="0.25">
      <c r="C551" s="35">
        <f>JULHO!C84</f>
        <v>0</v>
      </c>
      <c r="D551" s="35" t="str">
        <f>JULHO!D84</f>
        <v>RECEITAS COM SERVIÇOS</v>
      </c>
      <c r="E551" s="35" t="str">
        <f>JULHO!E84</f>
        <v>-</v>
      </c>
      <c r="F551" s="67">
        <f>JULHO!G84</f>
        <v>0</v>
      </c>
      <c r="G551" s="68">
        <f>JULHO!H84</f>
        <v>0</v>
      </c>
      <c r="H551" s="37">
        <f>JULHO!I84</f>
        <v>46281</v>
      </c>
      <c r="I551" s="34" t="str">
        <f>JULHO!O84</f>
        <v>RECEITAS</v>
      </c>
      <c r="J551">
        <f t="shared" si="57"/>
        <v>0</v>
      </c>
      <c r="K551" t="str">
        <f t="shared" si="58"/>
        <v xml:space="preserve"> </v>
      </c>
      <c r="L551" t="str">
        <f t="shared" si="59"/>
        <v/>
      </c>
      <c r="M551">
        <f t="shared" si="60"/>
        <v>16</v>
      </c>
      <c r="N551">
        <f t="shared" si="61"/>
        <v>9</v>
      </c>
      <c r="O551" t="str">
        <f t="shared" si="63"/>
        <v>SEP</v>
      </c>
      <c r="P551" t="str">
        <f t="shared" si="62"/>
        <v>PAGO</v>
      </c>
    </row>
    <row r="552" spans="2:16" x14ac:dyDescent="0.25">
      <c r="B552" s="44" t="s">
        <v>94</v>
      </c>
      <c r="C552" s="35">
        <f>AGOSTO!C7</f>
        <v>46235</v>
      </c>
      <c r="D552" s="35" t="str">
        <f>AGOSTO!D7</f>
        <v>RECEITAS COM SERVIÇOS</v>
      </c>
      <c r="E552" s="35" t="str">
        <f>AGOSTO!E7</f>
        <v>-</v>
      </c>
      <c r="F552" s="67">
        <f>AGOSTO!G7</f>
        <v>0</v>
      </c>
      <c r="G552" s="68">
        <f>AGOSTO!H7</f>
        <v>1</v>
      </c>
      <c r="H552" s="37">
        <f>AGOSTO!I7</f>
        <v>0</v>
      </c>
      <c r="I552" s="34" t="str">
        <f>AGOSTO!O7</f>
        <v>RECEITAS</v>
      </c>
      <c r="J552">
        <f t="shared" si="57"/>
        <v>1</v>
      </c>
      <c r="K552">
        <f t="shared" si="58"/>
        <v>8</v>
      </c>
      <c r="L552" t="str">
        <f t="shared" si="59"/>
        <v>AUG</v>
      </c>
      <c r="M552">
        <f t="shared" si="60"/>
        <v>0</v>
      </c>
      <c r="N552" t="str">
        <f t="shared" si="61"/>
        <v xml:space="preserve"> </v>
      </c>
      <c r="O552" t="str">
        <f t="shared" si="63"/>
        <v/>
      </c>
      <c r="P552" t="str">
        <f t="shared" si="62"/>
        <v>NAO PAGO</v>
      </c>
    </row>
    <row r="553" spans="2:16" ht="30" x14ac:dyDescent="0.25">
      <c r="C553" s="35">
        <f>AGOSTO!C8</f>
        <v>46236</v>
      </c>
      <c r="D553" s="35" t="str">
        <f>AGOSTO!D8</f>
        <v>DESPESAS COM PRODUTOS</v>
      </c>
      <c r="E553" s="35" t="str">
        <f>AGOSTO!E8</f>
        <v>-</v>
      </c>
      <c r="F553" s="67">
        <f>AGOSTO!G8</f>
        <v>0</v>
      </c>
      <c r="G553" s="68">
        <f>AGOSTO!H8</f>
        <v>2</v>
      </c>
      <c r="H553" s="37">
        <f>AGOSTO!I8</f>
        <v>46236</v>
      </c>
      <c r="I553" s="34" t="str">
        <f>AGOSTO!O8</f>
        <v>DESPESAS</v>
      </c>
      <c r="J553">
        <f t="shared" si="57"/>
        <v>2</v>
      </c>
      <c r="K553">
        <f t="shared" si="58"/>
        <v>8</v>
      </c>
      <c r="L553" t="str">
        <f t="shared" si="59"/>
        <v>AUG</v>
      </c>
      <c r="M553">
        <f t="shared" si="60"/>
        <v>2</v>
      </c>
      <c r="N553">
        <f t="shared" si="61"/>
        <v>8</v>
      </c>
      <c r="O553" t="str">
        <f t="shared" si="63"/>
        <v>AUG</v>
      </c>
      <c r="P553" t="str">
        <f t="shared" si="62"/>
        <v>PAGO</v>
      </c>
    </row>
    <row r="554" spans="2:16" x14ac:dyDescent="0.25">
      <c r="C554" s="35">
        <f>AGOSTO!C9</f>
        <v>46237</v>
      </c>
      <c r="D554" s="35" t="str">
        <f>AGOSTO!D9</f>
        <v>DESPESAS COM RH</v>
      </c>
      <c r="E554" s="35" t="str">
        <f>AGOSTO!E9</f>
        <v>MARKETING OFFLINE</v>
      </c>
      <c r="F554" s="67">
        <f>AGOSTO!G9</f>
        <v>0</v>
      </c>
      <c r="G554" s="68">
        <f>AGOSTO!H9</f>
        <v>3</v>
      </c>
      <c r="H554" s="37">
        <f>AGOSTO!I9</f>
        <v>46237</v>
      </c>
      <c r="I554" s="34" t="str">
        <f>AGOSTO!O9</f>
        <v>DESPESAS</v>
      </c>
      <c r="J554">
        <f t="shared" si="57"/>
        <v>3</v>
      </c>
      <c r="K554">
        <f t="shared" si="58"/>
        <v>8</v>
      </c>
      <c r="L554" t="str">
        <f t="shared" si="59"/>
        <v>AUG</v>
      </c>
      <c r="M554">
        <f t="shared" si="60"/>
        <v>3</v>
      </c>
      <c r="N554">
        <f t="shared" si="61"/>
        <v>8</v>
      </c>
      <c r="O554" t="str">
        <f t="shared" si="63"/>
        <v>AUG</v>
      </c>
      <c r="P554" t="str">
        <f t="shared" si="62"/>
        <v>PAGO</v>
      </c>
    </row>
    <row r="555" spans="2:16" ht="30" x14ac:dyDescent="0.25">
      <c r="C555" s="35">
        <f>AGOSTO!C10</f>
        <v>46238</v>
      </c>
      <c r="D555" s="35" t="str">
        <f>AGOSTO!D10</f>
        <v>DESPESAS COM PRODUTOS</v>
      </c>
      <c r="E555" s="35" t="str">
        <f>AGOSTO!E10</f>
        <v>-</v>
      </c>
      <c r="F555" s="67">
        <f>AGOSTO!G10</f>
        <v>0</v>
      </c>
      <c r="G555" s="68">
        <f>AGOSTO!H10</f>
        <v>4</v>
      </c>
      <c r="H555" s="37">
        <f>AGOSTO!I10</f>
        <v>46238</v>
      </c>
      <c r="I555" s="34" t="str">
        <f>AGOSTO!O10</f>
        <v>DESPESAS</v>
      </c>
      <c r="J555">
        <f t="shared" si="57"/>
        <v>4</v>
      </c>
      <c r="K555">
        <f t="shared" si="58"/>
        <v>8</v>
      </c>
      <c r="L555" t="str">
        <f t="shared" si="59"/>
        <v>AUG</v>
      </c>
      <c r="M555">
        <f t="shared" si="60"/>
        <v>4</v>
      </c>
      <c r="N555">
        <f t="shared" si="61"/>
        <v>8</v>
      </c>
      <c r="O555" t="str">
        <f t="shared" si="63"/>
        <v>AUG</v>
      </c>
      <c r="P555" t="str">
        <f t="shared" si="62"/>
        <v>PAGO</v>
      </c>
    </row>
    <row r="556" spans="2:16" ht="30" x14ac:dyDescent="0.25">
      <c r="C556" s="35">
        <f>AGOSTO!C11</f>
        <v>46239</v>
      </c>
      <c r="D556" s="35" t="str">
        <f>AGOSTO!D11</f>
        <v>DESPESAS COM PRODUTOS</v>
      </c>
      <c r="E556" s="35" t="str">
        <f>AGOSTO!E11</f>
        <v>-</v>
      </c>
      <c r="F556" s="67">
        <f>AGOSTO!G11</f>
        <v>0</v>
      </c>
      <c r="G556" s="68">
        <f>AGOSTO!H11</f>
        <v>5</v>
      </c>
      <c r="H556" s="37">
        <f>AGOSTO!I11</f>
        <v>0</v>
      </c>
      <c r="I556" s="34" t="str">
        <f>AGOSTO!O11</f>
        <v>DESPESAS</v>
      </c>
      <c r="J556">
        <f t="shared" si="57"/>
        <v>5</v>
      </c>
      <c r="K556">
        <f t="shared" si="58"/>
        <v>8</v>
      </c>
      <c r="L556" t="str">
        <f t="shared" si="59"/>
        <v>AUG</v>
      </c>
      <c r="M556">
        <f t="shared" si="60"/>
        <v>0</v>
      </c>
      <c r="N556" t="str">
        <f t="shared" si="61"/>
        <v xml:space="preserve"> </v>
      </c>
      <c r="O556" t="str">
        <f t="shared" si="63"/>
        <v/>
      </c>
      <c r="P556" t="str">
        <f t="shared" si="62"/>
        <v>NAO PAGO</v>
      </c>
    </row>
    <row r="557" spans="2:16" ht="30" x14ac:dyDescent="0.25">
      <c r="C557" s="35">
        <f>AGOSTO!C12</f>
        <v>46240</v>
      </c>
      <c r="D557" s="35" t="str">
        <f>AGOSTO!D12</f>
        <v>DESPESAS COM PRODUTOS</v>
      </c>
      <c r="E557" s="35" t="str">
        <f>AGOSTO!E12</f>
        <v>-</v>
      </c>
      <c r="F557" s="67" t="str">
        <f>AGOSTO!G12</f>
        <v>BENFICA</v>
      </c>
      <c r="G557" s="68">
        <f>AGOSTO!H12</f>
        <v>6</v>
      </c>
      <c r="H557" s="37">
        <f>AGOSTO!I12</f>
        <v>0</v>
      </c>
      <c r="I557" s="34" t="str">
        <f>AGOSTO!O12</f>
        <v>DESPESAS</v>
      </c>
      <c r="J557">
        <f t="shared" si="57"/>
        <v>6</v>
      </c>
      <c r="K557">
        <f t="shared" si="58"/>
        <v>8</v>
      </c>
      <c r="L557" t="str">
        <f t="shared" si="59"/>
        <v>AUG</v>
      </c>
      <c r="M557">
        <f t="shared" si="60"/>
        <v>0</v>
      </c>
      <c r="N557" t="str">
        <f t="shared" si="61"/>
        <v xml:space="preserve"> </v>
      </c>
      <c r="O557" t="str">
        <f t="shared" si="63"/>
        <v/>
      </c>
      <c r="P557" t="str">
        <f t="shared" si="62"/>
        <v>NAO PAGO</v>
      </c>
    </row>
    <row r="558" spans="2:16" ht="30" x14ac:dyDescent="0.25">
      <c r="C558" s="35">
        <f>AGOSTO!C13</f>
        <v>46241</v>
      </c>
      <c r="D558" s="35" t="str">
        <f>AGOSTO!D13</f>
        <v>DESPESAS COM PRODUTOS</v>
      </c>
      <c r="E558" s="35" t="str">
        <f>AGOSTO!E13</f>
        <v>-</v>
      </c>
      <c r="F558" s="67">
        <f>AGOSTO!G13</f>
        <v>0</v>
      </c>
      <c r="G558" s="68">
        <f>AGOSTO!H13</f>
        <v>7</v>
      </c>
      <c r="H558" s="37">
        <f>AGOSTO!I13</f>
        <v>0</v>
      </c>
      <c r="I558" s="34" t="str">
        <f>AGOSTO!O13</f>
        <v>DESPESAS</v>
      </c>
      <c r="J558">
        <f t="shared" si="57"/>
        <v>7</v>
      </c>
      <c r="K558">
        <f t="shared" si="58"/>
        <v>8</v>
      </c>
      <c r="L558" t="str">
        <f t="shared" si="59"/>
        <v>AUG</v>
      </c>
      <c r="M558">
        <f t="shared" si="60"/>
        <v>0</v>
      </c>
      <c r="N558" t="str">
        <f t="shared" si="61"/>
        <v xml:space="preserve"> </v>
      </c>
      <c r="O558" t="str">
        <f t="shared" si="63"/>
        <v/>
      </c>
      <c r="P558" t="str">
        <f t="shared" si="62"/>
        <v>NAO PAGO</v>
      </c>
    </row>
    <row r="559" spans="2:16" x14ac:dyDescent="0.25">
      <c r="C559" s="35">
        <f>AGOSTO!C14</f>
        <v>46242</v>
      </c>
      <c r="D559" s="35" t="str">
        <f>AGOSTO!D14</f>
        <v>DESPESAS COM RH</v>
      </c>
      <c r="E559" s="35" t="str">
        <f>AGOSTO!E14</f>
        <v>ACTUALIZAÇÕES</v>
      </c>
      <c r="F559" s="67">
        <f>AGOSTO!G14</f>
        <v>0</v>
      </c>
      <c r="G559" s="68">
        <f>AGOSTO!H14</f>
        <v>8</v>
      </c>
      <c r="H559" s="37">
        <f>AGOSTO!I14</f>
        <v>0</v>
      </c>
      <c r="I559" s="34" t="str">
        <f>AGOSTO!O14</f>
        <v>DESPESAS</v>
      </c>
      <c r="J559">
        <f t="shared" si="57"/>
        <v>8</v>
      </c>
      <c r="K559">
        <f t="shared" si="58"/>
        <v>8</v>
      </c>
      <c r="L559" t="str">
        <f t="shared" si="59"/>
        <v>AUG</v>
      </c>
      <c r="M559">
        <f t="shared" si="60"/>
        <v>0</v>
      </c>
      <c r="N559" t="str">
        <f t="shared" si="61"/>
        <v xml:space="preserve"> </v>
      </c>
      <c r="O559" t="str">
        <f t="shared" si="63"/>
        <v/>
      </c>
      <c r="P559" t="str">
        <f t="shared" si="62"/>
        <v>NAO PAGO</v>
      </c>
    </row>
    <row r="560" spans="2:16" x14ac:dyDescent="0.25">
      <c r="C560" s="35">
        <f>AGOSTO!C15</f>
        <v>46243</v>
      </c>
      <c r="D560" s="35" t="str">
        <f>AGOSTO!D15</f>
        <v>RECEITAS COM SERVIÇOS</v>
      </c>
      <c r="E560" s="35" t="str">
        <f>AGOSTO!E15</f>
        <v>-</v>
      </c>
      <c r="F560" s="67">
        <f>AGOSTO!G15</f>
        <v>0</v>
      </c>
      <c r="G560" s="68">
        <f>AGOSTO!H15</f>
        <v>9</v>
      </c>
      <c r="H560" s="37">
        <f>AGOSTO!I15</f>
        <v>46243</v>
      </c>
      <c r="I560" s="34" t="str">
        <f>AGOSTO!O15</f>
        <v>RECEITAS</v>
      </c>
      <c r="J560">
        <f t="shared" si="57"/>
        <v>9</v>
      </c>
      <c r="K560">
        <f t="shared" si="58"/>
        <v>8</v>
      </c>
      <c r="L560" t="str">
        <f t="shared" si="59"/>
        <v>AUG</v>
      </c>
      <c r="M560">
        <f t="shared" si="60"/>
        <v>9</v>
      </c>
      <c r="N560">
        <f t="shared" si="61"/>
        <v>8</v>
      </c>
      <c r="O560" t="str">
        <f t="shared" si="63"/>
        <v>AUG</v>
      </c>
      <c r="P560" t="str">
        <f t="shared" si="62"/>
        <v>PAGO</v>
      </c>
    </row>
    <row r="561" spans="3:16" ht="30" x14ac:dyDescent="0.25">
      <c r="C561" s="35">
        <f>AGOSTO!C16</f>
        <v>46244</v>
      </c>
      <c r="D561" s="35" t="str">
        <f>AGOSTO!D16</f>
        <v>DESPESAS COM MARKETING</v>
      </c>
      <c r="E561" s="35" t="str">
        <f>AGOSTO!E16</f>
        <v>-</v>
      </c>
      <c r="F561" s="67">
        <f>AGOSTO!G16</f>
        <v>0</v>
      </c>
      <c r="G561" s="68">
        <f>AGOSTO!H16</f>
        <v>0</v>
      </c>
      <c r="H561" s="37">
        <f>AGOSTO!I16</f>
        <v>46244</v>
      </c>
      <c r="I561" s="34" t="str">
        <f>AGOSTO!O16</f>
        <v>DESPESAS</v>
      </c>
      <c r="J561">
        <f t="shared" si="57"/>
        <v>10</v>
      </c>
      <c r="K561">
        <f t="shared" si="58"/>
        <v>8</v>
      </c>
      <c r="L561" t="str">
        <f t="shared" si="59"/>
        <v>AUG</v>
      </c>
      <c r="M561">
        <f t="shared" si="60"/>
        <v>10</v>
      </c>
      <c r="N561">
        <f t="shared" si="61"/>
        <v>8</v>
      </c>
      <c r="O561" t="str">
        <f t="shared" si="63"/>
        <v>AUG</v>
      </c>
      <c r="P561" t="str">
        <f t="shared" si="62"/>
        <v>PAGO</v>
      </c>
    </row>
    <row r="562" spans="3:16" ht="30" x14ac:dyDescent="0.25">
      <c r="C562" s="35">
        <f>AGOSTO!C17</f>
        <v>46245</v>
      </c>
      <c r="D562" s="35" t="str">
        <f>AGOSTO!D17</f>
        <v>DESPESAS OPERACIONAIS</v>
      </c>
      <c r="E562" s="35" t="str">
        <f>AGOSTO!E17</f>
        <v>ESTUDIOS GRAVAÇÃO</v>
      </c>
      <c r="F562" s="67">
        <f>AGOSTO!G17</f>
        <v>0</v>
      </c>
      <c r="G562" s="68">
        <f>AGOSTO!H17</f>
        <v>0</v>
      </c>
      <c r="H562" s="37">
        <f>AGOSTO!I17</f>
        <v>46245</v>
      </c>
      <c r="I562" s="34" t="str">
        <f>AGOSTO!O17</f>
        <v>DESPESAS</v>
      </c>
      <c r="J562">
        <f t="shared" si="57"/>
        <v>11</v>
      </c>
      <c r="K562">
        <f t="shared" si="58"/>
        <v>8</v>
      </c>
      <c r="L562" t="str">
        <f t="shared" si="59"/>
        <v>AUG</v>
      </c>
      <c r="M562">
        <f t="shared" si="60"/>
        <v>11</v>
      </c>
      <c r="N562">
        <f t="shared" si="61"/>
        <v>8</v>
      </c>
      <c r="O562" t="str">
        <f t="shared" si="63"/>
        <v>AUG</v>
      </c>
      <c r="P562" t="str">
        <f t="shared" si="62"/>
        <v>PAGO</v>
      </c>
    </row>
    <row r="563" spans="3:16" ht="30" x14ac:dyDescent="0.25">
      <c r="C563" s="35">
        <f>AGOSTO!C18</f>
        <v>46246</v>
      </c>
      <c r="D563" s="35" t="str">
        <f>AGOSTO!D18</f>
        <v>DESPESAS COM PRODUTOS</v>
      </c>
      <c r="E563" s="35" t="str">
        <f>AGOSTO!E18</f>
        <v>-</v>
      </c>
      <c r="F563" s="67" t="str">
        <f>AGOSTO!G18</f>
        <v>CALEMBA 2</v>
      </c>
      <c r="G563" s="68">
        <f>AGOSTO!H18</f>
        <v>0</v>
      </c>
      <c r="H563" s="37">
        <f>AGOSTO!I18</f>
        <v>46246</v>
      </c>
      <c r="I563" s="34" t="str">
        <f>AGOSTO!O18</f>
        <v>DESPESAS</v>
      </c>
      <c r="J563">
        <f t="shared" si="57"/>
        <v>12</v>
      </c>
      <c r="K563">
        <f t="shared" si="58"/>
        <v>8</v>
      </c>
      <c r="L563" t="str">
        <f t="shared" si="59"/>
        <v>AUG</v>
      </c>
      <c r="M563">
        <f t="shared" si="60"/>
        <v>12</v>
      </c>
      <c r="N563">
        <f t="shared" si="61"/>
        <v>8</v>
      </c>
      <c r="O563" t="str">
        <f t="shared" si="63"/>
        <v>AUG</v>
      </c>
      <c r="P563" t="str">
        <f t="shared" si="62"/>
        <v>PAGO</v>
      </c>
    </row>
    <row r="564" spans="3:16" ht="30" x14ac:dyDescent="0.25">
      <c r="C564" s="35">
        <f>AGOSTO!C19</f>
        <v>46247</v>
      </c>
      <c r="D564" s="35" t="str">
        <f>AGOSTO!D19</f>
        <v>DESPESAS COM PRODUTOS</v>
      </c>
      <c r="E564" s="35" t="str">
        <f>AGOSTO!E19</f>
        <v>-</v>
      </c>
      <c r="F564" s="67">
        <f>AGOSTO!G19</f>
        <v>0</v>
      </c>
      <c r="G564" s="68">
        <f>AGOSTO!H19</f>
        <v>0</v>
      </c>
      <c r="H564" s="37">
        <f>AGOSTO!I19</f>
        <v>46247</v>
      </c>
      <c r="I564" s="34" t="str">
        <f>AGOSTO!O19</f>
        <v>DESPESAS</v>
      </c>
      <c r="J564">
        <f t="shared" si="57"/>
        <v>13</v>
      </c>
      <c r="K564">
        <f t="shared" si="58"/>
        <v>8</v>
      </c>
      <c r="L564" t="str">
        <f t="shared" si="59"/>
        <v>AUG</v>
      </c>
      <c r="M564">
        <f t="shared" si="60"/>
        <v>13</v>
      </c>
      <c r="N564">
        <f t="shared" si="61"/>
        <v>8</v>
      </c>
      <c r="O564" t="str">
        <f t="shared" si="63"/>
        <v>AUG</v>
      </c>
      <c r="P564" t="str">
        <f t="shared" si="62"/>
        <v>PAGO</v>
      </c>
    </row>
    <row r="565" spans="3:16" ht="30" x14ac:dyDescent="0.25">
      <c r="C565" s="35">
        <f>AGOSTO!C20</f>
        <v>46248</v>
      </c>
      <c r="D565" s="35" t="str">
        <f>AGOSTO!D20</f>
        <v>DESPESAS COM PRODUTOS</v>
      </c>
      <c r="E565" s="35" t="str">
        <f>AGOSTO!E20</f>
        <v>-</v>
      </c>
      <c r="F565" s="67">
        <f>AGOSTO!G20</f>
        <v>0</v>
      </c>
      <c r="G565" s="68">
        <f>AGOSTO!H20</f>
        <v>0</v>
      </c>
      <c r="H565" s="37">
        <f>AGOSTO!I20</f>
        <v>46248</v>
      </c>
      <c r="I565" s="34" t="str">
        <f>AGOSTO!O20</f>
        <v>DESPESAS</v>
      </c>
      <c r="J565">
        <f t="shared" si="57"/>
        <v>14</v>
      </c>
      <c r="K565">
        <f t="shared" si="58"/>
        <v>8</v>
      </c>
      <c r="L565" t="str">
        <f t="shared" si="59"/>
        <v>AUG</v>
      </c>
      <c r="M565">
        <f t="shared" si="60"/>
        <v>14</v>
      </c>
      <c r="N565">
        <f t="shared" si="61"/>
        <v>8</v>
      </c>
      <c r="O565" t="str">
        <f t="shared" si="63"/>
        <v>AUG</v>
      </c>
      <c r="P565" t="str">
        <f t="shared" si="62"/>
        <v>PAGO</v>
      </c>
    </row>
    <row r="566" spans="3:16" ht="30" x14ac:dyDescent="0.25">
      <c r="C566" s="35">
        <f>AGOSTO!C21</f>
        <v>46249</v>
      </c>
      <c r="D566" s="35" t="str">
        <f>AGOSTO!D21</f>
        <v>DESPESAS COM PRODUTOS</v>
      </c>
      <c r="E566" s="35" t="str">
        <f>AGOSTO!E21</f>
        <v>-</v>
      </c>
      <c r="F566" s="67">
        <f>AGOSTO!G21</f>
        <v>0</v>
      </c>
      <c r="G566" s="68">
        <f>AGOSTO!H21</f>
        <v>0</v>
      </c>
      <c r="H566" s="37">
        <f>AGOSTO!I21</f>
        <v>46249</v>
      </c>
      <c r="I566" s="34" t="str">
        <f>AGOSTO!O21</f>
        <v>DESPESAS</v>
      </c>
      <c r="J566">
        <f t="shared" si="57"/>
        <v>15</v>
      </c>
      <c r="K566">
        <f t="shared" si="58"/>
        <v>8</v>
      </c>
      <c r="L566" t="str">
        <f t="shared" si="59"/>
        <v>AUG</v>
      </c>
      <c r="M566">
        <f t="shared" si="60"/>
        <v>15</v>
      </c>
      <c r="N566">
        <f t="shared" si="61"/>
        <v>8</v>
      </c>
      <c r="O566" t="str">
        <f t="shared" si="63"/>
        <v>AUG</v>
      </c>
      <c r="P566" t="str">
        <f t="shared" si="62"/>
        <v>PAGO</v>
      </c>
    </row>
    <row r="567" spans="3:16" ht="30" x14ac:dyDescent="0.25">
      <c r="C567" s="35">
        <f>AGOSTO!C22</f>
        <v>46250</v>
      </c>
      <c r="D567" s="35" t="str">
        <f>AGOSTO!D22</f>
        <v>DESPESAS COM PRODUTOS</v>
      </c>
      <c r="E567" s="35" t="str">
        <f>AGOSTO!E22</f>
        <v>-</v>
      </c>
      <c r="F567" s="67">
        <f>AGOSTO!G22</f>
        <v>0</v>
      </c>
      <c r="G567" s="68">
        <f>AGOSTO!H22</f>
        <v>0</v>
      </c>
      <c r="H567" s="37">
        <f>AGOSTO!I22</f>
        <v>46250</v>
      </c>
      <c r="I567" s="34" t="str">
        <f>AGOSTO!O22</f>
        <v>DESPESAS</v>
      </c>
      <c r="J567">
        <f t="shared" si="57"/>
        <v>16</v>
      </c>
      <c r="K567">
        <f t="shared" si="58"/>
        <v>8</v>
      </c>
      <c r="L567" t="str">
        <f t="shared" si="59"/>
        <v>AUG</v>
      </c>
      <c r="M567">
        <f t="shared" si="60"/>
        <v>16</v>
      </c>
      <c r="N567">
        <f t="shared" si="61"/>
        <v>8</v>
      </c>
      <c r="O567" t="str">
        <f t="shared" si="63"/>
        <v>AUG</v>
      </c>
      <c r="P567" t="str">
        <f t="shared" si="62"/>
        <v>PAGO</v>
      </c>
    </row>
    <row r="568" spans="3:16" ht="30" x14ac:dyDescent="0.25">
      <c r="C568" s="35">
        <f>AGOSTO!C23</f>
        <v>46251</v>
      </c>
      <c r="D568" s="35" t="str">
        <f>AGOSTO!D23</f>
        <v>DESPESAS COM PRODUTOS</v>
      </c>
      <c r="E568" s="35" t="str">
        <f>AGOSTO!E23</f>
        <v>-</v>
      </c>
      <c r="F568" s="67">
        <f>AGOSTO!G23</f>
        <v>0</v>
      </c>
      <c r="G568" s="68">
        <f>AGOSTO!H23</f>
        <v>0</v>
      </c>
      <c r="H568" s="37">
        <f>AGOSTO!I23</f>
        <v>46251</v>
      </c>
      <c r="I568" s="34" t="str">
        <f>AGOSTO!O23</f>
        <v>DESPESAS</v>
      </c>
      <c r="J568">
        <f t="shared" si="57"/>
        <v>17</v>
      </c>
      <c r="K568">
        <f t="shared" si="58"/>
        <v>8</v>
      </c>
      <c r="L568" t="str">
        <f t="shared" si="59"/>
        <v>AUG</v>
      </c>
      <c r="M568">
        <f t="shared" si="60"/>
        <v>17</v>
      </c>
      <c r="N568">
        <f t="shared" si="61"/>
        <v>8</v>
      </c>
      <c r="O568" t="str">
        <f t="shared" si="63"/>
        <v>AUG</v>
      </c>
      <c r="P568" t="str">
        <f t="shared" si="62"/>
        <v>PAGO</v>
      </c>
    </row>
    <row r="569" spans="3:16" ht="30" x14ac:dyDescent="0.25">
      <c r="C569" s="35">
        <f>AGOSTO!C24</f>
        <v>46252</v>
      </c>
      <c r="D569" s="35" t="str">
        <f>AGOSTO!D24</f>
        <v>DESPESAS COM PRODUTOS</v>
      </c>
      <c r="E569" s="35" t="str">
        <f>AGOSTO!E24</f>
        <v>-</v>
      </c>
      <c r="F569" s="67">
        <f>AGOSTO!G24</f>
        <v>0</v>
      </c>
      <c r="G569" s="68">
        <f>AGOSTO!H24</f>
        <v>0</v>
      </c>
      <c r="H569" s="37">
        <f>AGOSTO!I24</f>
        <v>46252</v>
      </c>
      <c r="I569" s="34" t="str">
        <f>AGOSTO!O24</f>
        <v>DESPESAS</v>
      </c>
      <c r="J569">
        <f t="shared" si="57"/>
        <v>18</v>
      </c>
      <c r="K569">
        <f t="shared" si="58"/>
        <v>8</v>
      </c>
      <c r="L569" t="str">
        <f t="shared" si="59"/>
        <v>AUG</v>
      </c>
      <c r="M569">
        <f t="shared" si="60"/>
        <v>18</v>
      </c>
      <c r="N569">
        <f t="shared" si="61"/>
        <v>8</v>
      </c>
      <c r="O569" t="str">
        <f t="shared" si="63"/>
        <v>AUG</v>
      </c>
      <c r="P569" t="str">
        <f t="shared" si="62"/>
        <v>PAGO</v>
      </c>
    </row>
    <row r="570" spans="3:16" ht="30" x14ac:dyDescent="0.25">
      <c r="C570" s="35">
        <f>AGOSTO!C25</f>
        <v>46253</v>
      </c>
      <c r="D570" s="35" t="str">
        <f>AGOSTO!D25</f>
        <v>DESPESAS COM PRODUTOS</v>
      </c>
      <c r="E570" s="35" t="str">
        <f>AGOSTO!E25</f>
        <v>-</v>
      </c>
      <c r="F570" s="67">
        <f>AGOSTO!G25</f>
        <v>0</v>
      </c>
      <c r="G570" s="68">
        <f>AGOSTO!H25</f>
        <v>0</v>
      </c>
      <c r="H570" s="37">
        <f>AGOSTO!I25</f>
        <v>46253</v>
      </c>
      <c r="I570" s="34" t="str">
        <f>AGOSTO!O25</f>
        <v>DESPESAS</v>
      </c>
      <c r="J570">
        <f t="shared" si="57"/>
        <v>19</v>
      </c>
      <c r="K570">
        <f t="shared" si="58"/>
        <v>8</v>
      </c>
      <c r="L570" t="str">
        <f t="shared" si="59"/>
        <v>AUG</v>
      </c>
      <c r="M570">
        <f t="shared" si="60"/>
        <v>19</v>
      </c>
      <c r="N570">
        <f t="shared" si="61"/>
        <v>8</v>
      </c>
      <c r="O570" t="str">
        <f t="shared" si="63"/>
        <v>AUG</v>
      </c>
      <c r="P570" t="str">
        <f t="shared" si="62"/>
        <v>PAGO</v>
      </c>
    </row>
    <row r="571" spans="3:16" ht="30" x14ac:dyDescent="0.25">
      <c r="C571" s="35">
        <f>AGOSTO!C26</f>
        <v>46254</v>
      </c>
      <c r="D571" s="35" t="str">
        <f>AGOSTO!D26</f>
        <v>DESPESAS COM PRODUTOS</v>
      </c>
      <c r="E571" s="35" t="str">
        <f>AGOSTO!E26</f>
        <v>-</v>
      </c>
      <c r="F571" s="67">
        <f>AGOSTO!G26</f>
        <v>0</v>
      </c>
      <c r="G571" s="68">
        <f>AGOSTO!H26</f>
        <v>0</v>
      </c>
      <c r="H571" s="37">
        <f>AGOSTO!I26</f>
        <v>46254</v>
      </c>
      <c r="I571" s="34" t="str">
        <f>AGOSTO!O26</f>
        <v>DESPESAS</v>
      </c>
      <c r="J571">
        <f t="shared" si="57"/>
        <v>20</v>
      </c>
      <c r="K571">
        <f t="shared" si="58"/>
        <v>8</v>
      </c>
      <c r="L571" t="str">
        <f t="shared" si="59"/>
        <v>AUG</v>
      </c>
      <c r="M571">
        <f t="shared" si="60"/>
        <v>20</v>
      </c>
      <c r="N571">
        <f t="shared" si="61"/>
        <v>8</v>
      </c>
      <c r="O571" t="str">
        <f t="shared" si="63"/>
        <v>AUG</v>
      </c>
      <c r="P571" t="str">
        <f t="shared" si="62"/>
        <v>PAGO</v>
      </c>
    </row>
    <row r="572" spans="3:16" ht="30" x14ac:dyDescent="0.25">
      <c r="C572" s="35">
        <f>AGOSTO!C27</f>
        <v>46255</v>
      </c>
      <c r="D572" s="35" t="str">
        <f>AGOSTO!D27</f>
        <v>DESPESAS COM PRODUTOS</v>
      </c>
      <c r="E572" s="35" t="str">
        <f>AGOSTO!E27</f>
        <v>-</v>
      </c>
      <c r="F572" s="67">
        <f>AGOSTO!G27</f>
        <v>0</v>
      </c>
      <c r="G572" s="68">
        <f>AGOSTO!H27</f>
        <v>0</v>
      </c>
      <c r="H572" s="37">
        <f>AGOSTO!I27</f>
        <v>46255</v>
      </c>
      <c r="I572" s="34" t="str">
        <f>AGOSTO!O27</f>
        <v>DESPESAS</v>
      </c>
      <c r="J572">
        <f t="shared" si="57"/>
        <v>21</v>
      </c>
      <c r="K572">
        <f t="shared" si="58"/>
        <v>8</v>
      </c>
      <c r="L572" t="str">
        <f t="shared" si="59"/>
        <v>AUG</v>
      </c>
      <c r="M572">
        <f t="shared" si="60"/>
        <v>21</v>
      </c>
      <c r="N572">
        <f t="shared" si="61"/>
        <v>8</v>
      </c>
      <c r="O572" t="str">
        <f t="shared" si="63"/>
        <v>AUG</v>
      </c>
      <c r="P572" t="str">
        <f t="shared" si="62"/>
        <v>PAGO</v>
      </c>
    </row>
    <row r="573" spans="3:16" ht="30" x14ac:dyDescent="0.25">
      <c r="C573" s="35">
        <f>AGOSTO!C28</f>
        <v>46256</v>
      </c>
      <c r="D573" s="35" t="str">
        <f>AGOSTO!D28</f>
        <v>DESPESAS COM PRODUTOS</v>
      </c>
      <c r="E573" s="35" t="str">
        <f>AGOSTO!E28</f>
        <v>-</v>
      </c>
      <c r="F573" s="67">
        <f>AGOSTO!G28</f>
        <v>0</v>
      </c>
      <c r="G573" s="68">
        <f>AGOSTO!H28</f>
        <v>0</v>
      </c>
      <c r="H573" s="37">
        <f>AGOSTO!I28</f>
        <v>46256</v>
      </c>
      <c r="I573" s="34" t="str">
        <f>AGOSTO!O28</f>
        <v>DESPESAS</v>
      </c>
      <c r="J573">
        <f t="shared" si="57"/>
        <v>22</v>
      </c>
      <c r="K573">
        <f t="shared" si="58"/>
        <v>8</v>
      </c>
      <c r="L573" t="str">
        <f t="shared" si="59"/>
        <v>AUG</v>
      </c>
      <c r="M573">
        <f t="shared" si="60"/>
        <v>22</v>
      </c>
      <c r="N573">
        <f t="shared" si="61"/>
        <v>8</v>
      </c>
      <c r="O573" t="str">
        <f t="shared" si="63"/>
        <v>AUG</v>
      </c>
      <c r="P573" t="str">
        <f t="shared" si="62"/>
        <v>PAGO</v>
      </c>
    </row>
    <row r="574" spans="3:16" ht="30" x14ac:dyDescent="0.25">
      <c r="C574" s="35">
        <f>AGOSTO!C29</f>
        <v>46257</v>
      </c>
      <c r="D574" s="35" t="str">
        <f>AGOSTO!D29</f>
        <v>DESPESAS COM PRODUTOS</v>
      </c>
      <c r="E574" s="35" t="str">
        <f>AGOSTO!E29</f>
        <v>-</v>
      </c>
      <c r="F574" s="67">
        <f>AGOSTO!G29</f>
        <v>0</v>
      </c>
      <c r="G574" s="68">
        <f>AGOSTO!H29</f>
        <v>0</v>
      </c>
      <c r="H574" s="37">
        <f>AGOSTO!I29</f>
        <v>46257</v>
      </c>
      <c r="I574" s="34" t="str">
        <f>AGOSTO!O29</f>
        <v>DESPESAS</v>
      </c>
      <c r="J574">
        <f t="shared" si="57"/>
        <v>23</v>
      </c>
      <c r="K574">
        <f t="shared" si="58"/>
        <v>8</v>
      </c>
      <c r="L574" t="str">
        <f t="shared" si="59"/>
        <v>AUG</v>
      </c>
      <c r="M574">
        <f t="shared" si="60"/>
        <v>23</v>
      </c>
      <c r="N574">
        <f t="shared" si="61"/>
        <v>8</v>
      </c>
      <c r="O574" t="str">
        <f t="shared" si="63"/>
        <v>AUG</v>
      </c>
      <c r="P574" t="str">
        <f t="shared" si="62"/>
        <v>PAGO</v>
      </c>
    </row>
    <row r="575" spans="3:16" ht="30" x14ac:dyDescent="0.25">
      <c r="C575" s="35">
        <f>AGOSTO!C30</f>
        <v>46258</v>
      </c>
      <c r="D575" s="35" t="str">
        <f>AGOSTO!D30</f>
        <v>DESPESAS COM PRODUTOS</v>
      </c>
      <c r="E575" s="35" t="str">
        <f>AGOSTO!E30</f>
        <v>-</v>
      </c>
      <c r="F575" s="67">
        <f>AGOSTO!G30</f>
        <v>0</v>
      </c>
      <c r="G575" s="68">
        <f>AGOSTO!H30</f>
        <v>0</v>
      </c>
      <c r="H575" s="37">
        <f>AGOSTO!I30</f>
        <v>46258</v>
      </c>
      <c r="I575" s="34" t="str">
        <f>AGOSTO!O30</f>
        <v>DESPESAS</v>
      </c>
      <c r="J575">
        <f t="shared" si="57"/>
        <v>24</v>
      </c>
      <c r="K575">
        <f t="shared" si="58"/>
        <v>8</v>
      </c>
      <c r="L575" t="str">
        <f t="shared" si="59"/>
        <v>AUG</v>
      </c>
      <c r="M575">
        <f t="shared" si="60"/>
        <v>24</v>
      </c>
      <c r="N575">
        <f t="shared" si="61"/>
        <v>8</v>
      </c>
      <c r="O575" t="str">
        <f t="shared" si="63"/>
        <v>AUG</v>
      </c>
      <c r="P575" t="str">
        <f t="shared" si="62"/>
        <v>PAGO</v>
      </c>
    </row>
    <row r="576" spans="3:16" ht="30" x14ac:dyDescent="0.25">
      <c r="C576" s="35">
        <f>AGOSTO!C31</f>
        <v>46259</v>
      </c>
      <c r="D576" s="35" t="str">
        <f>AGOSTO!D31</f>
        <v>DESPESAS COM PRODUTOS</v>
      </c>
      <c r="E576" s="35" t="str">
        <f>AGOSTO!E31</f>
        <v>-</v>
      </c>
      <c r="F576" s="67">
        <f>AGOSTO!G31</f>
        <v>0</v>
      </c>
      <c r="G576" s="68">
        <f>AGOSTO!H31</f>
        <v>0</v>
      </c>
      <c r="H576" s="37">
        <f>AGOSTO!I31</f>
        <v>46259</v>
      </c>
      <c r="I576" s="34" t="str">
        <f>AGOSTO!O31</f>
        <v>DESPESAS</v>
      </c>
      <c r="J576">
        <f t="shared" si="57"/>
        <v>25</v>
      </c>
      <c r="K576">
        <f t="shared" si="58"/>
        <v>8</v>
      </c>
      <c r="L576" t="str">
        <f t="shared" si="59"/>
        <v>AUG</v>
      </c>
      <c r="M576">
        <f t="shared" si="60"/>
        <v>25</v>
      </c>
      <c r="N576">
        <f t="shared" si="61"/>
        <v>8</v>
      </c>
      <c r="O576" t="str">
        <f t="shared" si="63"/>
        <v>AUG</v>
      </c>
      <c r="P576" t="str">
        <f t="shared" si="62"/>
        <v>PAGO</v>
      </c>
    </row>
    <row r="577" spans="3:16" ht="30" x14ac:dyDescent="0.25">
      <c r="C577" s="35">
        <f>AGOSTO!C32</f>
        <v>46260</v>
      </c>
      <c r="D577" s="35" t="str">
        <f>AGOSTO!D32</f>
        <v>DESPESAS COM PRODUTOS</v>
      </c>
      <c r="E577" s="35" t="str">
        <f>AGOSTO!E32</f>
        <v>-</v>
      </c>
      <c r="F577" s="67">
        <f>AGOSTO!G32</f>
        <v>0</v>
      </c>
      <c r="G577" s="68">
        <f>AGOSTO!H32</f>
        <v>0</v>
      </c>
      <c r="H577" s="37">
        <f>AGOSTO!I32</f>
        <v>46260</v>
      </c>
      <c r="I577" s="34" t="str">
        <f>AGOSTO!O32</f>
        <v>DESPESAS</v>
      </c>
      <c r="J577">
        <f t="shared" si="57"/>
        <v>26</v>
      </c>
      <c r="K577">
        <f t="shared" si="58"/>
        <v>8</v>
      </c>
      <c r="L577" t="str">
        <f t="shared" si="59"/>
        <v>AUG</v>
      </c>
      <c r="M577">
        <f t="shared" si="60"/>
        <v>26</v>
      </c>
      <c r="N577">
        <f t="shared" si="61"/>
        <v>8</v>
      </c>
      <c r="O577" t="str">
        <f t="shared" si="63"/>
        <v>AUG</v>
      </c>
      <c r="P577" t="str">
        <f t="shared" si="62"/>
        <v>PAGO</v>
      </c>
    </row>
    <row r="578" spans="3:16" ht="30" x14ac:dyDescent="0.25">
      <c r="C578" s="35">
        <f>AGOSTO!C33</f>
        <v>46261</v>
      </c>
      <c r="D578" s="35" t="str">
        <f>AGOSTO!D33</f>
        <v>DESPESAS COM PRODUTOS</v>
      </c>
      <c r="E578" s="35" t="str">
        <f>AGOSTO!E33</f>
        <v>-</v>
      </c>
      <c r="F578" s="67">
        <f>AGOSTO!G33</f>
        <v>0</v>
      </c>
      <c r="G578" s="68">
        <f>AGOSTO!H33</f>
        <v>0</v>
      </c>
      <c r="H578" s="37">
        <f>AGOSTO!I33</f>
        <v>46261</v>
      </c>
      <c r="I578" s="34" t="str">
        <f>AGOSTO!O33</f>
        <v>DESPESAS</v>
      </c>
      <c r="J578">
        <f t="shared" si="57"/>
        <v>27</v>
      </c>
      <c r="K578">
        <f t="shared" si="58"/>
        <v>8</v>
      </c>
      <c r="L578" t="str">
        <f t="shared" si="59"/>
        <v>AUG</v>
      </c>
      <c r="M578">
        <f t="shared" si="60"/>
        <v>27</v>
      </c>
      <c r="N578">
        <f t="shared" si="61"/>
        <v>8</v>
      </c>
      <c r="O578" t="str">
        <f t="shared" si="63"/>
        <v>AUG</v>
      </c>
      <c r="P578" t="str">
        <f t="shared" si="62"/>
        <v>PAGO</v>
      </c>
    </row>
    <row r="579" spans="3:16" ht="30" x14ac:dyDescent="0.25">
      <c r="C579" s="35">
        <f>AGOSTO!C34</f>
        <v>46262</v>
      </c>
      <c r="D579" s="35" t="str">
        <f>AGOSTO!D34</f>
        <v>DESPESAS COM PRODUTOS</v>
      </c>
      <c r="E579" s="35" t="str">
        <f>AGOSTO!E34</f>
        <v>-</v>
      </c>
      <c r="F579" s="67">
        <f>AGOSTO!G34</f>
        <v>0</v>
      </c>
      <c r="G579" s="68">
        <f>AGOSTO!H34</f>
        <v>0</v>
      </c>
      <c r="H579" s="37">
        <f>AGOSTO!I34</f>
        <v>46262</v>
      </c>
      <c r="I579" s="34" t="str">
        <f>AGOSTO!O34</f>
        <v>DESPESAS</v>
      </c>
      <c r="J579">
        <f t="shared" si="57"/>
        <v>28</v>
      </c>
      <c r="K579">
        <f t="shared" si="58"/>
        <v>8</v>
      </c>
      <c r="L579" t="str">
        <f t="shared" si="59"/>
        <v>AUG</v>
      </c>
      <c r="M579">
        <f t="shared" si="60"/>
        <v>28</v>
      </c>
      <c r="N579">
        <f t="shared" si="61"/>
        <v>8</v>
      </c>
      <c r="O579" t="str">
        <f t="shared" si="63"/>
        <v>AUG</v>
      </c>
      <c r="P579" t="str">
        <f t="shared" si="62"/>
        <v>PAGO</v>
      </c>
    </row>
    <row r="580" spans="3:16" ht="30" x14ac:dyDescent="0.25">
      <c r="C580" s="35">
        <f>AGOSTO!C35</f>
        <v>46263</v>
      </c>
      <c r="D580" s="35" t="str">
        <f>AGOSTO!D35</f>
        <v>DESPESAS COM PRODUTOS</v>
      </c>
      <c r="E580" s="35" t="str">
        <f>AGOSTO!E35</f>
        <v>-</v>
      </c>
      <c r="F580" s="67">
        <f>AGOSTO!G35</f>
        <v>0</v>
      </c>
      <c r="G580" s="68">
        <f>AGOSTO!H35</f>
        <v>0</v>
      </c>
      <c r="H580" s="37">
        <f>AGOSTO!I35</f>
        <v>46263</v>
      </c>
      <c r="I580" s="34" t="str">
        <f>AGOSTO!O35</f>
        <v>DESPESAS</v>
      </c>
      <c r="J580">
        <f t="shared" si="57"/>
        <v>29</v>
      </c>
      <c r="K580">
        <f t="shared" si="58"/>
        <v>8</v>
      </c>
      <c r="L580" t="str">
        <f t="shared" si="59"/>
        <v>AUG</v>
      </c>
      <c r="M580">
        <f t="shared" si="60"/>
        <v>29</v>
      </c>
      <c r="N580">
        <f t="shared" si="61"/>
        <v>8</v>
      </c>
      <c r="O580" t="str">
        <f t="shared" si="63"/>
        <v>AUG</v>
      </c>
      <c r="P580" t="str">
        <f t="shared" si="62"/>
        <v>PAGO</v>
      </c>
    </row>
    <row r="581" spans="3:16" ht="30" x14ac:dyDescent="0.25">
      <c r="C581" s="35">
        <f>AGOSTO!C36</f>
        <v>46264</v>
      </c>
      <c r="D581" s="35" t="str">
        <f>AGOSTO!D36</f>
        <v>DESPESAS COM PRODUTOS</v>
      </c>
      <c r="E581" s="35" t="str">
        <f>AGOSTO!E36</f>
        <v>-</v>
      </c>
      <c r="F581" s="67">
        <f>AGOSTO!G36</f>
        <v>0</v>
      </c>
      <c r="G581" s="68">
        <f>AGOSTO!H36</f>
        <v>0</v>
      </c>
      <c r="H581" s="37">
        <f>AGOSTO!I36</f>
        <v>46264</v>
      </c>
      <c r="I581" s="34" t="str">
        <f>AGOSTO!O36</f>
        <v>DESPESAS</v>
      </c>
      <c r="J581">
        <f t="shared" si="57"/>
        <v>30</v>
      </c>
      <c r="K581">
        <f t="shared" si="58"/>
        <v>8</v>
      </c>
      <c r="L581" t="str">
        <f t="shared" si="59"/>
        <v>AUG</v>
      </c>
      <c r="M581">
        <f t="shared" si="60"/>
        <v>30</v>
      </c>
      <c r="N581">
        <f t="shared" si="61"/>
        <v>8</v>
      </c>
      <c r="O581" t="str">
        <f t="shared" si="63"/>
        <v>AUG</v>
      </c>
      <c r="P581" t="str">
        <f t="shared" si="62"/>
        <v>PAGO</v>
      </c>
    </row>
    <row r="582" spans="3:16" ht="30" x14ac:dyDescent="0.25">
      <c r="C582" s="35">
        <f>AGOSTO!C37</f>
        <v>46265</v>
      </c>
      <c r="D582" s="35" t="str">
        <f>AGOSTO!D37</f>
        <v>DESPESAS COM PRODUTOS</v>
      </c>
      <c r="E582" s="35" t="str">
        <f>AGOSTO!E37</f>
        <v>-</v>
      </c>
      <c r="F582" s="67">
        <f>AGOSTO!G37</f>
        <v>0</v>
      </c>
      <c r="G582" s="68">
        <f>AGOSTO!H37</f>
        <v>0</v>
      </c>
      <c r="H582" s="37">
        <f>AGOSTO!I37</f>
        <v>46235</v>
      </c>
      <c r="I582" s="34" t="str">
        <f>AGOSTO!O37</f>
        <v>DESPESAS</v>
      </c>
      <c r="J582">
        <f t="shared" si="57"/>
        <v>31</v>
      </c>
      <c r="K582">
        <f t="shared" si="58"/>
        <v>8</v>
      </c>
      <c r="L582" t="str">
        <f t="shared" si="59"/>
        <v>AUG</v>
      </c>
      <c r="M582">
        <f t="shared" si="60"/>
        <v>1</v>
      </c>
      <c r="N582">
        <f t="shared" si="61"/>
        <v>8</v>
      </c>
      <c r="O582" t="str">
        <f t="shared" si="63"/>
        <v>AUG</v>
      </c>
      <c r="P582" t="str">
        <f t="shared" si="62"/>
        <v>PAGO</v>
      </c>
    </row>
    <row r="583" spans="3:16" ht="30" x14ac:dyDescent="0.25">
      <c r="C583" s="35">
        <f>AGOSTO!C38</f>
        <v>46235</v>
      </c>
      <c r="D583" s="35" t="str">
        <f>AGOSTO!D38</f>
        <v>DESPESAS COM PRODUTOS</v>
      </c>
      <c r="E583" s="35" t="str">
        <f>AGOSTO!E38</f>
        <v>-</v>
      </c>
      <c r="F583" s="67">
        <f>AGOSTO!G38</f>
        <v>0</v>
      </c>
      <c r="G583" s="68">
        <f>AGOSTO!H38</f>
        <v>0</v>
      </c>
      <c r="H583" s="37">
        <f>AGOSTO!I38</f>
        <v>46236</v>
      </c>
      <c r="I583" s="34" t="str">
        <f>AGOSTO!O38</f>
        <v>DESPESAS</v>
      </c>
      <c r="J583">
        <f t="shared" ref="J583:J646" si="64">DAY(C583)</f>
        <v>1</v>
      </c>
      <c r="K583">
        <f t="shared" ref="K583:K646" si="65">IF(C583 = 0, " ",MONTH(C583))</f>
        <v>8</v>
      </c>
      <c r="L583" t="str">
        <f t="shared" ref="L583:L646" si="66">IFERROR(VLOOKUP(K583,$R$6:$S$17,2),"")</f>
        <v>AUG</v>
      </c>
      <c r="M583">
        <f t="shared" ref="M583:M646" si="67">DAY(H583)</f>
        <v>2</v>
      </c>
      <c r="N583">
        <f t="shared" ref="N583:N646" si="68">IF(H583 = 0, " ",MONTH(H583))</f>
        <v>8</v>
      </c>
      <c r="O583" t="str">
        <f t="shared" si="63"/>
        <v>AUG</v>
      </c>
      <c r="P583" t="str">
        <f t="shared" ref="P583:P646" si="69">IF(H583=0,"NAO PAGO","PAGO")</f>
        <v>PAGO</v>
      </c>
    </row>
    <row r="584" spans="3:16" ht="30" x14ac:dyDescent="0.25">
      <c r="C584" s="35">
        <f>AGOSTO!C39</f>
        <v>46236</v>
      </c>
      <c r="D584" s="35" t="str">
        <f>AGOSTO!D39</f>
        <v>DESPESAS COM PRODUTOS</v>
      </c>
      <c r="E584" s="35" t="str">
        <f>AGOSTO!E39</f>
        <v>-</v>
      </c>
      <c r="F584" s="67">
        <f>AGOSTO!G39</f>
        <v>0</v>
      </c>
      <c r="G584" s="68">
        <f>AGOSTO!H39</f>
        <v>0</v>
      </c>
      <c r="H584" s="37">
        <f>AGOSTO!I39</f>
        <v>46237</v>
      </c>
      <c r="I584" s="34" t="str">
        <f>AGOSTO!O39</f>
        <v>DESPESAS</v>
      </c>
      <c r="J584">
        <f t="shared" si="64"/>
        <v>2</v>
      </c>
      <c r="K584">
        <f t="shared" si="65"/>
        <v>8</v>
      </c>
      <c r="L584" t="str">
        <f t="shared" si="66"/>
        <v>AUG</v>
      </c>
      <c r="M584">
        <f t="shared" si="67"/>
        <v>3</v>
      </c>
      <c r="N584">
        <f t="shared" si="68"/>
        <v>8</v>
      </c>
      <c r="O584" t="str">
        <f t="shared" si="63"/>
        <v>AUG</v>
      </c>
      <c r="P584" t="str">
        <f t="shared" si="69"/>
        <v>PAGO</v>
      </c>
    </row>
    <row r="585" spans="3:16" ht="30" x14ac:dyDescent="0.25">
      <c r="C585" s="35">
        <f>AGOSTO!C40</f>
        <v>46237</v>
      </c>
      <c r="D585" s="35" t="str">
        <f>AGOSTO!D40</f>
        <v>DESPESAS COM PRODUTOS</v>
      </c>
      <c r="E585" s="35" t="str">
        <f>AGOSTO!E40</f>
        <v>-</v>
      </c>
      <c r="F585" s="67">
        <f>AGOSTO!G40</f>
        <v>0</v>
      </c>
      <c r="G585" s="68">
        <f>AGOSTO!H40</f>
        <v>0</v>
      </c>
      <c r="H585" s="37">
        <f>AGOSTO!I40</f>
        <v>46238</v>
      </c>
      <c r="I585" s="34" t="str">
        <f>AGOSTO!O40</f>
        <v>DESPESAS</v>
      </c>
      <c r="J585">
        <f t="shared" si="64"/>
        <v>3</v>
      </c>
      <c r="K585">
        <f t="shared" si="65"/>
        <v>8</v>
      </c>
      <c r="L585" t="str">
        <f t="shared" si="66"/>
        <v>AUG</v>
      </c>
      <c r="M585">
        <f t="shared" si="67"/>
        <v>4</v>
      </c>
      <c r="N585">
        <f t="shared" si="68"/>
        <v>8</v>
      </c>
      <c r="O585" t="str">
        <f t="shared" si="63"/>
        <v>AUG</v>
      </c>
      <c r="P585" t="str">
        <f t="shared" si="69"/>
        <v>PAGO</v>
      </c>
    </row>
    <row r="586" spans="3:16" ht="30" x14ac:dyDescent="0.25">
      <c r="C586" s="35">
        <f>AGOSTO!C41</f>
        <v>46238</v>
      </c>
      <c r="D586" s="35" t="str">
        <f>AGOSTO!D41</f>
        <v>DESPESAS COM PRODUTOS</v>
      </c>
      <c r="E586" s="35" t="str">
        <f>AGOSTO!E41</f>
        <v>-</v>
      </c>
      <c r="F586" s="67">
        <f>AGOSTO!G41</f>
        <v>0</v>
      </c>
      <c r="G586" s="68">
        <f>AGOSTO!H41</f>
        <v>0</v>
      </c>
      <c r="H586" s="37">
        <f>AGOSTO!I41</f>
        <v>46239</v>
      </c>
      <c r="I586" s="34" t="str">
        <f>AGOSTO!O41</f>
        <v>DESPESAS</v>
      </c>
      <c r="J586">
        <f t="shared" si="64"/>
        <v>4</v>
      </c>
      <c r="K586">
        <f t="shared" si="65"/>
        <v>8</v>
      </c>
      <c r="L586" t="str">
        <f t="shared" si="66"/>
        <v>AUG</v>
      </c>
      <c r="M586">
        <f t="shared" si="67"/>
        <v>5</v>
      </c>
      <c r="N586">
        <f t="shared" si="68"/>
        <v>8</v>
      </c>
      <c r="O586" t="str">
        <f t="shared" si="63"/>
        <v>AUG</v>
      </c>
      <c r="P586" t="str">
        <f t="shared" si="69"/>
        <v>PAGO</v>
      </c>
    </row>
    <row r="587" spans="3:16" ht="30" x14ac:dyDescent="0.25">
      <c r="C587" s="35">
        <f>AGOSTO!C42</f>
        <v>46239</v>
      </c>
      <c r="D587" s="35" t="str">
        <f>AGOSTO!D42</f>
        <v>DESPESAS COM PRODUTOS</v>
      </c>
      <c r="E587" s="35" t="str">
        <f>AGOSTO!E42</f>
        <v>-</v>
      </c>
      <c r="F587" s="67">
        <f>AGOSTO!G42</f>
        <v>0</v>
      </c>
      <c r="G587" s="68">
        <f>AGOSTO!H42</f>
        <v>0</v>
      </c>
      <c r="H587" s="37">
        <f>AGOSTO!I42</f>
        <v>46240</v>
      </c>
      <c r="I587" s="34" t="str">
        <f>AGOSTO!O42</f>
        <v>DESPESAS</v>
      </c>
      <c r="J587">
        <f t="shared" si="64"/>
        <v>5</v>
      </c>
      <c r="K587">
        <f t="shared" si="65"/>
        <v>8</v>
      </c>
      <c r="L587" t="str">
        <f t="shared" si="66"/>
        <v>AUG</v>
      </c>
      <c r="M587">
        <f t="shared" si="67"/>
        <v>6</v>
      </c>
      <c r="N587">
        <f t="shared" si="68"/>
        <v>8</v>
      </c>
      <c r="O587" t="str">
        <f t="shared" si="63"/>
        <v>AUG</v>
      </c>
      <c r="P587" t="str">
        <f t="shared" si="69"/>
        <v>PAGO</v>
      </c>
    </row>
    <row r="588" spans="3:16" ht="30" x14ac:dyDescent="0.25">
      <c r="C588" s="35">
        <f>AGOSTO!C43</f>
        <v>46240</v>
      </c>
      <c r="D588" s="35" t="str">
        <f>AGOSTO!D43</f>
        <v>DESPESAS COM PRODUTOS</v>
      </c>
      <c r="E588" s="35" t="str">
        <f>AGOSTO!E43</f>
        <v>-</v>
      </c>
      <c r="F588" s="67">
        <f>AGOSTO!G43</f>
        <v>0</v>
      </c>
      <c r="G588" s="68">
        <f>AGOSTO!H43</f>
        <v>0</v>
      </c>
      <c r="H588" s="37">
        <f>AGOSTO!I43</f>
        <v>46241</v>
      </c>
      <c r="I588" s="34" t="str">
        <f>AGOSTO!O43</f>
        <v>DESPESAS</v>
      </c>
      <c r="J588">
        <f t="shared" si="64"/>
        <v>6</v>
      </c>
      <c r="K588">
        <f t="shared" si="65"/>
        <v>8</v>
      </c>
      <c r="L588" t="str">
        <f t="shared" si="66"/>
        <v>AUG</v>
      </c>
      <c r="M588">
        <f t="shared" si="67"/>
        <v>7</v>
      </c>
      <c r="N588">
        <f t="shared" si="68"/>
        <v>8</v>
      </c>
      <c r="O588" t="str">
        <f t="shared" si="63"/>
        <v>AUG</v>
      </c>
      <c r="P588" t="str">
        <f t="shared" si="69"/>
        <v>PAGO</v>
      </c>
    </row>
    <row r="589" spans="3:16" ht="30" x14ac:dyDescent="0.25">
      <c r="C589" s="35">
        <f>AGOSTO!C44</f>
        <v>46241</v>
      </c>
      <c r="D589" s="35" t="str">
        <f>AGOSTO!D44</f>
        <v>DESPESAS COM PRODUTOS</v>
      </c>
      <c r="E589" s="35" t="str">
        <f>AGOSTO!E44</f>
        <v>-</v>
      </c>
      <c r="F589" s="67">
        <f>AGOSTO!G44</f>
        <v>0</v>
      </c>
      <c r="G589" s="68">
        <f>AGOSTO!H44</f>
        <v>0</v>
      </c>
      <c r="H589" s="37">
        <f>AGOSTO!I44</f>
        <v>46242</v>
      </c>
      <c r="I589" s="34" t="str">
        <f>AGOSTO!O44</f>
        <v>DESPESAS</v>
      </c>
      <c r="J589">
        <f t="shared" si="64"/>
        <v>7</v>
      </c>
      <c r="K589">
        <f t="shared" si="65"/>
        <v>8</v>
      </c>
      <c r="L589" t="str">
        <f t="shared" si="66"/>
        <v>AUG</v>
      </c>
      <c r="M589">
        <f t="shared" si="67"/>
        <v>8</v>
      </c>
      <c r="N589">
        <f t="shared" si="68"/>
        <v>8</v>
      </c>
      <c r="O589" t="str">
        <f t="shared" si="63"/>
        <v>AUG</v>
      </c>
      <c r="P589" t="str">
        <f t="shared" si="69"/>
        <v>PAGO</v>
      </c>
    </row>
    <row r="590" spans="3:16" ht="30" x14ac:dyDescent="0.25">
      <c r="C590" s="35">
        <f>AGOSTO!C45</f>
        <v>46242</v>
      </c>
      <c r="D590" s="35" t="str">
        <f>AGOSTO!D45</f>
        <v>DESPESAS COM PRODUTOS</v>
      </c>
      <c r="E590" s="35" t="str">
        <f>AGOSTO!E45</f>
        <v>-</v>
      </c>
      <c r="F590" s="67">
        <f>AGOSTO!G45</f>
        <v>0</v>
      </c>
      <c r="G590" s="68">
        <f>AGOSTO!H45</f>
        <v>0</v>
      </c>
      <c r="H590" s="37">
        <f>AGOSTO!I45</f>
        <v>46243</v>
      </c>
      <c r="I590" s="34" t="str">
        <f>AGOSTO!O45</f>
        <v>DESPESAS</v>
      </c>
      <c r="J590">
        <f t="shared" si="64"/>
        <v>8</v>
      </c>
      <c r="K590">
        <f t="shared" si="65"/>
        <v>8</v>
      </c>
      <c r="L590" t="str">
        <f t="shared" si="66"/>
        <v>AUG</v>
      </c>
      <c r="M590">
        <f t="shared" si="67"/>
        <v>9</v>
      </c>
      <c r="N590">
        <f t="shared" si="68"/>
        <v>8</v>
      </c>
      <c r="O590" t="str">
        <f t="shared" si="63"/>
        <v>AUG</v>
      </c>
      <c r="P590" t="str">
        <f t="shared" si="69"/>
        <v>PAGO</v>
      </c>
    </row>
    <row r="591" spans="3:16" ht="30" x14ac:dyDescent="0.25">
      <c r="C591" s="35">
        <f>AGOSTO!C46</f>
        <v>46243</v>
      </c>
      <c r="D591" s="35" t="str">
        <f>AGOSTO!D46</f>
        <v>DESPESAS COM PRODUTOS</v>
      </c>
      <c r="E591" s="35" t="str">
        <f>AGOSTO!E46</f>
        <v>-</v>
      </c>
      <c r="F591" s="67">
        <f>AGOSTO!G46</f>
        <v>0</v>
      </c>
      <c r="G591" s="68">
        <f>AGOSTO!H46</f>
        <v>0</v>
      </c>
      <c r="H591" s="37">
        <f>AGOSTO!I46</f>
        <v>46244</v>
      </c>
      <c r="I591" s="34" t="str">
        <f>AGOSTO!O46</f>
        <v>DESPESAS</v>
      </c>
      <c r="J591">
        <f t="shared" si="64"/>
        <v>9</v>
      </c>
      <c r="K591">
        <f t="shared" si="65"/>
        <v>8</v>
      </c>
      <c r="L591" t="str">
        <f t="shared" si="66"/>
        <v>AUG</v>
      </c>
      <c r="M591">
        <f t="shared" si="67"/>
        <v>10</v>
      </c>
      <c r="N591">
        <f t="shared" si="68"/>
        <v>8</v>
      </c>
      <c r="O591" t="str">
        <f t="shared" si="63"/>
        <v>AUG</v>
      </c>
      <c r="P591" t="str">
        <f t="shared" si="69"/>
        <v>PAGO</v>
      </c>
    </row>
    <row r="592" spans="3:16" ht="30" x14ac:dyDescent="0.25">
      <c r="C592" s="35">
        <f>AGOSTO!C47</f>
        <v>46244</v>
      </c>
      <c r="D592" s="35" t="str">
        <f>AGOSTO!D47</f>
        <v>DESPESAS COM PRODUTOS</v>
      </c>
      <c r="E592" s="35" t="str">
        <f>AGOSTO!E47</f>
        <v>-</v>
      </c>
      <c r="F592" s="67">
        <f>AGOSTO!G47</f>
        <v>0</v>
      </c>
      <c r="G592" s="68">
        <f>AGOSTO!H47</f>
        <v>0</v>
      </c>
      <c r="H592" s="37">
        <f>AGOSTO!I47</f>
        <v>46245</v>
      </c>
      <c r="I592" s="34" t="str">
        <f>AGOSTO!O47</f>
        <v>DESPESAS</v>
      </c>
      <c r="J592">
        <f t="shared" si="64"/>
        <v>10</v>
      </c>
      <c r="K592">
        <f t="shared" si="65"/>
        <v>8</v>
      </c>
      <c r="L592" t="str">
        <f t="shared" si="66"/>
        <v>AUG</v>
      </c>
      <c r="M592">
        <f t="shared" si="67"/>
        <v>11</v>
      </c>
      <c r="N592">
        <f t="shared" si="68"/>
        <v>8</v>
      </c>
      <c r="O592" t="str">
        <f t="shared" si="63"/>
        <v>AUG</v>
      </c>
      <c r="P592" t="str">
        <f t="shared" si="69"/>
        <v>PAGO</v>
      </c>
    </row>
    <row r="593" spans="3:16" ht="30" x14ac:dyDescent="0.25">
      <c r="C593" s="35">
        <f>AGOSTO!C48</f>
        <v>46245</v>
      </c>
      <c r="D593" s="35" t="str">
        <f>AGOSTO!D48</f>
        <v>DESPESAS COM PRODUTOS</v>
      </c>
      <c r="E593" s="35" t="str">
        <f>AGOSTO!E48</f>
        <v>-</v>
      </c>
      <c r="F593" s="67">
        <f>AGOSTO!G48</f>
        <v>0</v>
      </c>
      <c r="G593" s="68">
        <f>AGOSTO!H48</f>
        <v>0</v>
      </c>
      <c r="H593" s="37">
        <f>AGOSTO!I48</f>
        <v>46246</v>
      </c>
      <c r="I593" s="34" t="str">
        <f>AGOSTO!O48</f>
        <v>DESPESAS</v>
      </c>
      <c r="J593">
        <f t="shared" si="64"/>
        <v>11</v>
      </c>
      <c r="K593">
        <f t="shared" si="65"/>
        <v>8</v>
      </c>
      <c r="L593" t="str">
        <f t="shared" si="66"/>
        <v>AUG</v>
      </c>
      <c r="M593">
        <f t="shared" si="67"/>
        <v>12</v>
      </c>
      <c r="N593">
        <f t="shared" si="68"/>
        <v>8</v>
      </c>
      <c r="O593" t="str">
        <f t="shared" si="63"/>
        <v>AUG</v>
      </c>
      <c r="P593" t="str">
        <f t="shared" si="69"/>
        <v>PAGO</v>
      </c>
    </row>
    <row r="594" spans="3:16" ht="30" x14ac:dyDescent="0.25">
      <c r="C594" s="35">
        <f>AGOSTO!C49</f>
        <v>46246</v>
      </c>
      <c r="D594" s="35" t="str">
        <f>AGOSTO!D49</f>
        <v>DESPESAS COM PRODUTOS</v>
      </c>
      <c r="E594" s="35" t="str">
        <f>AGOSTO!E49</f>
        <v>-</v>
      </c>
      <c r="F594" s="67">
        <f>AGOSTO!G49</f>
        <v>0</v>
      </c>
      <c r="G594" s="68">
        <f>AGOSTO!H49</f>
        <v>0</v>
      </c>
      <c r="H594" s="37">
        <f>AGOSTO!I49</f>
        <v>46247</v>
      </c>
      <c r="I594" s="34" t="str">
        <f>AGOSTO!O49</f>
        <v>DESPESAS</v>
      </c>
      <c r="J594">
        <f t="shared" si="64"/>
        <v>12</v>
      </c>
      <c r="K594">
        <f t="shared" si="65"/>
        <v>8</v>
      </c>
      <c r="L594" t="str">
        <f t="shared" si="66"/>
        <v>AUG</v>
      </c>
      <c r="M594">
        <f t="shared" si="67"/>
        <v>13</v>
      </c>
      <c r="N594">
        <f t="shared" si="68"/>
        <v>8</v>
      </c>
      <c r="O594" t="str">
        <f t="shared" si="63"/>
        <v>AUG</v>
      </c>
      <c r="P594" t="str">
        <f t="shared" si="69"/>
        <v>PAGO</v>
      </c>
    </row>
    <row r="595" spans="3:16" ht="30" x14ac:dyDescent="0.25">
      <c r="C595" s="35">
        <f>AGOSTO!C50</f>
        <v>46247</v>
      </c>
      <c r="D595" s="35" t="str">
        <f>AGOSTO!D50</f>
        <v>DESPESAS COM PRODUTOS</v>
      </c>
      <c r="E595" s="35" t="str">
        <f>AGOSTO!E50</f>
        <v>-</v>
      </c>
      <c r="F595" s="67">
        <f>AGOSTO!G50</f>
        <v>0</v>
      </c>
      <c r="G595" s="68">
        <f>AGOSTO!H50</f>
        <v>0</v>
      </c>
      <c r="H595" s="37">
        <f>AGOSTO!I50</f>
        <v>46248</v>
      </c>
      <c r="I595" s="34" t="str">
        <f>AGOSTO!O50</f>
        <v>DESPESAS</v>
      </c>
      <c r="J595">
        <f t="shared" si="64"/>
        <v>13</v>
      </c>
      <c r="K595">
        <f t="shared" si="65"/>
        <v>8</v>
      </c>
      <c r="L595" t="str">
        <f t="shared" si="66"/>
        <v>AUG</v>
      </c>
      <c r="M595">
        <f t="shared" si="67"/>
        <v>14</v>
      </c>
      <c r="N595">
        <f t="shared" si="68"/>
        <v>8</v>
      </c>
      <c r="O595" t="str">
        <f t="shared" si="63"/>
        <v>AUG</v>
      </c>
      <c r="P595" t="str">
        <f t="shared" si="69"/>
        <v>PAGO</v>
      </c>
    </row>
    <row r="596" spans="3:16" ht="30" x14ac:dyDescent="0.25">
      <c r="C596" s="35">
        <f>AGOSTO!C51</f>
        <v>46248</v>
      </c>
      <c r="D596" s="35" t="str">
        <f>AGOSTO!D51</f>
        <v>DESPESAS COM PRODUTOS</v>
      </c>
      <c r="E596" s="35" t="str">
        <f>AGOSTO!E51</f>
        <v>-</v>
      </c>
      <c r="F596" s="67">
        <f>AGOSTO!G51</f>
        <v>0</v>
      </c>
      <c r="G596" s="68">
        <f>AGOSTO!H51</f>
        <v>0</v>
      </c>
      <c r="H596" s="37">
        <f>AGOSTO!I51</f>
        <v>46249</v>
      </c>
      <c r="I596" s="34" t="str">
        <f>AGOSTO!O51</f>
        <v>DESPESAS</v>
      </c>
      <c r="J596">
        <f t="shared" si="64"/>
        <v>14</v>
      </c>
      <c r="K596">
        <f t="shared" si="65"/>
        <v>8</v>
      </c>
      <c r="L596" t="str">
        <f t="shared" si="66"/>
        <v>AUG</v>
      </c>
      <c r="M596">
        <f t="shared" si="67"/>
        <v>15</v>
      </c>
      <c r="N596">
        <f t="shared" si="68"/>
        <v>8</v>
      </c>
      <c r="O596" t="str">
        <f t="shared" si="63"/>
        <v>AUG</v>
      </c>
      <c r="P596" t="str">
        <f t="shared" si="69"/>
        <v>PAGO</v>
      </c>
    </row>
    <row r="597" spans="3:16" ht="30" x14ac:dyDescent="0.25">
      <c r="C597" s="35">
        <f>AGOSTO!C52</f>
        <v>46249</v>
      </c>
      <c r="D597" s="35" t="str">
        <f>AGOSTO!D52</f>
        <v>DESPESAS COM PRODUTOS</v>
      </c>
      <c r="E597" s="35" t="str">
        <f>AGOSTO!E52</f>
        <v>-</v>
      </c>
      <c r="F597" s="67">
        <f>AGOSTO!G52</f>
        <v>0</v>
      </c>
      <c r="G597" s="68">
        <f>AGOSTO!H52</f>
        <v>0</v>
      </c>
      <c r="H597" s="37">
        <f>AGOSTO!I52</f>
        <v>46250</v>
      </c>
      <c r="I597" s="34" t="str">
        <f>AGOSTO!O52</f>
        <v>DESPESAS</v>
      </c>
      <c r="J597">
        <f t="shared" si="64"/>
        <v>15</v>
      </c>
      <c r="K597">
        <f t="shared" si="65"/>
        <v>8</v>
      </c>
      <c r="L597" t="str">
        <f t="shared" si="66"/>
        <v>AUG</v>
      </c>
      <c r="M597">
        <f t="shared" si="67"/>
        <v>16</v>
      </c>
      <c r="N597">
        <f t="shared" si="68"/>
        <v>8</v>
      </c>
      <c r="O597" t="str">
        <f t="shared" si="63"/>
        <v>AUG</v>
      </c>
      <c r="P597" t="str">
        <f t="shared" si="69"/>
        <v>PAGO</v>
      </c>
    </row>
    <row r="598" spans="3:16" ht="30" x14ac:dyDescent="0.25">
      <c r="C598" s="35">
        <f>AGOSTO!C53</f>
        <v>46250</v>
      </c>
      <c r="D598" s="35" t="str">
        <f>AGOSTO!D53</f>
        <v>DESPESAS COM PRODUTOS</v>
      </c>
      <c r="E598" s="35" t="str">
        <f>AGOSTO!E53</f>
        <v>-</v>
      </c>
      <c r="F598" s="67">
        <f>AGOSTO!G53</f>
        <v>0</v>
      </c>
      <c r="G598" s="68">
        <f>AGOSTO!H53</f>
        <v>0</v>
      </c>
      <c r="H598" s="37">
        <f>AGOSTO!I53</f>
        <v>46251</v>
      </c>
      <c r="I598" s="34" t="str">
        <f>AGOSTO!O53</f>
        <v>DESPESAS</v>
      </c>
      <c r="J598">
        <f t="shared" si="64"/>
        <v>16</v>
      </c>
      <c r="K598">
        <f t="shared" si="65"/>
        <v>8</v>
      </c>
      <c r="L598" t="str">
        <f t="shared" si="66"/>
        <v>AUG</v>
      </c>
      <c r="M598">
        <f t="shared" si="67"/>
        <v>17</v>
      </c>
      <c r="N598">
        <f t="shared" si="68"/>
        <v>8</v>
      </c>
      <c r="O598" t="str">
        <f t="shared" si="63"/>
        <v>AUG</v>
      </c>
      <c r="P598" t="str">
        <f t="shared" si="69"/>
        <v>PAGO</v>
      </c>
    </row>
    <row r="599" spans="3:16" ht="30" x14ac:dyDescent="0.25">
      <c r="C599" s="35">
        <f>AGOSTO!C54</f>
        <v>46251</v>
      </c>
      <c r="D599" s="35" t="str">
        <f>AGOSTO!D54</f>
        <v>DESPESAS COM PRODUTOS</v>
      </c>
      <c r="E599" s="35" t="str">
        <f>AGOSTO!E54</f>
        <v>-</v>
      </c>
      <c r="F599" s="67">
        <f>AGOSTO!G54</f>
        <v>0</v>
      </c>
      <c r="G599" s="68">
        <f>AGOSTO!H54</f>
        <v>0</v>
      </c>
      <c r="H599" s="37">
        <f>AGOSTO!I54</f>
        <v>46252</v>
      </c>
      <c r="I599" s="34" t="str">
        <f>AGOSTO!O54</f>
        <v>DESPESAS</v>
      </c>
      <c r="J599">
        <f t="shared" si="64"/>
        <v>17</v>
      </c>
      <c r="K599">
        <f t="shared" si="65"/>
        <v>8</v>
      </c>
      <c r="L599" t="str">
        <f t="shared" si="66"/>
        <v>AUG</v>
      </c>
      <c r="M599">
        <f t="shared" si="67"/>
        <v>18</v>
      </c>
      <c r="N599">
        <f t="shared" si="68"/>
        <v>8</v>
      </c>
      <c r="O599" t="str">
        <f t="shared" ref="O599:O662" si="70">IFERROR(VLOOKUP(N599,$R$6:$S$17,2),"")</f>
        <v>AUG</v>
      </c>
      <c r="P599" t="str">
        <f t="shared" si="69"/>
        <v>PAGO</v>
      </c>
    </row>
    <row r="600" spans="3:16" ht="30" x14ac:dyDescent="0.25">
      <c r="C600" s="35">
        <f>AGOSTO!C55</f>
        <v>46252</v>
      </c>
      <c r="D600" s="35" t="str">
        <f>AGOSTO!D55</f>
        <v>DESPESAS COM PRODUTOS</v>
      </c>
      <c r="E600" s="35" t="str">
        <f>AGOSTO!E55</f>
        <v>-</v>
      </c>
      <c r="F600" s="67">
        <f>AGOSTO!G55</f>
        <v>0</v>
      </c>
      <c r="G600" s="68">
        <f>AGOSTO!H55</f>
        <v>0</v>
      </c>
      <c r="H600" s="37">
        <f>AGOSTO!I55</f>
        <v>46253</v>
      </c>
      <c r="I600" s="34" t="str">
        <f>AGOSTO!O55</f>
        <v>DESPESAS</v>
      </c>
      <c r="J600">
        <f t="shared" si="64"/>
        <v>18</v>
      </c>
      <c r="K600">
        <f t="shared" si="65"/>
        <v>8</v>
      </c>
      <c r="L600" t="str">
        <f t="shared" si="66"/>
        <v>AUG</v>
      </c>
      <c r="M600">
        <f t="shared" si="67"/>
        <v>19</v>
      </c>
      <c r="N600">
        <f t="shared" si="68"/>
        <v>8</v>
      </c>
      <c r="O600" t="str">
        <f t="shared" si="70"/>
        <v>AUG</v>
      </c>
      <c r="P600" t="str">
        <f t="shared" si="69"/>
        <v>PAGO</v>
      </c>
    </row>
    <row r="601" spans="3:16" ht="30" x14ac:dyDescent="0.25">
      <c r="C601" s="35">
        <f>AGOSTO!C56</f>
        <v>46253</v>
      </c>
      <c r="D601" s="35" t="str">
        <f>AGOSTO!D56</f>
        <v>DESPESAS COM PRODUTOS</v>
      </c>
      <c r="E601" s="35" t="str">
        <f>AGOSTO!E56</f>
        <v>-</v>
      </c>
      <c r="F601" s="67">
        <f>AGOSTO!G56</f>
        <v>0</v>
      </c>
      <c r="G601" s="68">
        <f>AGOSTO!H56</f>
        <v>0</v>
      </c>
      <c r="H601" s="37">
        <f>AGOSTO!I56</f>
        <v>46254</v>
      </c>
      <c r="I601" s="34" t="str">
        <f>AGOSTO!O56</f>
        <v>DESPESAS</v>
      </c>
      <c r="J601">
        <f t="shared" si="64"/>
        <v>19</v>
      </c>
      <c r="K601">
        <f t="shared" si="65"/>
        <v>8</v>
      </c>
      <c r="L601" t="str">
        <f t="shared" si="66"/>
        <v>AUG</v>
      </c>
      <c r="M601">
        <f t="shared" si="67"/>
        <v>20</v>
      </c>
      <c r="N601">
        <f t="shared" si="68"/>
        <v>8</v>
      </c>
      <c r="O601" t="str">
        <f t="shared" si="70"/>
        <v>AUG</v>
      </c>
      <c r="P601" t="str">
        <f t="shared" si="69"/>
        <v>PAGO</v>
      </c>
    </row>
    <row r="602" spans="3:16" ht="30" x14ac:dyDescent="0.25">
      <c r="C602" s="35">
        <f>AGOSTO!C57</f>
        <v>46254</v>
      </c>
      <c r="D602" s="35" t="str">
        <f>AGOSTO!D57</f>
        <v>DESPESAS COM PRODUTOS</v>
      </c>
      <c r="E602" s="35" t="str">
        <f>AGOSTO!E57</f>
        <v>-</v>
      </c>
      <c r="F602" s="67">
        <f>AGOSTO!G57</f>
        <v>0</v>
      </c>
      <c r="G602" s="68">
        <f>AGOSTO!H57</f>
        <v>0</v>
      </c>
      <c r="H602" s="37">
        <f>AGOSTO!I57</f>
        <v>46255</v>
      </c>
      <c r="I602" s="34" t="str">
        <f>AGOSTO!O57</f>
        <v>DESPESAS</v>
      </c>
      <c r="J602">
        <f t="shared" si="64"/>
        <v>20</v>
      </c>
      <c r="K602">
        <f t="shared" si="65"/>
        <v>8</v>
      </c>
      <c r="L602" t="str">
        <f t="shared" si="66"/>
        <v>AUG</v>
      </c>
      <c r="M602">
        <f t="shared" si="67"/>
        <v>21</v>
      </c>
      <c r="N602">
        <f t="shared" si="68"/>
        <v>8</v>
      </c>
      <c r="O602" t="str">
        <f t="shared" si="70"/>
        <v>AUG</v>
      </c>
      <c r="P602" t="str">
        <f t="shared" si="69"/>
        <v>PAGO</v>
      </c>
    </row>
    <row r="603" spans="3:16" ht="30" x14ac:dyDescent="0.25">
      <c r="C603" s="35">
        <f>AGOSTO!C58</f>
        <v>46255</v>
      </c>
      <c r="D603" s="35" t="str">
        <f>AGOSTO!D58</f>
        <v>DESPESAS COM PRODUTOS</v>
      </c>
      <c r="E603" s="35" t="str">
        <f>AGOSTO!E58</f>
        <v>-</v>
      </c>
      <c r="F603" s="67">
        <f>AGOSTO!G58</f>
        <v>0</v>
      </c>
      <c r="G603" s="68">
        <f>AGOSTO!H58</f>
        <v>0</v>
      </c>
      <c r="H603" s="37">
        <f>AGOSTO!I58</f>
        <v>46256</v>
      </c>
      <c r="I603" s="34" t="str">
        <f>AGOSTO!O58</f>
        <v>DESPESAS</v>
      </c>
      <c r="J603">
        <f t="shared" si="64"/>
        <v>21</v>
      </c>
      <c r="K603">
        <f t="shared" si="65"/>
        <v>8</v>
      </c>
      <c r="L603" t="str">
        <f t="shared" si="66"/>
        <v>AUG</v>
      </c>
      <c r="M603">
        <f t="shared" si="67"/>
        <v>22</v>
      </c>
      <c r="N603">
        <f t="shared" si="68"/>
        <v>8</v>
      </c>
      <c r="O603" t="str">
        <f t="shared" si="70"/>
        <v>AUG</v>
      </c>
      <c r="P603" t="str">
        <f t="shared" si="69"/>
        <v>PAGO</v>
      </c>
    </row>
    <row r="604" spans="3:16" ht="30" x14ac:dyDescent="0.25">
      <c r="C604" s="35">
        <f>AGOSTO!C59</f>
        <v>46256</v>
      </c>
      <c r="D604" s="35" t="str">
        <f>AGOSTO!D59</f>
        <v>DESPESAS COM PRODUTOS</v>
      </c>
      <c r="E604" s="35" t="str">
        <f>AGOSTO!E59</f>
        <v>-</v>
      </c>
      <c r="F604" s="67">
        <f>AGOSTO!G59</f>
        <v>0</v>
      </c>
      <c r="G604" s="68">
        <f>AGOSTO!H59</f>
        <v>0</v>
      </c>
      <c r="H604" s="37">
        <f>AGOSTO!I59</f>
        <v>46257</v>
      </c>
      <c r="I604" s="34" t="str">
        <f>AGOSTO!O59</f>
        <v>DESPESAS</v>
      </c>
      <c r="J604">
        <f t="shared" si="64"/>
        <v>22</v>
      </c>
      <c r="K604">
        <f t="shared" si="65"/>
        <v>8</v>
      </c>
      <c r="L604" t="str">
        <f t="shared" si="66"/>
        <v>AUG</v>
      </c>
      <c r="M604">
        <f t="shared" si="67"/>
        <v>23</v>
      </c>
      <c r="N604">
        <f t="shared" si="68"/>
        <v>8</v>
      </c>
      <c r="O604" t="str">
        <f t="shared" si="70"/>
        <v>AUG</v>
      </c>
      <c r="P604" t="str">
        <f t="shared" si="69"/>
        <v>PAGO</v>
      </c>
    </row>
    <row r="605" spans="3:16" ht="30" x14ac:dyDescent="0.25">
      <c r="C605" s="35">
        <f>AGOSTO!C60</f>
        <v>46257</v>
      </c>
      <c r="D605" s="35" t="str">
        <f>AGOSTO!D60</f>
        <v>DESPESAS COM PRODUTOS</v>
      </c>
      <c r="E605" s="35" t="str">
        <f>AGOSTO!E60</f>
        <v>-</v>
      </c>
      <c r="F605" s="67">
        <f>AGOSTO!G60</f>
        <v>0</v>
      </c>
      <c r="G605" s="68">
        <f>AGOSTO!H60</f>
        <v>0</v>
      </c>
      <c r="H605" s="37">
        <f>AGOSTO!I60</f>
        <v>46258</v>
      </c>
      <c r="I605" s="34" t="str">
        <f>AGOSTO!O60</f>
        <v>DESPESAS</v>
      </c>
      <c r="J605">
        <f t="shared" si="64"/>
        <v>23</v>
      </c>
      <c r="K605">
        <f t="shared" si="65"/>
        <v>8</v>
      </c>
      <c r="L605" t="str">
        <f t="shared" si="66"/>
        <v>AUG</v>
      </c>
      <c r="M605">
        <f t="shared" si="67"/>
        <v>24</v>
      </c>
      <c r="N605">
        <f t="shared" si="68"/>
        <v>8</v>
      </c>
      <c r="O605" t="str">
        <f t="shared" si="70"/>
        <v>AUG</v>
      </c>
      <c r="P605" t="str">
        <f t="shared" si="69"/>
        <v>PAGO</v>
      </c>
    </row>
    <row r="606" spans="3:16" ht="30" x14ac:dyDescent="0.25">
      <c r="C606" s="35">
        <f>AGOSTO!C61</f>
        <v>46258</v>
      </c>
      <c r="D606" s="35" t="str">
        <f>AGOSTO!D61</f>
        <v>DESPESAS COM PRODUTOS</v>
      </c>
      <c r="E606" s="35" t="str">
        <f>AGOSTO!E61</f>
        <v>-</v>
      </c>
      <c r="F606" s="67">
        <f>AGOSTO!G61</f>
        <v>0</v>
      </c>
      <c r="G606" s="68">
        <f>AGOSTO!H61</f>
        <v>0</v>
      </c>
      <c r="H606" s="37">
        <f>AGOSTO!I61</f>
        <v>46259</v>
      </c>
      <c r="I606" s="34" t="str">
        <f>AGOSTO!O61</f>
        <v>DESPESAS</v>
      </c>
      <c r="J606">
        <f t="shared" si="64"/>
        <v>24</v>
      </c>
      <c r="K606">
        <f t="shared" si="65"/>
        <v>8</v>
      </c>
      <c r="L606" t="str">
        <f t="shared" si="66"/>
        <v>AUG</v>
      </c>
      <c r="M606">
        <f t="shared" si="67"/>
        <v>25</v>
      </c>
      <c r="N606">
        <f t="shared" si="68"/>
        <v>8</v>
      </c>
      <c r="O606" t="str">
        <f t="shared" si="70"/>
        <v>AUG</v>
      </c>
      <c r="P606" t="str">
        <f t="shared" si="69"/>
        <v>PAGO</v>
      </c>
    </row>
    <row r="607" spans="3:16" ht="30" x14ac:dyDescent="0.25">
      <c r="C607" s="35">
        <f>AGOSTO!C62</f>
        <v>46259</v>
      </c>
      <c r="D607" s="35" t="str">
        <f>AGOSTO!D62</f>
        <v>DESPESAS COM PRODUTOS</v>
      </c>
      <c r="E607" s="35" t="str">
        <f>AGOSTO!E62</f>
        <v>-</v>
      </c>
      <c r="F607" s="67">
        <f>AGOSTO!G62</f>
        <v>0</v>
      </c>
      <c r="G607" s="68">
        <f>AGOSTO!H62</f>
        <v>0</v>
      </c>
      <c r="H607" s="37">
        <f>AGOSTO!I62</f>
        <v>46260</v>
      </c>
      <c r="I607" s="34" t="str">
        <f>AGOSTO!O62</f>
        <v>DESPESAS</v>
      </c>
      <c r="J607">
        <f t="shared" si="64"/>
        <v>25</v>
      </c>
      <c r="K607">
        <f t="shared" si="65"/>
        <v>8</v>
      </c>
      <c r="L607" t="str">
        <f t="shared" si="66"/>
        <v>AUG</v>
      </c>
      <c r="M607">
        <f t="shared" si="67"/>
        <v>26</v>
      </c>
      <c r="N607">
        <f t="shared" si="68"/>
        <v>8</v>
      </c>
      <c r="O607" t="str">
        <f t="shared" si="70"/>
        <v>AUG</v>
      </c>
      <c r="P607" t="str">
        <f t="shared" si="69"/>
        <v>PAGO</v>
      </c>
    </row>
    <row r="608" spans="3:16" ht="30" x14ac:dyDescent="0.25">
      <c r="C608" s="35">
        <f>AGOSTO!C63</f>
        <v>46260</v>
      </c>
      <c r="D608" s="35" t="str">
        <f>AGOSTO!D63</f>
        <v>DESPESAS COM PRODUTOS</v>
      </c>
      <c r="E608" s="35" t="str">
        <f>AGOSTO!E63</f>
        <v>-</v>
      </c>
      <c r="F608" s="67">
        <f>AGOSTO!G63</f>
        <v>0</v>
      </c>
      <c r="G608" s="68">
        <f>AGOSTO!H63</f>
        <v>0</v>
      </c>
      <c r="H608" s="37">
        <f>AGOSTO!I63</f>
        <v>46261</v>
      </c>
      <c r="I608" s="34" t="str">
        <f>AGOSTO!O63</f>
        <v>DESPESAS</v>
      </c>
      <c r="J608">
        <f t="shared" si="64"/>
        <v>26</v>
      </c>
      <c r="K608">
        <f t="shared" si="65"/>
        <v>8</v>
      </c>
      <c r="L608" t="str">
        <f t="shared" si="66"/>
        <v>AUG</v>
      </c>
      <c r="M608">
        <f t="shared" si="67"/>
        <v>27</v>
      </c>
      <c r="N608">
        <f t="shared" si="68"/>
        <v>8</v>
      </c>
      <c r="O608" t="str">
        <f t="shared" si="70"/>
        <v>AUG</v>
      </c>
      <c r="P608" t="str">
        <f t="shared" si="69"/>
        <v>PAGO</v>
      </c>
    </row>
    <row r="609" spans="3:16" ht="30" x14ac:dyDescent="0.25">
      <c r="C609" s="35">
        <f>AGOSTO!C64</f>
        <v>46261</v>
      </c>
      <c r="D609" s="35" t="str">
        <f>AGOSTO!D64</f>
        <v>DESPESAS COM PRODUTOS</v>
      </c>
      <c r="E609" s="35" t="str">
        <f>AGOSTO!E64</f>
        <v>-</v>
      </c>
      <c r="F609" s="67">
        <f>AGOSTO!G64</f>
        <v>0</v>
      </c>
      <c r="G609" s="68">
        <f>AGOSTO!H64</f>
        <v>0</v>
      </c>
      <c r="H609" s="37">
        <f>AGOSTO!I64</f>
        <v>46262</v>
      </c>
      <c r="I609" s="34" t="str">
        <f>AGOSTO!O64</f>
        <v>DESPESAS</v>
      </c>
      <c r="J609">
        <f t="shared" si="64"/>
        <v>27</v>
      </c>
      <c r="K609">
        <f t="shared" si="65"/>
        <v>8</v>
      </c>
      <c r="L609" t="str">
        <f t="shared" si="66"/>
        <v>AUG</v>
      </c>
      <c r="M609">
        <f t="shared" si="67"/>
        <v>28</v>
      </c>
      <c r="N609">
        <f t="shared" si="68"/>
        <v>8</v>
      </c>
      <c r="O609" t="str">
        <f t="shared" si="70"/>
        <v>AUG</v>
      </c>
      <c r="P609" t="str">
        <f t="shared" si="69"/>
        <v>PAGO</v>
      </c>
    </row>
    <row r="610" spans="3:16" ht="30" x14ac:dyDescent="0.25">
      <c r="C610" s="35">
        <f>AGOSTO!C65</f>
        <v>46262</v>
      </c>
      <c r="D610" s="35" t="str">
        <f>AGOSTO!D65</f>
        <v>DESPESAS COM PRODUTOS</v>
      </c>
      <c r="E610" s="35" t="str">
        <f>AGOSTO!E65</f>
        <v>-</v>
      </c>
      <c r="F610" s="67">
        <f>AGOSTO!G65</f>
        <v>0</v>
      </c>
      <c r="G610" s="68">
        <f>AGOSTO!H65</f>
        <v>0</v>
      </c>
      <c r="H610" s="37">
        <f>AGOSTO!I65</f>
        <v>46263</v>
      </c>
      <c r="I610" s="34" t="str">
        <f>AGOSTO!O65</f>
        <v>DESPESAS</v>
      </c>
      <c r="J610">
        <f t="shared" si="64"/>
        <v>28</v>
      </c>
      <c r="K610">
        <f t="shared" si="65"/>
        <v>8</v>
      </c>
      <c r="L610" t="str">
        <f t="shared" si="66"/>
        <v>AUG</v>
      </c>
      <c r="M610">
        <f t="shared" si="67"/>
        <v>29</v>
      </c>
      <c r="N610">
        <f t="shared" si="68"/>
        <v>8</v>
      </c>
      <c r="O610" t="str">
        <f t="shared" si="70"/>
        <v>AUG</v>
      </c>
      <c r="P610" t="str">
        <f t="shared" si="69"/>
        <v>PAGO</v>
      </c>
    </row>
    <row r="611" spans="3:16" ht="30" x14ac:dyDescent="0.25">
      <c r="C611" s="35">
        <f>AGOSTO!C66</f>
        <v>46263</v>
      </c>
      <c r="D611" s="35" t="str">
        <f>AGOSTO!D66</f>
        <v>DESPESAS COM PRODUTOS</v>
      </c>
      <c r="E611" s="35" t="str">
        <f>AGOSTO!E66</f>
        <v>-</v>
      </c>
      <c r="F611" s="67">
        <f>AGOSTO!G66</f>
        <v>0</v>
      </c>
      <c r="G611" s="68">
        <f>AGOSTO!H66</f>
        <v>0</v>
      </c>
      <c r="H611" s="37">
        <f>AGOSTO!I66</f>
        <v>46264</v>
      </c>
      <c r="I611" s="34" t="str">
        <f>AGOSTO!O66</f>
        <v>DESPESAS</v>
      </c>
      <c r="J611">
        <f t="shared" si="64"/>
        <v>29</v>
      </c>
      <c r="K611">
        <f t="shared" si="65"/>
        <v>8</v>
      </c>
      <c r="L611" t="str">
        <f t="shared" si="66"/>
        <v>AUG</v>
      </c>
      <c r="M611">
        <f t="shared" si="67"/>
        <v>30</v>
      </c>
      <c r="N611">
        <f t="shared" si="68"/>
        <v>8</v>
      </c>
      <c r="O611" t="str">
        <f t="shared" si="70"/>
        <v>AUG</v>
      </c>
      <c r="P611" t="str">
        <f t="shared" si="69"/>
        <v>PAGO</v>
      </c>
    </row>
    <row r="612" spans="3:16" ht="30" x14ac:dyDescent="0.25">
      <c r="C612" s="35">
        <f>AGOSTO!C67</f>
        <v>46264</v>
      </c>
      <c r="D612" s="35" t="str">
        <f>AGOSTO!D67</f>
        <v>DESPESAS COM PRODUTOS</v>
      </c>
      <c r="E612" s="35" t="str">
        <f>AGOSTO!E67</f>
        <v>-</v>
      </c>
      <c r="F612" s="67">
        <f>AGOSTO!G67</f>
        <v>0</v>
      </c>
      <c r="G612" s="68">
        <f>AGOSTO!H67</f>
        <v>0</v>
      </c>
      <c r="H612" s="37">
        <f>AGOSTO!I67</f>
        <v>46265</v>
      </c>
      <c r="I612" s="34" t="str">
        <f>AGOSTO!O67</f>
        <v>DESPESAS</v>
      </c>
      <c r="J612">
        <f t="shared" si="64"/>
        <v>30</v>
      </c>
      <c r="K612">
        <f t="shared" si="65"/>
        <v>8</v>
      </c>
      <c r="L612" t="str">
        <f t="shared" si="66"/>
        <v>AUG</v>
      </c>
      <c r="M612">
        <f t="shared" si="67"/>
        <v>31</v>
      </c>
      <c r="N612">
        <f t="shared" si="68"/>
        <v>8</v>
      </c>
      <c r="O612" t="str">
        <f t="shared" si="70"/>
        <v>AUG</v>
      </c>
      <c r="P612" t="str">
        <f t="shared" si="69"/>
        <v>PAGO</v>
      </c>
    </row>
    <row r="613" spans="3:16" ht="30" x14ac:dyDescent="0.25">
      <c r="C613" s="35">
        <f>AGOSTO!C68</f>
        <v>46265</v>
      </c>
      <c r="D613" s="35" t="str">
        <f>AGOSTO!D68</f>
        <v>DESPESAS COM PRODUTOS</v>
      </c>
      <c r="E613" s="35" t="str">
        <f>AGOSTO!E68</f>
        <v>-</v>
      </c>
      <c r="F613" s="67">
        <f>AGOSTO!G68</f>
        <v>0</v>
      </c>
      <c r="G613" s="68">
        <f>AGOSTO!H68</f>
        <v>0</v>
      </c>
      <c r="H613" s="37">
        <f>AGOSTO!I68</f>
        <v>46266</v>
      </c>
      <c r="I613" s="34" t="str">
        <f>AGOSTO!O68</f>
        <v>DESPESAS</v>
      </c>
      <c r="J613">
        <f t="shared" si="64"/>
        <v>31</v>
      </c>
      <c r="K613">
        <f t="shared" si="65"/>
        <v>8</v>
      </c>
      <c r="L613" t="str">
        <f t="shared" si="66"/>
        <v>AUG</v>
      </c>
      <c r="M613">
        <f t="shared" si="67"/>
        <v>1</v>
      </c>
      <c r="N613">
        <f t="shared" si="68"/>
        <v>9</v>
      </c>
      <c r="O613" t="str">
        <f t="shared" si="70"/>
        <v>SEP</v>
      </c>
      <c r="P613" t="str">
        <f t="shared" si="69"/>
        <v>PAGO</v>
      </c>
    </row>
    <row r="614" spans="3:16" ht="30" x14ac:dyDescent="0.25">
      <c r="C614" s="35">
        <f>AGOSTO!C69</f>
        <v>46266</v>
      </c>
      <c r="D614" s="35" t="str">
        <f>AGOSTO!D69</f>
        <v>DESPESAS COM PRODUTOS</v>
      </c>
      <c r="E614" s="35" t="str">
        <f>AGOSTO!E69</f>
        <v>-</v>
      </c>
      <c r="F614" s="67">
        <f>AGOSTO!G69</f>
        <v>0</v>
      </c>
      <c r="G614" s="68">
        <f>AGOSTO!H69</f>
        <v>0</v>
      </c>
      <c r="H614" s="37">
        <f>AGOSTO!I69</f>
        <v>46267</v>
      </c>
      <c r="I614" s="34" t="str">
        <f>AGOSTO!O69</f>
        <v>DESPESAS</v>
      </c>
      <c r="J614">
        <f t="shared" si="64"/>
        <v>1</v>
      </c>
      <c r="K614">
        <f t="shared" si="65"/>
        <v>9</v>
      </c>
      <c r="L614" t="str">
        <f t="shared" si="66"/>
        <v>SEP</v>
      </c>
      <c r="M614">
        <f t="shared" si="67"/>
        <v>2</v>
      </c>
      <c r="N614">
        <f t="shared" si="68"/>
        <v>9</v>
      </c>
      <c r="O614" t="str">
        <f t="shared" si="70"/>
        <v>SEP</v>
      </c>
      <c r="P614" t="str">
        <f t="shared" si="69"/>
        <v>PAGO</v>
      </c>
    </row>
    <row r="615" spans="3:16" ht="30" x14ac:dyDescent="0.25">
      <c r="C615" s="35">
        <f>AGOSTO!C70</f>
        <v>46267</v>
      </c>
      <c r="D615" s="35" t="str">
        <f>AGOSTO!D70</f>
        <v>DESPESAS COM PRODUTOS</v>
      </c>
      <c r="E615" s="35" t="str">
        <f>AGOSTO!E70</f>
        <v>-</v>
      </c>
      <c r="F615" s="67">
        <f>AGOSTO!G70</f>
        <v>0</v>
      </c>
      <c r="G615" s="68">
        <f>AGOSTO!H70</f>
        <v>0</v>
      </c>
      <c r="H615" s="37">
        <f>AGOSTO!I70</f>
        <v>46268</v>
      </c>
      <c r="I615" s="34" t="str">
        <f>AGOSTO!O70</f>
        <v>DESPESAS</v>
      </c>
      <c r="J615">
        <f t="shared" si="64"/>
        <v>2</v>
      </c>
      <c r="K615">
        <f t="shared" si="65"/>
        <v>9</v>
      </c>
      <c r="L615" t="str">
        <f t="shared" si="66"/>
        <v>SEP</v>
      </c>
      <c r="M615">
        <f t="shared" si="67"/>
        <v>3</v>
      </c>
      <c r="N615">
        <f t="shared" si="68"/>
        <v>9</v>
      </c>
      <c r="O615" t="str">
        <f t="shared" si="70"/>
        <v>SEP</v>
      </c>
      <c r="P615" t="str">
        <f t="shared" si="69"/>
        <v>PAGO</v>
      </c>
    </row>
    <row r="616" spans="3:16" ht="30" x14ac:dyDescent="0.25">
      <c r="C616" s="35">
        <f>AGOSTO!C71</f>
        <v>46268</v>
      </c>
      <c r="D616" s="35" t="str">
        <f>AGOSTO!D71</f>
        <v>DESPESAS COM PRODUTOS</v>
      </c>
      <c r="E616" s="35" t="str">
        <f>AGOSTO!E71</f>
        <v>-</v>
      </c>
      <c r="F616" s="67">
        <f>AGOSTO!G71</f>
        <v>0</v>
      </c>
      <c r="G616" s="68">
        <f>AGOSTO!H71</f>
        <v>0</v>
      </c>
      <c r="H616" s="37">
        <f>AGOSTO!I71</f>
        <v>46269</v>
      </c>
      <c r="I616" s="34" t="str">
        <f>AGOSTO!O71</f>
        <v>DESPESAS</v>
      </c>
      <c r="J616">
        <f t="shared" si="64"/>
        <v>3</v>
      </c>
      <c r="K616">
        <f t="shared" si="65"/>
        <v>9</v>
      </c>
      <c r="L616" t="str">
        <f t="shared" si="66"/>
        <v>SEP</v>
      </c>
      <c r="M616">
        <f t="shared" si="67"/>
        <v>4</v>
      </c>
      <c r="N616">
        <f t="shared" si="68"/>
        <v>9</v>
      </c>
      <c r="O616" t="str">
        <f t="shared" si="70"/>
        <v>SEP</v>
      </c>
      <c r="P616" t="str">
        <f t="shared" si="69"/>
        <v>PAGO</v>
      </c>
    </row>
    <row r="617" spans="3:16" ht="30" x14ac:dyDescent="0.25">
      <c r="C617" s="35">
        <f>AGOSTO!C72</f>
        <v>46269</v>
      </c>
      <c r="D617" s="35" t="str">
        <f>AGOSTO!D72</f>
        <v>DESPESAS COM PRODUTOS</v>
      </c>
      <c r="E617" s="35" t="str">
        <f>AGOSTO!E72</f>
        <v>-</v>
      </c>
      <c r="F617" s="67">
        <f>AGOSTO!G72</f>
        <v>0</v>
      </c>
      <c r="G617" s="68">
        <f>AGOSTO!H72</f>
        <v>0</v>
      </c>
      <c r="H617" s="37">
        <f>AGOSTO!I72</f>
        <v>46270</v>
      </c>
      <c r="I617" s="34" t="str">
        <f>AGOSTO!O72</f>
        <v>DESPESAS</v>
      </c>
      <c r="J617">
        <f t="shared" si="64"/>
        <v>4</v>
      </c>
      <c r="K617">
        <f t="shared" si="65"/>
        <v>9</v>
      </c>
      <c r="L617" t="str">
        <f t="shared" si="66"/>
        <v>SEP</v>
      </c>
      <c r="M617">
        <f t="shared" si="67"/>
        <v>5</v>
      </c>
      <c r="N617">
        <f t="shared" si="68"/>
        <v>9</v>
      </c>
      <c r="O617" t="str">
        <f t="shared" si="70"/>
        <v>SEP</v>
      </c>
      <c r="P617" t="str">
        <f t="shared" si="69"/>
        <v>PAGO</v>
      </c>
    </row>
    <row r="618" spans="3:16" ht="30" x14ac:dyDescent="0.25">
      <c r="C618" s="35">
        <f>AGOSTO!C73</f>
        <v>46270</v>
      </c>
      <c r="D618" s="35" t="str">
        <f>AGOSTO!D73</f>
        <v>DESPESAS COM PRODUTOS</v>
      </c>
      <c r="E618" s="35" t="str">
        <f>AGOSTO!E73</f>
        <v>-</v>
      </c>
      <c r="F618" s="67">
        <f>AGOSTO!G73</f>
        <v>0</v>
      </c>
      <c r="G618" s="68">
        <f>AGOSTO!H73</f>
        <v>0</v>
      </c>
      <c r="H618" s="37">
        <f>AGOSTO!I73</f>
        <v>46271</v>
      </c>
      <c r="I618" s="34" t="str">
        <f>AGOSTO!O73</f>
        <v>DESPESAS</v>
      </c>
      <c r="J618">
        <f t="shared" si="64"/>
        <v>5</v>
      </c>
      <c r="K618">
        <f t="shared" si="65"/>
        <v>9</v>
      </c>
      <c r="L618" t="str">
        <f t="shared" si="66"/>
        <v>SEP</v>
      </c>
      <c r="M618">
        <f t="shared" si="67"/>
        <v>6</v>
      </c>
      <c r="N618">
        <f t="shared" si="68"/>
        <v>9</v>
      </c>
      <c r="O618" t="str">
        <f t="shared" si="70"/>
        <v>SEP</v>
      </c>
      <c r="P618" t="str">
        <f t="shared" si="69"/>
        <v>PAGO</v>
      </c>
    </row>
    <row r="619" spans="3:16" ht="30" x14ac:dyDescent="0.25">
      <c r="C619" s="35">
        <f>AGOSTO!C74</f>
        <v>46271</v>
      </c>
      <c r="D619" s="35" t="str">
        <f>AGOSTO!D74</f>
        <v>DESPESAS COM PRODUTOS</v>
      </c>
      <c r="E619" s="35" t="str">
        <f>AGOSTO!E74</f>
        <v>-</v>
      </c>
      <c r="F619" s="67">
        <f>AGOSTO!G74</f>
        <v>0</v>
      </c>
      <c r="G619" s="68">
        <f>AGOSTO!H74</f>
        <v>0</v>
      </c>
      <c r="H619" s="37">
        <f>AGOSTO!I74</f>
        <v>46272</v>
      </c>
      <c r="I619" s="34" t="str">
        <f>AGOSTO!O74</f>
        <v>DESPESAS</v>
      </c>
      <c r="J619">
        <f t="shared" si="64"/>
        <v>6</v>
      </c>
      <c r="K619">
        <f t="shared" si="65"/>
        <v>9</v>
      </c>
      <c r="L619" t="str">
        <f t="shared" si="66"/>
        <v>SEP</v>
      </c>
      <c r="M619">
        <f t="shared" si="67"/>
        <v>7</v>
      </c>
      <c r="N619">
        <f t="shared" si="68"/>
        <v>9</v>
      </c>
      <c r="O619" t="str">
        <f t="shared" si="70"/>
        <v>SEP</v>
      </c>
      <c r="P619" t="str">
        <f t="shared" si="69"/>
        <v>PAGO</v>
      </c>
    </row>
    <row r="620" spans="3:16" ht="30" x14ac:dyDescent="0.25">
      <c r="C620" s="35">
        <f>AGOSTO!C75</f>
        <v>46272</v>
      </c>
      <c r="D620" s="35" t="str">
        <f>AGOSTO!D75</f>
        <v>DESPESAS COM PRODUTOS</v>
      </c>
      <c r="E620" s="35" t="str">
        <f>AGOSTO!E75</f>
        <v>-</v>
      </c>
      <c r="F620" s="67">
        <f>AGOSTO!G75</f>
        <v>0</v>
      </c>
      <c r="G620" s="68">
        <f>AGOSTO!H75</f>
        <v>0</v>
      </c>
      <c r="H620" s="37">
        <f>AGOSTO!I75</f>
        <v>46273</v>
      </c>
      <c r="I620" s="34" t="str">
        <f>AGOSTO!O75</f>
        <v>DESPESAS</v>
      </c>
      <c r="J620">
        <f t="shared" si="64"/>
        <v>7</v>
      </c>
      <c r="K620">
        <f t="shared" si="65"/>
        <v>9</v>
      </c>
      <c r="L620" t="str">
        <f t="shared" si="66"/>
        <v>SEP</v>
      </c>
      <c r="M620">
        <f t="shared" si="67"/>
        <v>8</v>
      </c>
      <c r="N620">
        <f t="shared" si="68"/>
        <v>9</v>
      </c>
      <c r="O620" t="str">
        <f t="shared" si="70"/>
        <v>SEP</v>
      </c>
      <c r="P620" t="str">
        <f t="shared" si="69"/>
        <v>PAGO</v>
      </c>
    </row>
    <row r="621" spans="3:16" ht="30" x14ac:dyDescent="0.25">
      <c r="C621" s="35">
        <f>AGOSTO!C76</f>
        <v>46273</v>
      </c>
      <c r="D621" s="35" t="str">
        <f>AGOSTO!D76</f>
        <v>DESPESAS COM PRODUTOS</v>
      </c>
      <c r="E621" s="35" t="str">
        <f>AGOSTO!E76</f>
        <v>-</v>
      </c>
      <c r="F621" s="67">
        <f>AGOSTO!G76</f>
        <v>0</v>
      </c>
      <c r="G621" s="68">
        <f>AGOSTO!H76</f>
        <v>0</v>
      </c>
      <c r="H621" s="37">
        <f>AGOSTO!I76</f>
        <v>46274</v>
      </c>
      <c r="I621" s="34" t="str">
        <f>AGOSTO!O76</f>
        <v>DESPESAS</v>
      </c>
      <c r="J621">
        <f t="shared" si="64"/>
        <v>8</v>
      </c>
      <c r="K621">
        <f t="shared" si="65"/>
        <v>9</v>
      </c>
      <c r="L621" t="str">
        <f t="shared" si="66"/>
        <v>SEP</v>
      </c>
      <c r="M621">
        <f t="shared" si="67"/>
        <v>9</v>
      </c>
      <c r="N621">
        <f t="shared" si="68"/>
        <v>9</v>
      </c>
      <c r="O621" t="str">
        <f t="shared" si="70"/>
        <v>SEP</v>
      </c>
      <c r="P621" t="str">
        <f t="shared" si="69"/>
        <v>PAGO</v>
      </c>
    </row>
    <row r="622" spans="3:16" ht="30" x14ac:dyDescent="0.25">
      <c r="C622" s="35">
        <f>AGOSTO!C77</f>
        <v>46274</v>
      </c>
      <c r="D622" s="35" t="str">
        <f>AGOSTO!D77</f>
        <v>DESPESAS COM PRODUTOS</v>
      </c>
      <c r="E622" s="35" t="str">
        <f>AGOSTO!E77</f>
        <v>-</v>
      </c>
      <c r="F622" s="67">
        <f>AGOSTO!G77</f>
        <v>0</v>
      </c>
      <c r="G622" s="68">
        <f>AGOSTO!H77</f>
        <v>0</v>
      </c>
      <c r="H622" s="37">
        <f>AGOSTO!I77</f>
        <v>46275</v>
      </c>
      <c r="I622" s="34" t="str">
        <f>AGOSTO!O77</f>
        <v>DESPESAS</v>
      </c>
      <c r="J622">
        <f t="shared" si="64"/>
        <v>9</v>
      </c>
      <c r="K622">
        <f t="shared" si="65"/>
        <v>9</v>
      </c>
      <c r="L622" t="str">
        <f t="shared" si="66"/>
        <v>SEP</v>
      </c>
      <c r="M622">
        <f t="shared" si="67"/>
        <v>10</v>
      </c>
      <c r="N622">
        <f t="shared" si="68"/>
        <v>9</v>
      </c>
      <c r="O622" t="str">
        <f t="shared" si="70"/>
        <v>SEP</v>
      </c>
      <c r="P622" t="str">
        <f t="shared" si="69"/>
        <v>PAGO</v>
      </c>
    </row>
    <row r="623" spans="3:16" ht="30" x14ac:dyDescent="0.25">
      <c r="C623" s="35">
        <f>AGOSTO!C78</f>
        <v>46275</v>
      </c>
      <c r="D623" s="35" t="str">
        <f>AGOSTO!D78</f>
        <v>DESPESAS COM PRODUTOS</v>
      </c>
      <c r="E623" s="35" t="str">
        <f>AGOSTO!E78</f>
        <v>-</v>
      </c>
      <c r="F623" s="67">
        <f>AGOSTO!G78</f>
        <v>0</v>
      </c>
      <c r="G623" s="68">
        <f>AGOSTO!H78</f>
        <v>0</v>
      </c>
      <c r="H623" s="37">
        <f>AGOSTO!I78</f>
        <v>46276</v>
      </c>
      <c r="I623" s="34" t="str">
        <f>AGOSTO!O78</f>
        <v>DESPESAS</v>
      </c>
      <c r="J623">
        <f t="shared" si="64"/>
        <v>10</v>
      </c>
      <c r="K623">
        <f t="shared" si="65"/>
        <v>9</v>
      </c>
      <c r="L623" t="str">
        <f t="shared" si="66"/>
        <v>SEP</v>
      </c>
      <c r="M623">
        <f t="shared" si="67"/>
        <v>11</v>
      </c>
      <c r="N623">
        <f t="shared" si="68"/>
        <v>9</v>
      </c>
      <c r="O623" t="str">
        <f t="shared" si="70"/>
        <v>SEP</v>
      </c>
      <c r="P623" t="str">
        <f t="shared" si="69"/>
        <v>PAGO</v>
      </c>
    </row>
    <row r="624" spans="3:16" ht="30" x14ac:dyDescent="0.25">
      <c r="C624" s="35">
        <f>AGOSTO!C79</f>
        <v>46276</v>
      </c>
      <c r="D624" s="35" t="str">
        <f>AGOSTO!D79</f>
        <v>DESPESAS COM PRODUTOS</v>
      </c>
      <c r="E624" s="35" t="str">
        <f>AGOSTO!E79</f>
        <v>-</v>
      </c>
      <c r="F624" s="67">
        <f>AGOSTO!G79</f>
        <v>0</v>
      </c>
      <c r="G624" s="68">
        <f>AGOSTO!H79</f>
        <v>0</v>
      </c>
      <c r="H624" s="37">
        <f>AGOSTO!I79</f>
        <v>46277</v>
      </c>
      <c r="I624" s="34" t="str">
        <f>AGOSTO!O79</f>
        <v>DESPESAS</v>
      </c>
      <c r="J624">
        <f t="shared" si="64"/>
        <v>11</v>
      </c>
      <c r="K624">
        <f t="shared" si="65"/>
        <v>9</v>
      </c>
      <c r="L624" t="str">
        <f t="shared" si="66"/>
        <v>SEP</v>
      </c>
      <c r="M624">
        <f t="shared" si="67"/>
        <v>12</v>
      </c>
      <c r="N624">
        <f t="shared" si="68"/>
        <v>9</v>
      </c>
      <c r="O624" t="str">
        <f t="shared" si="70"/>
        <v>SEP</v>
      </c>
      <c r="P624" t="str">
        <f t="shared" si="69"/>
        <v>PAGO</v>
      </c>
    </row>
    <row r="625" spans="2:16" ht="30" x14ac:dyDescent="0.25">
      <c r="C625" s="35">
        <f>AGOSTO!C80</f>
        <v>46277</v>
      </c>
      <c r="D625" s="35" t="str">
        <f>AGOSTO!D80</f>
        <v>DESPESAS COM PRODUTOS</v>
      </c>
      <c r="E625" s="35" t="str">
        <f>AGOSTO!E80</f>
        <v>-</v>
      </c>
      <c r="F625" s="67" t="str">
        <f>AGOSTO!G80</f>
        <v>BENFICA</v>
      </c>
      <c r="G625" s="68">
        <f>AGOSTO!H80</f>
        <v>0</v>
      </c>
      <c r="H625" s="37">
        <f>AGOSTO!I80</f>
        <v>46278</v>
      </c>
      <c r="I625" s="34" t="str">
        <f>AGOSTO!O80</f>
        <v>DESPESAS</v>
      </c>
      <c r="J625">
        <f t="shared" si="64"/>
        <v>12</v>
      </c>
      <c r="K625">
        <f t="shared" si="65"/>
        <v>9</v>
      </c>
      <c r="L625" t="str">
        <f t="shared" si="66"/>
        <v>SEP</v>
      </c>
      <c r="M625">
        <f t="shared" si="67"/>
        <v>13</v>
      </c>
      <c r="N625">
        <f t="shared" si="68"/>
        <v>9</v>
      </c>
      <c r="O625" t="str">
        <f t="shared" si="70"/>
        <v>SEP</v>
      </c>
      <c r="P625" t="str">
        <f t="shared" si="69"/>
        <v>PAGO</v>
      </c>
    </row>
    <row r="626" spans="2:16" ht="30" x14ac:dyDescent="0.25">
      <c r="C626" s="35">
        <f>AGOSTO!C81</f>
        <v>46278</v>
      </c>
      <c r="D626" s="35" t="str">
        <f>AGOSTO!D81</f>
        <v>DESPESAS COM PRODUTOS</v>
      </c>
      <c r="E626" s="35" t="str">
        <f>AGOSTO!E81</f>
        <v>-</v>
      </c>
      <c r="F626" s="67">
        <f>AGOSTO!G81</f>
        <v>0</v>
      </c>
      <c r="G626" s="68">
        <f>AGOSTO!H81</f>
        <v>0</v>
      </c>
      <c r="H626" s="37">
        <f>AGOSTO!I81</f>
        <v>46279</v>
      </c>
      <c r="I626" s="34" t="str">
        <f>AGOSTO!O81</f>
        <v>DESPESAS</v>
      </c>
      <c r="J626">
        <f t="shared" si="64"/>
        <v>13</v>
      </c>
      <c r="K626">
        <f t="shared" si="65"/>
        <v>9</v>
      </c>
      <c r="L626" t="str">
        <f t="shared" si="66"/>
        <v>SEP</v>
      </c>
      <c r="M626">
        <f t="shared" si="67"/>
        <v>14</v>
      </c>
      <c r="N626">
        <f t="shared" si="68"/>
        <v>9</v>
      </c>
      <c r="O626" t="str">
        <f t="shared" si="70"/>
        <v>SEP</v>
      </c>
      <c r="P626" t="str">
        <f t="shared" si="69"/>
        <v>PAGO</v>
      </c>
    </row>
    <row r="627" spans="2:16" ht="30" x14ac:dyDescent="0.25">
      <c r="C627" s="35">
        <f>AGOSTO!C82</f>
        <v>46279</v>
      </c>
      <c r="D627" s="35" t="str">
        <f>AGOSTO!D82</f>
        <v>DESPESAS COM PRODUTOS</v>
      </c>
      <c r="E627" s="35" t="str">
        <f>AGOSTO!E82</f>
        <v>-</v>
      </c>
      <c r="F627" s="67">
        <f>AGOSTO!G82</f>
        <v>0</v>
      </c>
      <c r="G627" s="68">
        <f>AGOSTO!H82</f>
        <v>0</v>
      </c>
      <c r="H627" s="37">
        <f>AGOSTO!I82</f>
        <v>46280</v>
      </c>
      <c r="I627" s="34" t="str">
        <f>AGOSTO!O82</f>
        <v>DESPESAS</v>
      </c>
      <c r="J627">
        <f t="shared" si="64"/>
        <v>14</v>
      </c>
      <c r="K627">
        <f t="shared" si="65"/>
        <v>9</v>
      </c>
      <c r="L627" t="str">
        <f t="shared" si="66"/>
        <v>SEP</v>
      </c>
      <c r="M627">
        <f t="shared" si="67"/>
        <v>15</v>
      </c>
      <c r="N627">
        <f t="shared" si="68"/>
        <v>9</v>
      </c>
      <c r="O627" t="str">
        <f t="shared" si="70"/>
        <v>SEP</v>
      </c>
      <c r="P627" t="str">
        <f t="shared" si="69"/>
        <v>PAGO</v>
      </c>
    </row>
    <row r="628" spans="2:16" ht="30" x14ac:dyDescent="0.25">
      <c r="C628" s="35">
        <f>AGOSTO!C83</f>
        <v>46280</v>
      </c>
      <c r="D628" s="35" t="str">
        <f>AGOSTO!D83</f>
        <v>DESPESAS COM PRODUTOS</v>
      </c>
      <c r="E628" s="35" t="str">
        <f>AGOSTO!E83</f>
        <v>-</v>
      </c>
      <c r="F628" s="67">
        <f>AGOSTO!G83</f>
        <v>0</v>
      </c>
      <c r="G628" s="68">
        <f>AGOSTO!H83</f>
        <v>0</v>
      </c>
      <c r="H628" s="37">
        <f>AGOSTO!I83</f>
        <v>46281</v>
      </c>
      <c r="I628" s="34" t="str">
        <f>AGOSTO!O83</f>
        <v>DESPESAS</v>
      </c>
      <c r="J628">
        <f t="shared" si="64"/>
        <v>15</v>
      </c>
      <c r="K628">
        <f t="shared" si="65"/>
        <v>9</v>
      </c>
      <c r="L628" t="str">
        <f t="shared" si="66"/>
        <v>SEP</v>
      </c>
      <c r="M628">
        <f t="shared" si="67"/>
        <v>16</v>
      </c>
      <c r="N628">
        <f t="shared" si="68"/>
        <v>9</v>
      </c>
      <c r="O628" t="str">
        <f t="shared" si="70"/>
        <v>SEP</v>
      </c>
      <c r="P628" t="str">
        <f t="shared" si="69"/>
        <v>PAGO</v>
      </c>
    </row>
    <row r="629" spans="2:16" ht="30" x14ac:dyDescent="0.25">
      <c r="C629" s="35">
        <f>AGOSTO!C84</f>
        <v>46281</v>
      </c>
      <c r="D629" s="35" t="str">
        <f>AGOSTO!D84</f>
        <v>DESPESAS COM PRODUTOS</v>
      </c>
      <c r="E629" s="35" t="str">
        <f>AGOSTO!E84</f>
        <v>-</v>
      </c>
      <c r="F629" s="67">
        <f>AGOSTO!G84</f>
        <v>0</v>
      </c>
      <c r="G629" s="68">
        <f>AGOSTO!H84</f>
        <v>0</v>
      </c>
      <c r="H629" s="37">
        <f>AGOSTO!I84</f>
        <v>46282</v>
      </c>
      <c r="I629" s="34" t="str">
        <f>AGOSTO!O84</f>
        <v>DESPESAS</v>
      </c>
      <c r="J629">
        <f t="shared" si="64"/>
        <v>16</v>
      </c>
      <c r="K629">
        <f t="shared" si="65"/>
        <v>9</v>
      </c>
      <c r="L629" t="str">
        <f t="shared" si="66"/>
        <v>SEP</v>
      </c>
      <c r="M629">
        <f t="shared" si="67"/>
        <v>17</v>
      </c>
      <c r="N629">
        <f t="shared" si="68"/>
        <v>9</v>
      </c>
      <c r="O629" t="str">
        <f t="shared" si="70"/>
        <v>SEP</v>
      </c>
      <c r="P629" t="str">
        <f t="shared" si="69"/>
        <v>PAGO</v>
      </c>
    </row>
    <row r="630" spans="2:16" x14ac:dyDescent="0.25">
      <c r="B630" s="44" t="s">
        <v>95</v>
      </c>
      <c r="C630" s="35">
        <f>SETEMBRO!C7</f>
        <v>46023</v>
      </c>
      <c r="D630" s="35" t="str">
        <f>SETEMBRO!D7</f>
        <v>RECEITAS COM SERVIÇOS</v>
      </c>
      <c r="E630" s="35" t="str">
        <f>SETEMBRO!E7</f>
        <v>-</v>
      </c>
      <c r="F630" s="67" t="str">
        <f>SETEMBRO!G7</f>
        <v>ZANGO 3</v>
      </c>
      <c r="G630" s="68">
        <f>SETEMBRO!H7</f>
        <v>1</v>
      </c>
      <c r="H630" s="37">
        <f>SETEMBRO!I7</f>
        <v>46266</v>
      </c>
      <c r="I630" s="34" t="str">
        <f>SETEMBRO!O7</f>
        <v>RECEITAS</v>
      </c>
      <c r="J630">
        <f t="shared" si="64"/>
        <v>1</v>
      </c>
      <c r="K630">
        <f t="shared" si="65"/>
        <v>1</v>
      </c>
      <c r="L630" t="str">
        <f t="shared" si="66"/>
        <v>JAN</v>
      </c>
      <c r="M630">
        <f t="shared" si="67"/>
        <v>1</v>
      </c>
      <c r="N630">
        <f t="shared" si="68"/>
        <v>9</v>
      </c>
      <c r="O630" t="str">
        <f t="shared" si="70"/>
        <v>SEP</v>
      </c>
      <c r="P630" t="str">
        <f t="shared" si="69"/>
        <v>PAGO</v>
      </c>
    </row>
    <row r="631" spans="2:16" ht="30" x14ac:dyDescent="0.25">
      <c r="C631" s="35">
        <f>SETEMBRO!C8</f>
        <v>46024</v>
      </c>
      <c r="D631" s="35" t="str">
        <f>SETEMBRO!D8</f>
        <v>DESPESAS COM MARKETING</v>
      </c>
      <c r="E631" s="35" t="str">
        <f>SETEMBRO!E8</f>
        <v>-</v>
      </c>
      <c r="F631" s="67" t="str">
        <f>SETEMBRO!G8</f>
        <v>ZANGO 4</v>
      </c>
      <c r="G631" s="68">
        <f>SETEMBRO!H8</f>
        <v>2</v>
      </c>
      <c r="H631" s="37">
        <f>SETEMBRO!I8</f>
        <v>46267</v>
      </c>
      <c r="I631" s="34" t="str">
        <f>SETEMBRO!O8</f>
        <v>DESPESAS</v>
      </c>
      <c r="J631">
        <f t="shared" si="64"/>
        <v>2</v>
      </c>
      <c r="K631">
        <f t="shared" si="65"/>
        <v>1</v>
      </c>
      <c r="L631" t="str">
        <f t="shared" si="66"/>
        <v>JAN</v>
      </c>
      <c r="M631">
        <f t="shared" si="67"/>
        <v>2</v>
      </c>
      <c r="N631">
        <f t="shared" si="68"/>
        <v>9</v>
      </c>
      <c r="O631" t="str">
        <f t="shared" si="70"/>
        <v>SEP</v>
      </c>
      <c r="P631" t="str">
        <f t="shared" si="69"/>
        <v>PAGO</v>
      </c>
    </row>
    <row r="632" spans="2:16" ht="30" x14ac:dyDescent="0.25">
      <c r="C632" s="35">
        <f>SETEMBRO!C9</f>
        <v>46025</v>
      </c>
      <c r="D632" s="35" t="str">
        <f>SETEMBRO!D9</f>
        <v>RECEITAS COM PRODUTOS</v>
      </c>
      <c r="E632" s="35" t="str">
        <f>SETEMBRO!E9</f>
        <v>MARKETING OFFLINE</v>
      </c>
      <c r="F632" s="67" t="str">
        <f>SETEMBRO!G9</f>
        <v>ZANGO 5</v>
      </c>
      <c r="G632" s="68">
        <f>SETEMBRO!H9</f>
        <v>3</v>
      </c>
      <c r="H632" s="37">
        <f>SETEMBRO!I9</f>
        <v>46268</v>
      </c>
      <c r="I632" s="34" t="str">
        <f>SETEMBRO!O9</f>
        <v>RECEITAS</v>
      </c>
      <c r="J632">
        <f t="shared" si="64"/>
        <v>3</v>
      </c>
      <c r="K632">
        <f t="shared" si="65"/>
        <v>1</v>
      </c>
      <c r="L632" t="str">
        <f t="shared" si="66"/>
        <v>JAN</v>
      </c>
      <c r="M632">
        <f t="shared" si="67"/>
        <v>3</v>
      </c>
      <c r="N632">
        <f t="shared" si="68"/>
        <v>9</v>
      </c>
      <c r="O632" t="str">
        <f t="shared" si="70"/>
        <v>SEP</v>
      </c>
      <c r="P632" t="str">
        <f t="shared" si="69"/>
        <v>PAGO</v>
      </c>
    </row>
    <row r="633" spans="2:16" ht="30" x14ac:dyDescent="0.25">
      <c r="C633" s="35">
        <f>SETEMBRO!C10</f>
        <v>46026</v>
      </c>
      <c r="D633" s="35" t="str">
        <f>SETEMBRO!D10</f>
        <v>DESPESAS COM PRODUTOS</v>
      </c>
      <c r="E633" s="35" t="str">
        <f>SETEMBRO!E10</f>
        <v>-</v>
      </c>
      <c r="F633" s="67" t="str">
        <f>SETEMBRO!G10</f>
        <v>ZANGO 6</v>
      </c>
      <c r="G633" s="68">
        <f>SETEMBRO!H10</f>
        <v>4</v>
      </c>
      <c r="H633" s="37">
        <f>SETEMBRO!I10</f>
        <v>46269</v>
      </c>
      <c r="I633" s="34" t="str">
        <f>SETEMBRO!O10</f>
        <v>DESPESAS</v>
      </c>
      <c r="J633">
        <f t="shared" si="64"/>
        <v>4</v>
      </c>
      <c r="K633">
        <f t="shared" si="65"/>
        <v>1</v>
      </c>
      <c r="L633" t="str">
        <f t="shared" si="66"/>
        <v>JAN</v>
      </c>
      <c r="M633">
        <f t="shared" si="67"/>
        <v>4</v>
      </c>
      <c r="N633">
        <f t="shared" si="68"/>
        <v>9</v>
      </c>
      <c r="O633" t="str">
        <f t="shared" si="70"/>
        <v>SEP</v>
      </c>
      <c r="P633" t="str">
        <f t="shared" si="69"/>
        <v>PAGO</v>
      </c>
    </row>
    <row r="634" spans="2:16" ht="30" x14ac:dyDescent="0.25">
      <c r="C634" s="35">
        <f>SETEMBRO!C11</f>
        <v>46027</v>
      </c>
      <c r="D634" s="35" t="str">
        <f>SETEMBRO!D11</f>
        <v>DESPESAS COM PRODUTOS</v>
      </c>
      <c r="E634" s="35" t="str">
        <f>SETEMBRO!E11</f>
        <v>-</v>
      </c>
      <c r="F634" s="67" t="str">
        <f>SETEMBRO!G11</f>
        <v>ZANGO 7</v>
      </c>
      <c r="G634" s="68">
        <f>SETEMBRO!H11</f>
        <v>5</v>
      </c>
      <c r="H634" s="37">
        <f>SETEMBRO!I11</f>
        <v>46270</v>
      </c>
      <c r="I634" s="34" t="str">
        <f>SETEMBRO!O11</f>
        <v>DESPESAS</v>
      </c>
      <c r="J634">
        <f t="shared" si="64"/>
        <v>5</v>
      </c>
      <c r="K634">
        <f t="shared" si="65"/>
        <v>1</v>
      </c>
      <c r="L634" t="str">
        <f t="shared" si="66"/>
        <v>JAN</v>
      </c>
      <c r="M634">
        <f t="shared" si="67"/>
        <v>5</v>
      </c>
      <c r="N634">
        <f t="shared" si="68"/>
        <v>9</v>
      </c>
      <c r="O634" t="str">
        <f t="shared" si="70"/>
        <v>SEP</v>
      </c>
      <c r="P634" t="str">
        <f t="shared" si="69"/>
        <v>PAGO</v>
      </c>
    </row>
    <row r="635" spans="2:16" ht="30" x14ac:dyDescent="0.25">
      <c r="C635" s="35">
        <f>SETEMBRO!C12</f>
        <v>46028</v>
      </c>
      <c r="D635" s="35" t="str">
        <f>SETEMBRO!D12</f>
        <v>DESPESAS COM PRODUTOS</v>
      </c>
      <c r="E635" s="35" t="str">
        <f>SETEMBRO!E12</f>
        <v>-</v>
      </c>
      <c r="F635" s="67" t="str">
        <f>SETEMBRO!G12</f>
        <v>BENFICA</v>
      </c>
      <c r="G635" s="68">
        <f>SETEMBRO!H12</f>
        <v>6</v>
      </c>
      <c r="H635" s="37">
        <f>SETEMBRO!I12</f>
        <v>46271</v>
      </c>
      <c r="I635" s="34" t="str">
        <f>SETEMBRO!O12</f>
        <v>DESPESAS</v>
      </c>
      <c r="J635">
        <f t="shared" si="64"/>
        <v>6</v>
      </c>
      <c r="K635">
        <f t="shared" si="65"/>
        <v>1</v>
      </c>
      <c r="L635" t="str">
        <f t="shared" si="66"/>
        <v>JAN</v>
      </c>
      <c r="M635">
        <f t="shared" si="67"/>
        <v>6</v>
      </c>
      <c r="N635">
        <f t="shared" si="68"/>
        <v>9</v>
      </c>
      <c r="O635" t="str">
        <f t="shared" si="70"/>
        <v>SEP</v>
      </c>
      <c r="P635" t="str">
        <f t="shared" si="69"/>
        <v>PAGO</v>
      </c>
    </row>
    <row r="636" spans="2:16" ht="30" x14ac:dyDescent="0.25">
      <c r="C636" s="35">
        <f>SETEMBRO!C13</f>
        <v>46029</v>
      </c>
      <c r="D636" s="35" t="str">
        <f>SETEMBRO!D13</f>
        <v>DESPESAS COM PRODUTOS</v>
      </c>
      <c r="E636" s="35" t="str">
        <f>SETEMBRO!E13</f>
        <v>-</v>
      </c>
      <c r="F636" s="67">
        <f>SETEMBRO!G13</f>
        <v>0</v>
      </c>
      <c r="G636" s="68">
        <f>SETEMBRO!H13</f>
        <v>7</v>
      </c>
      <c r="H636" s="37">
        <f>SETEMBRO!I13</f>
        <v>46272</v>
      </c>
      <c r="I636" s="34" t="str">
        <f>SETEMBRO!O13</f>
        <v>DESPESAS</v>
      </c>
      <c r="J636">
        <f t="shared" si="64"/>
        <v>7</v>
      </c>
      <c r="K636">
        <f t="shared" si="65"/>
        <v>1</v>
      </c>
      <c r="L636" t="str">
        <f t="shared" si="66"/>
        <v>JAN</v>
      </c>
      <c r="M636">
        <f t="shared" si="67"/>
        <v>7</v>
      </c>
      <c r="N636">
        <f t="shared" si="68"/>
        <v>9</v>
      </c>
      <c r="O636" t="str">
        <f t="shared" si="70"/>
        <v>SEP</v>
      </c>
      <c r="P636" t="str">
        <f t="shared" si="69"/>
        <v>PAGO</v>
      </c>
    </row>
    <row r="637" spans="2:16" x14ac:dyDescent="0.25">
      <c r="C637" s="35">
        <f>SETEMBRO!C14</f>
        <v>46030</v>
      </c>
      <c r="D637" s="35" t="str">
        <f>SETEMBRO!D14</f>
        <v>DESPESAS COM RH</v>
      </c>
      <c r="E637" s="35" t="str">
        <f>SETEMBRO!E14</f>
        <v>ACTUALIZAÇÕES</v>
      </c>
      <c r="F637" s="67">
        <f>SETEMBRO!G14</f>
        <v>0</v>
      </c>
      <c r="G637" s="68">
        <f>SETEMBRO!H14</f>
        <v>8</v>
      </c>
      <c r="H637" s="37">
        <f>SETEMBRO!I14</f>
        <v>46273</v>
      </c>
      <c r="I637" s="34" t="str">
        <f>SETEMBRO!O14</f>
        <v>DESPESAS</v>
      </c>
      <c r="J637">
        <f t="shared" si="64"/>
        <v>8</v>
      </c>
      <c r="K637">
        <f t="shared" si="65"/>
        <v>1</v>
      </c>
      <c r="L637" t="str">
        <f t="shared" si="66"/>
        <v>JAN</v>
      </c>
      <c r="M637">
        <f t="shared" si="67"/>
        <v>8</v>
      </c>
      <c r="N637">
        <f t="shared" si="68"/>
        <v>9</v>
      </c>
      <c r="O637" t="str">
        <f t="shared" si="70"/>
        <v>SEP</v>
      </c>
      <c r="P637" t="str">
        <f t="shared" si="69"/>
        <v>PAGO</v>
      </c>
    </row>
    <row r="638" spans="2:16" x14ac:dyDescent="0.25">
      <c r="C638" s="35">
        <f>SETEMBRO!C15</f>
        <v>46031</v>
      </c>
      <c r="D638" s="35" t="str">
        <f>SETEMBRO!D15</f>
        <v>RECEITAS COM SERVIÇOS</v>
      </c>
      <c r="E638" s="35" t="str">
        <f>SETEMBRO!E15</f>
        <v>-</v>
      </c>
      <c r="F638" s="67">
        <f>SETEMBRO!G15</f>
        <v>0</v>
      </c>
      <c r="G638" s="68">
        <f>SETEMBRO!H15</f>
        <v>9</v>
      </c>
      <c r="H638" s="37">
        <f>SETEMBRO!I15</f>
        <v>46274</v>
      </c>
      <c r="I638" s="34" t="str">
        <f>SETEMBRO!O15</f>
        <v>RECEITAS</v>
      </c>
      <c r="J638">
        <f t="shared" si="64"/>
        <v>9</v>
      </c>
      <c r="K638">
        <f t="shared" si="65"/>
        <v>1</v>
      </c>
      <c r="L638" t="str">
        <f t="shared" si="66"/>
        <v>JAN</v>
      </c>
      <c r="M638">
        <f t="shared" si="67"/>
        <v>9</v>
      </c>
      <c r="N638">
        <f t="shared" si="68"/>
        <v>9</v>
      </c>
      <c r="O638" t="str">
        <f t="shared" si="70"/>
        <v>SEP</v>
      </c>
      <c r="P638" t="str">
        <f t="shared" si="69"/>
        <v>PAGO</v>
      </c>
    </row>
    <row r="639" spans="2:16" ht="30" x14ac:dyDescent="0.25">
      <c r="C639" s="35">
        <f>SETEMBRO!C16</f>
        <v>46032</v>
      </c>
      <c r="D639" s="35" t="str">
        <f>SETEMBRO!D16</f>
        <v>DESPESAS COM MARKETING</v>
      </c>
      <c r="E639" s="35" t="str">
        <f>SETEMBRO!E16</f>
        <v>-</v>
      </c>
      <c r="F639" s="67">
        <f>SETEMBRO!G16</f>
        <v>0</v>
      </c>
      <c r="G639" s="68">
        <f>SETEMBRO!H16</f>
        <v>10</v>
      </c>
      <c r="H639" s="37">
        <f>SETEMBRO!I16</f>
        <v>46275</v>
      </c>
      <c r="I639" s="34" t="str">
        <f>SETEMBRO!O16</f>
        <v>DESPESAS</v>
      </c>
      <c r="J639">
        <f t="shared" si="64"/>
        <v>10</v>
      </c>
      <c r="K639">
        <f t="shared" si="65"/>
        <v>1</v>
      </c>
      <c r="L639" t="str">
        <f t="shared" si="66"/>
        <v>JAN</v>
      </c>
      <c r="M639">
        <f t="shared" si="67"/>
        <v>10</v>
      </c>
      <c r="N639">
        <f t="shared" si="68"/>
        <v>9</v>
      </c>
      <c r="O639" t="str">
        <f t="shared" si="70"/>
        <v>SEP</v>
      </c>
      <c r="P639" t="str">
        <f t="shared" si="69"/>
        <v>PAGO</v>
      </c>
    </row>
    <row r="640" spans="2:16" ht="30" x14ac:dyDescent="0.25">
      <c r="C640" s="35">
        <f>SETEMBRO!C17</f>
        <v>46033</v>
      </c>
      <c r="D640" s="35" t="str">
        <f>SETEMBRO!D17</f>
        <v>DESPESAS OPERACIONAIS</v>
      </c>
      <c r="E640" s="35" t="str">
        <f>SETEMBRO!E17</f>
        <v>ESTUDIOS GRAVAÇÃO</v>
      </c>
      <c r="F640" s="67">
        <f>SETEMBRO!G17</f>
        <v>0</v>
      </c>
      <c r="G640" s="68">
        <f>SETEMBRO!H17</f>
        <v>11</v>
      </c>
      <c r="H640" s="37">
        <f>SETEMBRO!I17</f>
        <v>46276</v>
      </c>
      <c r="I640" s="34" t="str">
        <f>SETEMBRO!O17</f>
        <v>DESPESAS</v>
      </c>
      <c r="J640">
        <f t="shared" si="64"/>
        <v>11</v>
      </c>
      <c r="K640">
        <f t="shared" si="65"/>
        <v>1</v>
      </c>
      <c r="L640" t="str">
        <f t="shared" si="66"/>
        <v>JAN</v>
      </c>
      <c r="M640">
        <f t="shared" si="67"/>
        <v>11</v>
      </c>
      <c r="N640">
        <f t="shared" si="68"/>
        <v>9</v>
      </c>
      <c r="O640" t="str">
        <f t="shared" si="70"/>
        <v>SEP</v>
      </c>
      <c r="P640" t="str">
        <f t="shared" si="69"/>
        <v>PAGO</v>
      </c>
    </row>
    <row r="641" spans="3:16" ht="30" x14ac:dyDescent="0.25">
      <c r="C641" s="35">
        <f>SETEMBRO!C18</f>
        <v>46034</v>
      </c>
      <c r="D641" s="35" t="str">
        <f>SETEMBRO!D18</f>
        <v>DESPESAS COM PRODUTOS</v>
      </c>
      <c r="E641" s="35" t="str">
        <f>SETEMBRO!E18</f>
        <v>-</v>
      </c>
      <c r="F641" s="67" t="str">
        <f>SETEMBRO!G18</f>
        <v>CALEMBA 2</v>
      </c>
      <c r="G641" s="68">
        <f>SETEMBRO!H18</f>
        <v>12</v>
      </c>
      <c r="H641" s="37">
        <f>SETEMBRO!I18</f>
        <v>46277</v>
      </c>
      <c r="I641" s="34" t="str">
        <f>SETEMBRO!O18</f>
        <v>DESPESAS</v>
      </c>
      <c r="J641">
        <f t="shared" si="64"/>
        <v>12</v>
      </c>
      <c r="K641">
        <f t="shared" si="65"/>
        <v>1</v>
      </c>
      <c r="L641" t="str">
        <f t="shared" si="66"/>
        <v>JAN</v>
      </c>
      <c r="M641">
        <f t="shared" si="67"/>
        <v>12</v>
      </c>
      <c r="N641">
        <f t="shared" si="68"/>
        <v>9</v>
      </c>
      <c r="O641" t="str">
        <f t="shared" si="70"/>
        <v>SEP</v>
      </c>
      <c r="P641" t="str">
        <f t="shared" si="69"/>
        <v>PAGO</v>
      </c>
    </row>
    <row r="642" spans="3:16" ht="30" x14ac:dyDescent="0.25">
      <c r="C642" s="35">
        <f>SETEMBRO!C19</f>
        <v>46035</v>
      </c>
      <c r="D642" s="35" t="str">
        <f>SETEMBRO!D19</f>
        <v>DESPESAS COM PRODUTOS</v>
      </c>
      <c r="E642" s="35" t="str">
        <f>SETEMBRO!E19</f>
        <v>-</v>
      </c>
      <c r="F642" s="67">
        <f>SETEMBRO!G19</f>
        <v>0</v>
      </c>
      <c r="G642" s="68">
        <f>SETEMBRO!H19</f>
        <v>13</v>
      </c>
      <c r="H642" s="37">
        <f>SETEMBRO!I19</f>
        <v>46278</v>
      </c>
      <c r="I642" s="34" t="str">
        <f>SETEMBRO!O19</f>
        <v>DESPESAS</v>
      </c>
      <c r="J642">
        <f t="shared" si="64"/>
        <v>13</v>
      </c>
      <c r="K642">
        <f t="shared" si="65"/>
        <v>1</v>
      </c>
      <c r="L642" t="str">
        <f t="shared" si="66"/>
        <v>JAN</v>
      </c>
      <c r="M642">
        <f t="shared" si="67"/>
        <v>13</v>
      </c>
      <c r="N642">
        <f t="shared" si="68"/>
        <v>9</v>
      </c>
      <c r="O642" t="str">
        <f t="shared" si="70"/>
        <v>SEP</v>
      </c>
      <c r="P642" t="str">
        <f t="shared" si="69"/>
        <v>PAGO</v>
      </c>
    </row>
    <row r="643" spans="3:16" ht="30" x14ac:dyDescent="0.25">
      <c r="C643" s="35">
        <f>SETEMBRO!C20</f>
        <v>46036</v>
      </c>
      <c r="D643" s="35" t="str">
        <f>SETEMBRO!D20</f>
        <v>DESPESAS COM PRODUTOS</v>
      </c>
      <c r="E643" s="35" t="str">
        <f>SETEMBRO!E20</f>
        <v>-</v>
      </c>
      <c r="F643" s="67">
        <f>SETEMBRO!G20</f>
        <v>0</v>
      </c>
      <c r="G643" s="68">
        <f>SETEMBRO!H20</f>
        <v>14</v>
      </c>
      <c r="H643" s="37">
        <f>SETEMBRO!I20</f>
        <v>46279</v>
      </c>
      <c r="I643" s="34" t="str">
        <f>SETEMBRO!O20</f>
        <v>DESPESAS</v>
      </c>
      <c r="J643">
        <f t="shared" si="64"/>
        <v>14</v>
      </c>
      <c r="K643">
        <f t="shared" si="65"/>
        <v>1</v>
      </c>
      <c r="L643" t="str">
        <f t="shared" si="66"/>
        <v>JAN</v>
      </c>
      <c r="M643">
        <f t="shared" si="67"/>
        <v>14</v>
      </c>
      <c r="N643">
        <f t="shared" si="68"/>
        <v>9</v>
      </c>
      <c r="O643" t="str">
        <f t="shared" si="70"/>
        <v>SEP</v>
      </c>
      <c r="P643" t="str">
        <f t="shared" si="69"/>
        <v>PAGO</v>
      </c>
    </row>
    <row r="644" spans="3:16" ht="30" x14ac:dyDescent="0.25">
      <c r="C644" s="35">
        <f>SETEMBRO!C21</f>
        <v>46037</v>
      </c>
      <c r="D644" s="35" t="str">
        <f>SETEMBRO!D21</f>
        <v>DESPESAS COM PRODUTOS</v>
      </c>
      <c r="E644" s="35" t="str">
        <f>SETEMBRO!E21</f>
        <v>-</v>
      </c>
      <c r="F644" s="67">
        <f>SETEMBRO!G21</f>
        <v>0</v>
      </c>
      <c r="G644" s="68">
        <f>SETEMBRO!H21</f>
        <v>15</v>
      </c>
      <c r="H644" s="37">
        <f>SETEMBRO!I21</f>
        <v>46280</v>
      </c>
      <c r="I644" s="34" t="str">
        <f>SETEMBRO!O21</f>
        <v>DESPESAS</v>
      </c>
      <c r="J644">
        <f t="shared" si="64"/>
        <v>15</v>
      </c>
      <c r="K644">
        <f t="shared" si="65"/>
        <v>1</v>
      </c>
      <c r="L644" t="str">
        <f t="shared" si="66"/>
        <v>JAN</v>
      </c>
      <c r="M644">
        <f t="shared" si="67"/>
        <v>15</v>
      </c>
      <c r="N644">
        <f t="shared" si="68"/>
        <v>9</v>
      </c>
      <c r="O644" t="str">
        <f t="shared" si="70"/>
        <v>SEP</v>
      </c>
      <c r="P644" t="str">
        <f t="shared" si="69"/>
        <v>PAGO</v>
      </c>
    </row>
    <row r="645" spans="3:16" ht="30" x14ac:dyDescent="0.25">
      <c r="C645" s="35">
        <f>SETEMBRO!C22</f>
        <v>46038</v>
      </c>
      <c r="D645" s="35" t="str">
        <f>SETEMBRO!D22</f>
        <v>DESPESAS COM PRODUTOS</v>
      </c>
      <c r="E645" s="35" t="str">
        <f>SETEMBRO!E22</f>
        <v>-</v>
      </c>
      <c r="F645" s="67">
        <f>SETEMBRO!G22</f>
        <v>0</v>
      </c>
      <c r="G645" s="68">
        <f>SETEMBRO!H22</f>
        <v>16</v>
      </c>
      <c r="H645" s="37">
        <f>SETEMBRO!I22</f>
        <v>46281</v>
      </c>
      <c r="I645" s="34" t="str">
        <f>SETEMBRO!O22</f>
        <v>DESPESAS</v>
      </c>
      <c r="J645">
        <f t="shared" si="64"/>
        <v>16</v>
      </c>
      <c r="K645">
        <f t="shared" si="65"/>
        <v>1</v>
      </c>
      <c r="L645" t="str">
        <f t="shared" si="66"/>
        <v>JAN</v>
      </c>
      <c r="M645">
        <f t="shared" si="67"/>
        <v>16</v>
      </c>
      <c r="N645">
        <f t="shared" si="68"/>
        <v>9</v>
      </c>
      <c r="O645" t="str">
        <f t="shared" si="70"/>
        <v>SEP</v>
      </c>
      <c r="P645" t="str">
        <f t="shared" si="69"/>
        <v>PAGO</v>
      </c>
    </row>
    <row r="646" spans="3:16" ht="30" x14ac:dyDescent="0.25">
      <c r="C646" s="35">
        <f>SETEMBRO!C23</f>
        <v>46039</v>
      </c>
      <c r="D646" s="35" t="str">
        <f>SETEMBRO!D23</f>
        <v>DESPESAS COM PRODUTOS</v>
      </c>
      <c r="E646" s="35" t="str">
        <f>SETEMBRO!E23</f>
        <v>-</v>
      </c>
      <c r="F646" s="67">
        <f>SETEMBRO!G23</f>
        <v>0</v>
      </c>
      <c r="G646" s="68">
        <f>SETEMBRO!H23</f>
        <v>17</v>
      </c>
      <c r="H646" s="37">
        <f>SETEMBRO!I23</f>
        <v>46282</v>
      </c>
      <c r="I646" s="34" t="str">
        <f>SETEMBRO!O23</f>
        <v>DESPESAS</v>
      </c>
      <c r="J646">
        <f t="shared" si="64"/>
        <v>17</v>
      </c>
      <c r="K646">
        <f t="shared" si="65"/>
        <v>1</v>
      </c>
      <c r="L646" t="str">
        <f t="shared" si="66"/>
        <v>JAN</v>
      </c>
      <c r="M646">
        <f t="shared" si="67"/>
        <v>17</v>
      </c>
      <c r="N646">
        <f t="shared" si="68"/>
        <v>9</v>
      </c>
      <c r="O646" t="str">
        <f t="shared" si="70"/>
        <v>SEP</v>
      </c>
      <c r="P646" t="str">
        <f t="shared" si="69"/>
        <v>PAGO</v>
      </c>
    </row>
    <row r="647" spans="3:16" ht="30" x14ac:dyDescent="0.25">
      <c r="C647" s="35">
        <f>SETEMBRO!C24</f>
        <v>46040</v>
      </c>
      <c r="D647" s="35" t="str">
        <f>SETEMBRO!D24</f>
        <v>DESPESAS COM PRODUTOS</v>
      </c>
      <c r="E647" s="35" t="str">
        <f>SETEMBRO!E24</f>
        <v>-</v>
      </c>
      <c r="F647" s="67">
        <f>SETEMBRO!G24</f>
        <v>0</v>
      </c>
      <c r="G647" s="68">
        <f>SETEMBRO!H24</f>
        <v>18</v>
      </c>
      <c r="H647" s="37">
        <f>SETEMBRO!I24</f>
        <v>46283</v>
      </c>
      <c r="I647" s="34" t="str">
        <f>SETEMBRO!O24</f>
        <v>DESPESAS</v>
      </c>
      <c r="J647">
        <f t="shared" ref="J647:J710" si="71">DAY(C647)</f>
        <v>18</v>
      </c>
      <c r="K647">
        <f t="shared" ref="K647:K710" si="72">IF(C647 = 0, " ",MONTH(C647))</f>
        <v>1</v>
      </c>
      <c r="L647" t="str">
        <f t="shared" ref="L647:L710" si="73">IFERROR(VLOOKUP(K647,$R$6:$S$17,2),"")</f>
        <v>JAN</v>
      </c>
      <c r="M647">
        <f t="shared" ref="M647:M710" si="74">DAY(H647)</f>
        <v>18</v>
      </c>
      <c r="N647">
        <f t="shared" ref="N647:N710" si="75">IF(H647 = 0, " ",MONTH(H647))</f>
        <v>9</v>
      </c>
      <c r="O647" t="str">
        <f t="shared" si="70"/>
        <v>SEP</v>
      </c>
      <c r="P647" t="str">
        <f t="shared" ref="P647:P710" si="76">IF(H647=0,"NAO PAGO","PAGO")</f>
        <v>PAGO</v>
      </c>
    </row>
    <row r="648" spans="3:16" ht="30" x14ac:dyDescent="0.25">
      <c r="C648" s="35">
        <f>SETEMBRO!C25</f>
        <v>46041</v>
      </c>
      <c r="D648" s="35" t="str">
        <f>SETEMBRO!D25</f>
        <v>DESPESAS COM PRODUTOS</v>
      </c>
      <c r="E648" s="35" t="str">
        <f>SETEMBRO!E25</f>
        <v>-</v>
      </c>
      <c r="F648" s="67">
        <f>SETEMBRO!G25</f>
        <v>0</v>
      </c>
      <c r="G648" s="68">
        <f>SETEMBRO!H25</f>
        <v>19</v>
      </c>
      <c r="H648" s="37">
        <f>SETEMBRO!I25</f>
        <v>46284</v>
      </c>
      <c r="I648" s="34" t="str">
        <f>SETEMBRO!O25</f>
        <v>DESPESAS</v>
      </c>
      <c r="J648">
        <f t="shared" si="71"/>
        <v>19</v>
      </c>
      <c r="K648">
        <f t="shared" si="72"/>
        <v>1</v>
      </c>
      <c r="L648" t="str">
        <f t="shared" si="73"/>
        <v>JAN</v>
      </c>
      <c r="M648">
        <f t="shared" si="74"/>
        <v>19</v>
      </c>
      <c r="N648">
        <f t="shared" si="75"/>
        <v>9</v>
      </c>
      <c r="O648" t="str">
        <f t="shared" si="70"/>
        <v>SEP</v>
      </c>
      <c r="P648" t="str">
        <f t="shared" si="76"/>
        <v>PAGO</v>
      </c>
    </row>
    <row r="649" spans="3:16" ht="30" x14ac:dyDescent="0.25">
      <c r="C649" s="35">
        <f>SETEMBRO!C26</f>
        <v>46042</v>
      </c>
      <c r="D649" s="35" t="str">
        <f>SETEMBRO!D26</f>
        <v>DESPESAS COM PRODUTOS</v>
      </c>
      <c r="E649" s="35" t="str">
        <f>SETEMBRO!E26</f>
        <v>-</v>
      </c>
      <c r="F649" s="67">
        <f>SETEMBRO!G26</f>
        <v>0</v>
      </c>
      <c r="G649" s="68">
        <f>SETEMBRO!H26</f>
        <v>20</v>
      </c>
      <c r="H649" s="37">
        <f>SETEMBRO!I26</f>
        <v>46285</v>
      </c>
      <c r="I649" s="34" t="str">
        <f>SETEMBRO!O26</f>
        <v>DESPESAS</v>
      </c>
      <c r="J649">
        <f t="shared" si="71"/>
        <v>20</v>
      </c>
      <c r="K649">
        <f t="shared" si="72"/>
        <v>1</v>
      </c>
      <c r="L649" t="str">
        <f t="shared" si="73"/>
        <v>JAN</v>
      </c>
      <c r="M649">
        <f t="shared" si="74"/>
        <v>20</v>
      </c>
      <c r="N649">
        <f t="shared" si="75"/>
        <v>9</v>
      </c>
      <c r="O649" t="str">
        <f t="shared" si="70"/>
        <v>SEP</v>
      </c>
      <c r="P649" t="str">
        <f t="shared" si="76"/>
        <v>PAGO</v>
      </c>
    </row>
    <row r="650" spans="3:16" ht="30" x14ac:dyDescent="0.25">
      <c r="C650" s="35">
        <f>SETEMBRO!C27</f>
        <v>46043</v>
      </c>
      <c r="D650" s="35" t="str">
        <f>SETEMBRO!D27</f>
        <v>DESPESAS COM PRODUTOS</v>
      </c>
      <c r="E650" s="35" t="str">
        <f>SETEMBRO!E27</f>
        <v>-</v>
      </c>
      <c r="F650" s="67">
        <f>SETEMBRO!G27</f>
        <v>0</v>
      </c>
      <c r="G650" s="68">
        <f>SETEMBRO!H27</f>
        <v>21</v>
      </c>
      <c r="H650" s="37">
        <f>SETEMBRO!I27</f>
        <v>46286</v>
      </c>
      <c r="I650" s="34" t="str">
        <f>SETEMBRO!O27</f>
        <v>DESPESAS</v>
      </c>
      <c r="J650">
        <f t="shared" si="71"/>
        <v>21</v>
      </c>
      <c r="K650">
        <f t="shared" si="72"/>
        <v>1</v>
      </c>
      <c r="L650" t="str">
        <f t="shared" si="73"/>
        <v>JAN</v>
      </c>
      <c r="M650">
        <f t="shared" si="74"/>
        <v>21</v>
      </c>
      <c r="N650">
        <f t="shared" si="75"/>
        <v>9</v>
      </c>
      <c r="O650" t="str">
        <f t="shared" si="70"/>
        <v>SEP</v>
      </c>
      <c r="P650" t="str">
        <f t="shared" si="76"/>
        <v>PAGO</v>
      </c>
    </row>
    <row r="651" spans="3:16" ht="30" x14ac:dyDescent="0.25">
      <c r="C651" s="35">
        <f>SETEMBRO!C28</f>
        <v>46044</v>
      </c>
      <c r="D651" s="35" t="str">
        <f>SETEMBRO!D28</f>
        <v>DESPESAS COM PRODUTOS</v>
      </c>
      <c r="E651" s="35" t="str">
        <f>SETEMBRO!E28</f>
        <v>-</v>
      </c>
      <c r="F651" s="67">
        <f>SETEMBRO!G28</f>
        <v>0</v>
      </c>
      <c r="G651" s="68">
        <f>SETEMBRO!H28</f>
        <v>22</v>
      </c>
      <c r="H651" s="37">
        <f>SETEMBRO!I28</f>
        <v>46287</v>
      </c>
      <c r="I651" s="34" t="str">
        <f>SETEMBRO!O28</f>
        <v>DESPESAS</v>
      </c>
      <c r="J651">
        <f t="shared" si="71"/>
        <v>22</v>
      </c>
      <c r="K651">
        <f t="shared" si="72"/>
        <v>1</v>
      </c>
      <c r="L651" t="str">
        <f t="shared" si="73"/>
        <v>JAN</v>
      </c>
      <c r="M651">
        <f t="shared" si="74"/>
        <v>22</v>
      </c>
      <c r="N651">
        <f t="shared" si="75"/>
        <v>9</v>
      </c>
      <c r="O651" t="str">
        <f t="shared" si="70"/>
        <v>SEP</v>
      </c>
      <c r="P651" t="str">
        <f t="shared" si="76"/>
        <v>PAGO</v>
      </c>
    </row>
    <row r="652" spans="3:16" ht="30" x14ac:dyDescent="0.25">
      <c r="C652" s="35">
        <f>SETEMBRO!C29</f>
        <v>46045</v>
      </c>
      <c r="D652" s="35" t="str">
        <f>SETEMBRO!D29</f>
        <v>DESPESAS COM PRODUTOS</v>
      </c>
      <c r="E652" s="35" t="str">
        <f>SETEMBRO!E29</f>
        <v>-</v>
      </c>
      <c r="F652" s="67">
        <f>SETEMBRO!G29</f>
        <v>0</v>
      </c>
      <c r="G652" s="68">
        <f>SETEMBRO!H29</f>
        <v>23</v>
      </c>
      <c r="H652" s="37">
        <f>SETEMBRO!I29</f>
        <v>46288</v>
      </c>
      <c r="I652" s="34" t="str">
        <f>SETEMBRO!O29</f>
        <v>DESPESAS</v>
      </c>
      <c r="J652">
        <f t="shared" si="71"/>
        <v>23</v>
      </c>
      <c r="K652">
        <f t="shared" si="72"/>
        <v>1</v>
      </c>
      <c r="L652" t="str">
        <f t="shared" si="73"/>
        <v>JAN</v>
      </c>
      <c r="M652">
        <f t="shared" si="74"/>
        <v>23</v>
      </c>
      <c r="N652">
        <f t="shared" si="75"/>
        <v>9</v>
      </c>
      <c r="O652" t="str">
        <f t="shared" si="70"/>
        <v>SEP</v>
      </c>
      <c r="P652" t="str">
        <f t="shared" si="76"/>
        <v>PAGO</v>
      </c>
    </row>
    <row r="653" spans="3:16" ht="30" x14ac:dyDescent="0.25">
      <c r="C653" s="35">
        <f>SETEMBRO!C30</f>
        <v>46046</v>
      </c>
      <c r="D653" s="35" t="str">
        <f>SETEMBRO!D30</f>
        <v>DESPESAS COM PRODUTOS</v>
      </c>
      <c r="E653" s="35" t="str">
        <f>SETEMBRO!E30</f>
        <v>-</v>
      </c>
      <c r="F653" s="67">
        <f>SETEMBRO!G30</f>
        <v>0</v>
      </c>
      <c r="G653" s="68">
        <f>SETEMBRO!H30</f>
        <v>24</v>
      </c>
      <c r="H653" s="37">
        <f>SETEMBRO!I30</f>
        <v>46289</v>
      </c>
      <c r="I653" s="34" t="str">
        <f>SETEMBRO!O30</f>
        <v>DESPESAS</v>
      </c>
      <c r="J653">
        <f t="shared" si="71"/>
        <v>24</v>
      </c>
      <c r="K653">
        <f t="shared" si="72"/>
        <v>1</v>
      </c>
      <c r="L653" t="str">
        <f t="shared" si="73"/>
        <v>JAN</v>
      </c>
      <c r="M653">
        <f t="shared" si="74"/>
        <v>24</v>
      </c>
      <c r="N653">
        <f t="shared" si="75"/>
        <v>9</v>
      </c>
      <c r="O653" t="str">
        <f t="shared" si="70"/>
        <v>SEP</v>
      </c>
      <c r="P653" t="str">
        <f t="shared" si="76"/>
        <v>PAGO</v>
      </c>
    </row>
    <row r="654" spans="3:16" ht="30" x14ac:dyDescent="0.25">
      <c r="C654" s="35">
        <f>SETEMBRO!C31</f>
        <v>46047</v>
      </c>
      <c r="D654" s="35" t="str">
        <f>SETEMBRO!D31</f>
        <v>DESPESAS COM PRODUTOS</v>
      </c>
      <c r="E654" s="35" t="str">
        <f>SETEMBRO!E31</f>
        <v>-</v>
      </c>
      <c r="F654" s="67">
        <f>SETEMBRO!G31</f>
        <v>0</v>
      </c>
      <c r="G654" s="68">
        <f>SETEMBRO!H31</f>
        <v>25</v>
      </c>
      <c r="H654" s="37">
        <f>SETEMBRO!I31</f>
        <v>46290</v>
      </c>
      <c r="I654" s="34" t="str">
        <f>SETEMBRO!O31</f>
        <v>DESPESAS</v>
      </c>
      <c r="J654">
        <f t="shared" si="71"/>
        <v>25</v>
      </c>
      <c r="K654">
        <f t="shared" si="72"/>
        <v>1</v>
      </c>
      <c r="L654" t="str">
        <f t="shared" si="73"/>
        <v>JAN</v>
      </c>
      <c r="M654">
        <f t="shared" si="74"/>
        <v>25</v>
      </c>
      <c r="N654">
        <f t="shared" si="75"/>
        <v>9</v>
      </c>
      <c r="O654" t="str">
        <f t="shared" si="70"/>
        <v>SEP</v>
      </c>
      <c r="P654" t="str">
        <f t="shared" si="76"/>
        <v>PAGO</v>
      </c>
    </row>
    <row r="655" spans="3:16" ht="30" x14ac:dyDescent="0.25">
      <c r="C655" s="35">
        <f>SETEMBRO!C32</f>
        <v>46048</v>
      </c>
      <c r="D655" s="35" t="str">
        <f>SETEMBRO!D32</f>
        <v>DESPESAS COM PRODUTOS</v>
      </c>
      <c r="E655" s="35" t="str">
        <f>SETEMBRO!E32</f>
        <v>-</v>
      </c>
      <c r="F655" s="67">
        <f>SETEMBRO!G32</f>
        <v>0</v>
      </c>
      <c r="G655" s="68">
        <f>SETEMBRO!H32</f>
        <v>26</v>
      </c>
      <c r="H655" s="37">
        <f>SETEMBRO!I32</f>
        <v>46291</v>
      </c>
      <c r="I655" s="34" t="str">
        <f>SETEMBRO!O32</f>
        <v>DESPESAS</v>
      </c>
      <c r="J655">
        <f t="shared" si="71"/>
        <v>26</v>
      </c>
      <c r="K655">
        <f t="shared" si="72"/>
        <v>1</v>
      </c>
      <c r="L655" t="str">
        <f t="shared" si="73"/>
        <v>JAN</v>
      </c>
      <c r="M655">
        <f t="shared" si="74"/>
        <v>26</v>
      </c>
      <c r="N655">
        <f t="shared" si="75"/>
        <v>9</v>
      </c>
      <c r="O655" t="str">
        <f t="shared" si="70"/>
        <v>SEP</v>
      </c>
      <c r="P655" t="str">
        <f t="shared" si="76"/>
        <v>PAGO</v>
      </c>
    </row>
    <row r="656" spans="3:16" ht="30" x14ac:dyDescent="0.25">
      <c r="C656" s="35">
        <f>SETEMBRO!C33</f>
        <v>46049</v>
      </c>
      <c r="D656" s="35" t="str">
        <f>SETEMBRO!D33</f>
        <v>DESPESAS COM PRODUTOS</v>
      </c>
      <c r="E656" s="35" t="str">
        <f>SETEMBRO!E33</f>
        <v>-</v>
      </c>
      <c r="F656" s="67">
        <f>SETEMBRO!G33</f>
        <v>0</v>
      </c>
      <c r="G656" s="68">
        <f>SETEMBRO!H33</f>
        <v>27</v>
      </c>
      <c r="H656" s="37">
        <f>SETEMBRO!I33</f>
        <v>46292</v>
      </c>
      <c r="I656" s="34" t="str">
        <f>SETEMBRO!O33</f>
        <v>DESPESAS</v>
      </c>
      <c r="J656">
        <f t="shared" si="71"/>
        <v>27</v>
      </c>
      <c r="K656">
        <f t="shared" si="72"/>
        <v>1</v>
      </c>
      <c r="L656" t="str">
        <f t="shared" si="73"/>
        <v>JAN</v>
      </c>
      <c r="M656">
        <f t="shared" si="74"/>
        <v>27</v>
      </c>
      <c r="N656">
        <f t="shared" si="75"/>
        <v>9</v>
      </c>
      <c r="O656" t="str">
        <f t="shared" si="70"/>
        <v>SEP</v>
      </c>
      <c r="P656" t="str">
        <f t="shared" si="76"/>
        <v>PAGO</v>
      </c>
    </row>
    <row r="657" spans="3:16" ht="30" x14ac:dyDescent="0.25">
      <c r="C657" s="35">
        <f>SETEMBRO!C34</f>
        <v>46050</v>
      </c>
      <c r="D657" s="35" t="str">
        <f>SETEMBRO!D34</f>
        <v>DESPESAS COM PRODUTOS</v>
      </c>
      <c r="E657" s="35" t="str">
        <f>SETEMBRO!E34</f>
        <v>-</v>
      </c>
      <c r="F657" s="67">
        <f>SETEMBRO!G34</f>
        <v>0</v>
      </c>
      <c r="G657" s="68">
        <f>SETEMBRO!H34</f>
        <v>28</v>
      </c>
      <c r="H657" s="37">
        <f>SETEMBRO!I34</f>
        <v>46293</v>
      </c>
      <c r="I657" s="34" t="str">
        <f>SETEMBRO!O34</f>
        <v>DESPESAS</v>
      </c>
      <c r="J657">
        <f t="shared" si="71"/>
        <v>28</v>
      </c>
      <c r="K657">
        <f t="shared" si="72"/>
        <v>1</v>
      </c>
      <c r="L657" t="str">
        <f t="shared" si="73"/>
        <v>JAN</v>
      </c>
      <c r="M657">
        <f t="shared" si="74"/>
        <v>28</v>
      </c>
      <c r="N657">
        <f t="shared" si="75"/>
        <v>9</v>
      </c>
      <c r="O657" t="str">
        <f t="shared" si="70"/>
        <v>SEP</v>
      </c>
      <c r="P657" t="str">
        <f t="shared" si="76"/>
        <v>PAGO</v>
      </c>
    </row>
    <row r="658" spans="3:16" ht="30" x14ac:dyDescent="0.25">
      <c r="C658" s="35">
        <f>SETEMBRO!C35</f>
        <v>46051</v>
      </c>
      <c r="D658" s="35" t="str">
        <f>SETEMBRO!D35</f>
        <v>DESPESAS COM PRODUTOS</v>
      </c>
      <c r="E658" s="35" t="str">
        <f>SETEMBRO!E35</f>
        <v>-</v>
      </c>
      <c r="F658" s="67">
        <f>SETEMBRO!G35</f>
        <v>0</v>
      </c>
      <c r="G658" s="68">
        <f>SETEMBRO!H35</f>
        <v>29</v>
      </c>
      <c r="H658" s="37">
        <f>SETEMBRO!I35</f>
        <v>46294</v>
      </c>
      <c r="I658" s="34" t="str">
        <f>SETEMBRO!O35</f>
        <v>DESPESAS</v>
      </c>
      <c r="J658">
        <f t="shared" si="71"/>
        <v>29</v>
      </c>
      <c r="K658">
        <f t="shared" si="72"/>
        <v>1</v>
      </c>
      <c r="L658" t="str">
        <f t="shared" si="73"/>
        <v>JAN</v>
      </c>
      <c r="M658">
        <f t="shared" si="74"/>
        <v>29</v>
      </c>
      <c r="N658">
        <f t="shared" si="75"/>
        <v>9</v>
      </c>
      <c r="O658" t="str">
        <f t="shared" si="70"/>
        <v>SEP</v>
      </c>
      <c r="P658" t="str">
        <f t="shared" si="76"/>
        <v>PAGO</v>
      </c>
    </row>
    <row r="659" spans="3:16" ht="30" x14ac:dyDescent="0.25">
      <c r="C659" s="35">
        <f>SETEMBRO!C36</f>
        <v>46052</v>
      </c>
      <c r="D659" s="35" t="str">
        <f>SETEMBRO!D36</f>
        <v>DESPESAS COM PRODUTOS</v>
      </c>
      <c r="E659" s="35" t="str">
        <f>SETEMBRO!E36</f>
        <v>-</v>
      </c>
      <c r="F659" s="67">
        <f>SETEMBRO!G36</f>
        <v>0</v>
      </c>
      <c r="G659" s="68">
        <f>SETEMBRO!H36</f>
        <v>1</v>
      </c>
      <c r="H659" s="37">
        <f>SETEMBRO!I36</f>
        <v>46295</v>
      </c>
      <c r="I659" s="34" t="str">
        <f>SETEMBRO!O36</f>
        <v>DESPESAS</v>
      </c>
      <c r="J659">
        <f t="shared" si="71"/>
        <v>30</v>
      </c>
      <c r="K659">
        <f t="shared" si="72"/>
        <v>1</v>
      </c>
      <c r="L659" t="str">
        <f t="shared" si="73"/>
        <v>JAN</v>
      </c>
      <c r="M659">
        <f t="shared" si="74"/>
        <v>30</v>
      </c>
      <c r="N659">
        <f t="shared" si="75"/>
        <v>9</v>
      </c>
      <c r="O659" t="str">
        <f t="shared" si="70"/>
        <v>SEP</v>
      </c>
      <c r="P659" t="str">
        <f t="shared" si="76"/>
        <v>PAGO</v>
      </c>
    </row>
    <row r="660" spans="3:16" ht="30" x14ac:dyDescent="0.25">
      <c r="C660" s="35">
        <f>SETEMBRO!C37</f>
        <v>46053</v>
      </c>
      <c r="D660" s="35" t="str">
        <f>SETEMBRO!D37</f>
        <v>DESPESAS COM PRODUTOS</v>
      </c>
      <c r="E660" s="35" t="str">
        <f>SETEMBRO!E37</f>
        <v>-</v>
      </c>
      <c r="F660" s="67">
        <f>SETEMBRO!G37</f>
        <v>0</v>
      </c>
      <c r="G660" s="68">
        <f>SETEMBRO!H37</f>
        <v>2</v>
      </c>
      <c r="H660" s="37">
        <f>SETEMBRO!I37</f>
        <v>46296</v>
      </c>
      <c r="I660" s="34" t="str">
        <f>SETEMBRO!O37</f>
        <v>DESPESAS</v>
      </c>
      <c r="J660">
        <f t="shared" si="71"/>
        <v>31</v>
      </c>
      <c r="K660">
        <f t="shared" si="72"/>
        <v>1</v>
      </c>
      <c r="L660" t="str">
        <f t="shared" si="73"/>
        <v>JAN</v>
      </c>
      <c r="M660">
        <f t="shared" si="74"/>
        <v>1</v>
      </c>
      <c r="N660">
        <f t="shared" si="75"/>
        <v>10</v>
      </c>
      <c r="O660" t="str">
        <f t="shared" si="70"/>
        <v>OCT</v>
      </c>
      <c r="P660" t="str">
        <f t="shared" si="76"/>
        <v>PAGO</v>
      </c>
    </row>
    <row r="661" spans="3:16" ht="30" x14ac:dyDescent="0.25">
      <c r="C661" s="35">
        <f>SETEMBRO!C38</f>
        <v>46054</v>
      </c>
      <c r="D661" s="35" t="str">
        <f>SETEMBRO!D38</f>
        <v>DESPESAS COM PRODUTOS</v>
      </c>
      <c r="E661" s="35" t="str">
        <f>SETEMBRO!E38</f>
        <v>-</v>
      </c>
      <c r="F661" s="67">
        <f>SETEMBRO!G38</f>
        <v>0</v>
      </c>
      <c r="G661" s="68">
        <f>SETEMBRO!H38</f>
        <v>3</v>
      </c>
      <c r="H661" s="37">
        <f>SETEMBRO!I38</f>
        <v>46297</v>
      </c>
      <c r="I661" s="34" t="str">
        <f>SETEMBRO!O38</f>
        <v>DESPESAS</v>
      </c>
      <c r="J661">
        <f t="shared" si="71"/>
        <v>1</v>
      </c>
      <c r="K661">
        <f t="shared" si="72"/>
        <v>2</v>
      </c>
      <c r="L661" t="str">
        <f t="shared" si="73"/>
        <v>FEB</v>
      </c>
      <c r="M661">
        <f t="shared" si="74"/>
        <v>2</v>
      </c>
      <c r="N661">
        <f t="shared" si="75"/>
        <v>10</v>
      </c>
      <c r="O661" t="str">
        <f t="shared" si="70"/>
        <v>OCT</v>
      </c>
      <c r="P661" t="str">
        <f t="shared" si="76"/>
        <v>PAGO</v>
      </c>
    </row>
    <row r="662" spans="3:16" ht="30" x14ac:dyDescent="0.25">
      <c r="C662" s="35">
        <f>SETEMBRO!C39</f>
        <v>46055</v>
      </c>
      <c r="D662" s="35" t="str">
        <f>SETEMBRO!D39</f>
        <v>DESPESAS COM PRODUTOS</v>
      </c>
      <c r="E662" s="35" t="str">
        <f>SETEMBRO!E39</f>
        <v>-</v>
      </c>
      <c r="F662" s="67">
        <f>SETEMBRO!G39</f>
        <v>0</v>
      </c>
      <c r="G662" s="68">
        <f>SETEMBRO!H39</f>
        <v>4</v>
      </c>
      <c r="H662" s="37">
        <f>SETEMBRO!I39</f>
        <v>46298</v>
      </c>
      <c r="I662" s="34" t="str">
        <f>SETEMBRO!O39</f>
        <v>DESPESAS</v>
      </c>
      <c r="J662">
        <f t="shared" si="71"/>
        <v>2</v>
      </c>
      <c r="K662">
        <f t="shared" si="72"/>
        <v>2</v>
      </c>
      <c r="L662" t="str">
        <f t="shared" si="73"/>
        <v>FEB</v>
      </c>
      <c r="M662">
        <f t="shared" si="74"/>
        <v>3</v>
      </c>
      <c r="N662">
        <f t="shared" si="75"/>
        <v>10</v>
      </c>
      <c r="O662" t="str">
        <f t="shared" si="70"/>
        <v>OCT</v>
      </c>
      <c r="P662" t="str">
        <f t="shared" si="76"/>
        <v>PAGO</v>
      </c>
    </row>
    <row r="663" spans="3:16" ht="30" x14ac:dyDescent="0.25">
      <c r="C663" s="35">
        <f>SETEMBRO!C40</f>
        <v>46056</v>
      </c>
      <c r="D663" s="35" t="str">
        <f>SETEMBRO!D40</f>
        <v>DESPESAS COM PRODUTOS</v>
      </c>
      <c r="E663" s="35" t="str">
        <f>SETEMBRO!E40</f>
        <v>-</v>
      </c>
      <c r="F663" s="67">
        <f>SETEMBRO!G40</f>
        <v>0</v>
      </c>
      <c r="G663" s="68">
        <f>SETEMBRO!H40</f>
        <v>5</v>
      </c>
      <c r="H663" s="37">
        <f>SETEMBRO!I40</f>
        <v>46299</v>
      </c>
      <c r="I663" s="34" t="str">
        <f>SETEMBRO!O40</f>
        <v>DESPESAS</v>
      </c>
      <c r="J663">
        <f t="shared" si="71"/>
        <v>3</v>
      </c>
      <c r="K663">
        <f t="shared" si="72"/>
        <v>2</v>
      </c>
      <c r="L663" t="str">
        <f t="shared" si="73"/>
        <v>FEB</v>
      </c>
      <c r="M663">
        <f t="shared" si="74"/>
        <v>4</v>
      </c>
      <c r="N663">
        <f t="shared" si="75"/>
        <v>10</v>
      </c>
      <c r="O663" t="str">
        <f t="shared" ref="O663:O726" si="77">IFERROR(VLOOKUP(N663,$R$6:$S$17,2),"")</f>
        <v>OCT</v>
      </c>
      <c r="P663" t="str">
        <f t="shared" si="76"/>
        <v>PAGO</v>
      </c>
    </row>
    <row r="664" spans="3:16" ht="30" x14ac:dyDescent="0.25">
      <c r="C664" s="35">
        <f>SETEMBRO!C41</f>
        <v>46057</v>
      </c>
      <c r="D664" s="35" t="str">
        <f>SETEMBRO!D41</f>
        <v>DESPESAS COM PRODUTOS</v>
      </c>
      <c r="E664" s="35" t="str">
        <f>SETEMBRO!E41</f>
        <v>-</v>
      </c>
      <c r="F664" s="67">
        <f>SETEMBRO!G41</f>
        <v>0</v>
      </c>
      <c r="G664" s="68">
        <f>SETEMBRO!H41</f>
        <v>6</v>
      </c>
      <c r="H664" s="37">
        <f>SETEMBRO!I41</f>
        <v>46300</v>
      </c>
      <c r="I664" s="34" t="str">
        <f>SETEMBRO!O41</f>
        <v>DESPESAS</v>
      </c>
      <c r="J664">
        <f t="shared" si="71"/>
        <v>4</v>
      </c>
      <c r="K664">
        <f t="shared" si="72"/>
        <v>2</v>
      </c>
      <c r="L664" t="str">
        <f t="shared" si="73"/>
        <v>FEB</v>
      </c>
      <c r="M664">
        <f t="shared" si="74"/>
        <v>5</v>
      </c>
      <c r="N664">
        <f t="shared" si="75"/>
        <v>10</v>
      </c>
      <c r="O664" t="str">
        <f t="shared" si="77"/>
        <v>OCT</v>
      </c>
      <c r="P664" t="str">
        <f t="shared" si="76"/>
        <v>PAGO</v>
      </c>
    </row>
    <row r="665" spans="3:16" ht="30" x14ac:dyDescent="0.25">
      <c r="C665" s="35">
        <f>SETEMBRO!C42</f>
        <v>46058</v>
      </c>
      <c r="D665" s="35" t="str">
        <f>SETEMBRO!D42</f>
        <v>DESPESAS COM PRODUTOS</v>
      </c>
      <c r="E665" s="35" t="str">
        <f>SETEMBRO!E42</f>
        <v>-</v>
      </c>
      <c r="F665" s="67">
        <f>SETEMBRO!G42</f>
        <v>0</v>
      </c>
      <c r="G665" s="68">
        <f>SETEMBRO!H42</f>
        <v>7</v>
      </c>
      <c r="H665" s="37">
        <f>SETEMBRO!I42</f>
        <v>46301</v>
      </c>
      <c r="I665" s="34" t="str">
        <f>SETEMBRO!O42</f>
        <v>DESPESAS</v>
      </c>
      <c r="J665">
        <f t="shared" si="71"/>
        <v>5</v>
      </c>
      <c r="K665">
        <f t="shared" si="72"/>
        <v>2</v>
      </c>
      <c r="L665" t="str">
        <f t="shared" si="73"/>
        <v>FEB</v>
      </c>
      <c r="M665">
        <f t="shared" si="74"/>
        <v>6</v>
      </c>
      <c r="N665">
        <f t="shared" si="75"/>
        <v>10</v>
      </c>
      <c r="O665" t="str">
        <f t="shared" si="77"/>
        <v>OCT</v>
      </c>
      <c r="P665" t="str">
        <f t="shared" si="76"/>
        <v>PAGO</v>
      </c>
    </row>
    <row r="666" spans="3:16" ht="30" x14ac:dyDescent="0.25">
      <c r="C666" s="35">
        <f>SETEMBRO!C43</f>
        <v>46059</v>
      </c>
      <c r="D666" s="35" t="str">
        <f>SETEMBRO!D43</f>
        <v>DESPESAS COM PRODUTOS</v>
      </c>
      <c r="E666" s="35" t="str">
        <f>SETEMBRO!E43</f>
        <v>-</v>
      </c>
      <c r="F666" s="67">
        <f>SETEMBRO!G43</f>
        <v>0</v>
      </c>
      <c r="G666" s="68">
        <f>SETEMBRO!H43</f>
        <v>8</v>
      </c>
      <c r="H666" s="37">
        <f>SETEMBRO!I43</f>
        <v>46302</v>
      </c>
      <c r="I666" s="34" t="str">
        <f>SETEMBRO!O43</f>
        <v>DESPESAS</v>
      </c>
      <c r="J666">
        <f t="shared" si="71"/>
        <v>6</v>
      </c>
      <c r="K666">
        <f t="shared" si="72"/>
        <v>2</v>
      </c>
      <c r="L666" t="str">
        <f t="shared" si="73"/>
        <v>FEB</v>
      </c>
      <c r="M666">
        <f t="shared" si="74"/>
        <v>7</v>
      </c>
      <c r="N666">
        <f t="shared" si="75"/>
        <v>10</v>
      </c>
      <c r="O666" t="str">
        <f t="shared" si="77"/>
        <v>OCT</v>
      </c>
      <c r="P666" t="str">
        <f t="shared" si="76"/>
        <v>PAGO</v>
      </c>
    </row>
    <row r="667" spans="3:16" ht="30" x14ac:dyDescent="0.25">
      <c r="C667" s="35">
        <f>SETEMBRO!C44</f>
        <v>46060</v>
      </c>
      <c r="D667" s="35" t="str">
        <f>SETEMBRO!D44</f>
        <v>DESPESAS COM PRODUTOS</v>
      </c>
      <c r="E667" s="35" t="str">
        <f>SETEMBRO!E44</f>
        <v>-</v>
      </c>
      <c r="F667" s="67">
        <f>SETEMBRO!G44</f>
        <v>0</v>
      </c>
      <c r="G667" s="68">
        <f>SETEMBRO!H44</f>
        <v>9</v>
      </c>
      <c r="H667" s="37">
        <f>SETEMBRO!I44</f>
        <v>46303</v>
      </c>
      <c r="I667" s="34" t="str">
        <f>SETEMBRO!O44</f>
        <v>DESPESAS</v>
      </c>
      <c r="J667">
        <f t="shared" si="71"/>
        <v>7</v>
      </c>
      <c r="K667">
        <f t="shared" si="72"/>
        <v>2</v>
      </c>
      <c r="L667" t="str">
        <f t="shared" si="73"/>
        <v>FEB</v>
      </c>
      <c r="M667">
        <f t="shared" si="74"/>
        <v>8</v>
      </c>
      <c r="N667">
        <f t="shared" si="75"/>
        <v>10</v>
      </c>
      <c r="O667" t="str">
        <f t="shared" si="77"/>
        <v>OCT</v>
      </c>
      <c r="P667" t="str">
        <f t="shared" si="76"/>
        <v>PAGO</v>
      </c>
    </row>
    <row r="668" spans="3:16" ht="30" x14ac:dyDescent="0.25">
      <c r="C668" s="35">
        <f>SETEMBRO!C45</f>
        <v>46061</v>
      </c>
      <c r="D668" s="35" t="str">
        <f>SETEMBRO!D45</f>
        <v>DESPESAS COM PRODUTOS</v>
      </c>
      <c r="E668" s="35" t="str">
        <f>SETEMBRO!E45</f>
        <v>-</v>
      </c>
      <c r="F668" s="67">
        <f>SETEMBRO!G45</f>
        <v>0</v>
      </c>
      <c r="G668" s="68">
        <f>SETEMBRO!H45</f>
        <v>10</v>
      </c>
      <c r="H668" s="37">
        <f>SETEMBRO!I45</f>
        <v>46304</v>
      </c>
      <c r="I668" s="34" t="str">
        <f>SETEMBRO!O45</f>
        <v>DESPESAS</v>
      </c>
      <c r="J668">
        <f t="shared" si="71"/>
        <v>8</v>
      </c>
      <c r="K668">
        <f t="shared" si="72"/>
        <v>2</v>
      </c>
      <c r="L668" t="str">
        <f t="shared" si="73"/>
        <v>FEB</v>
      </c>
      <c r="M668">
        <f t="shared" si="74"/>
        <v>9</v>
      </c>
      <c r="N668">
        <f t="shared" si="75"/>
        <v>10</v>
      </c>
      <c r="O668" t="str">
        <f t="shared" si="77"/>
        <v>OCT</v>
      </c>
      <c r="P668" t="str">
        <f t="shared" si="76"/>
        <v>PAGO</v>
      </c>
    </row>
    <row r="669" spans="3:16" ht="30" x14ac:dyDescent="0.25">
      <c r="C669" s="35">
        <f>SETEMBRO!C46</f>
        <v>46062</v>
      </c>
      <c r="D669" s="35" t="str">
        <f>SETEMBRO!D46</f>
        <v>DESPESAS COM PRODUTOS</v>
      </c>
      <c r="E669" s="35" t="str">
        <f>SETEMBRO!E46</f>
        <v>-</v>
      </c>
      <c r="F669" s="67">
        <f>SETEMBRO!G46</f>
        <v>0</v>
      </c>
      <c r="G669" s="68">
        <f>SETEMBRO!H46</f>
        <v>11</v>
      </c>
      <c r="H669" s="37">
        <f>SETEMBRO!I46</f>
        <v>46305</v>
      </c>
      <c r="I669" s="34" t="str">
        <f>SETEMBRO!O46</f>
        <v>DESPESAS</v>
      </c>
      <c r="J669">
        <f t="shared" si="71"/>
        <v>9</v>
      </c>
      <c r="K669">
        <f t="shared" si="72"/>
        <v>2</v>
      </c>
      <c r="L669" t="str">
        <f t="shared" si="73"/>
        <v>FEB</v>
      </c>
      <c r="M669">
        <f t="shared" si="74"/>
        <v>10</v>
      </c>
      <c r="N669">
        <f t="shared" si="75"/>
        <v>10</v>
      </c>
      <c r="O669" t="str">
        <f t="shared" si="77"/>
        <v>OCT</v>
      </c>
      <c r="P669" t="str">
        <f t="shared" si="76"/>
        <v>PAGO</v>
      </c>
    </row>
    <row r="670" spans="3:16" ht="30" x14ac:dyDescent="0.25">
      <c r="C670" s="35">
        <f>SETEMBRO!C47</f>
        <v>46063</v>
      </c>
      <c r="D670" s="35" t="str">
        <f>SETEMBRO!D47</f>
        <v>DESPESAS COM PRODUTOS</v>
      </c>
      <c r="E670" s="35" t="str">
        <f>SETEMBRO!E47</f>
        <v>-</v>
      </c>
      <c r="F670" s="67">
        <f>SETEMBRO!G47</f>
        <v>0</v>
      </c>
      <c r="G670" s="68">
        <f>SETEMBRO!H47</f>
        <v>12</v>
      </c>
      <c r="H670" s="37">
        <f>SETEMBRO!I47</f>
        <v>46306</v>
      </c>
      <c r="I670" s="34" t="str">
        <f>SETEMBRO!O47</f>
        <v>DESPESAS</v>
      </c>
      <c r="J670">
        <f t="shared" si="71"/>
        <v>10</v>
      </c>
      <c r="K670">
        <f t="shared" si="72"/>
        <v>2</v>
      </c>
      <c r="L670" t="str">
        <f t="shared" si="73"/>
        <v>FEB</v>
      </c>
      <c r="M670">
        <f t="shared" si="74"/>
        <v>11</v>
      </c>
      <c r="N670">
        <f t="shared" si="75"/>
        <v>10</v>
      </c>
      <c r="O670" t="str">
        <f t="shared" si="77"/>
        <v>OCT</v>
      </c>
      <c r="P670" t="str">
        <f t="shared" si="76"/>
        <v>PAGO</v>
      </c>
    </row>
    <row r="671" spans="3:16" ht="30" x14ac:dyDescent="0.25">
      <c r="C671" s="35">
        <f>SETEMBRO!C48</f>
        <v>46064</v>
      </c>
      <c r="D671" s="35" t="str">
        <f>SETEMBRO!D48</f>
        <v>DESPESAS COM PRODUTOS</v>
      </c>
      <c r="E671" s="35" t="str">
        <f>SETEMBRO!E48</f>
        <v>-</v>
      </c>
      <c r="F671" s="67">
        <f>SETEMBRO!G48</f>
        <v>0</v>
      </c>
      <c r="G671" s="68">
        <f>SETEMBRO!H48</f>
        <v>13</v>
      </c>
      <c r="H671" s="37">
        <f>SETEMBRO!I48</f>
        <v>46307</v>
      </c>
      <c r="I671" s="34" t="str">
        <f>SETEMBRO!O48</f>
        <v>DESPESAS</v>
      </c>
      <c r="J671">
        <f t="shared" si="71"/>
        <v>11</v>
      </c>
      <c r="K671">
        <f t="shared" si="72"/>
        <v>2</v>
      </c>
      <c r="L671" t="str">
        <f t="shared" si="73"/>
        <v>FEB</v>
      </c>
      <c r="M671">
        <f t="shared" si="74"/>
        <v>12</v>
      </c>
      <c r="N671">
        <f t="shared" si="75"/>
        <v>10</v>
      </c>
      <c r="O671" t="str">
        <f t="shared" si="77"/>
        <v>OCT</v>
      </c>
      <c r="P671" t="str">
        <f t="shared" si="76"/>
        <v>PAGO</v>
      </c>
    </row>
    <row r="672" spans="3:16" ht="30" x14ac:dyDescent="0.25">
      <c r="C672" s="35">
        <f>SETEMBRO!C49</f>
        <v>46065</v>
      </c>
      <c r="D672" s="35" t="str">
        <f>SETEMBRO!D49</f>
        <v>DESPESAS COM PRODUTOS</v>
      </c>
      <c r="E672" s="35" t="str">
        <f>SETEMBRO!E49</f>
        <v>-</v>
      </c>
      <c r="F672" s="67">
        <f>SETEMBRO!G49</f>
        <v>0</v>
      </c>
      <c r="G672" s="68">
        <f>SETEMBRO!H49</f>
        <v>14</v>
      </c>
      <c r="H672" s="37">
        <f>SETEMBRO!I49</f>
        <v>46308</v>
      </c>
      <c r="I672" s="34" t="str">
        <f>SETEMBRO!O49</f>
        <v>DESPESAS</v>
      </c>
      <c r="J672">
        <f t="shared" si="71"/>
        <v>12</v>
      </c>
      <c r="K672">
        <f t="shared" si="72"/>
        <v>2</v>
      </c>
      <c r="L672" t="str">
        <f t="shared" si="73"/>
        <v>FEB</v>
      </c>
      <c r="M672">
        <f t="shared" si="74"/>
        <v>13</v>
      </c>
      <c r="N672">
        <f t="shared" si="75"/>
        <v>10</v>
      </c>
      <c r="O672" t="str">
        <f t="shared" si="77"/>
        <v>OCT</v>
      </c>
      <c r="P672" t="str">
        <f t="shared" si="76"/>
        <v>PAGO</v>
      </c>
    </row>
    <row r="673" spans="3:16" ht="30" x14ac:dyDescent="0.25">
      <c r="C673" s="35">
        <f>SETEMBRO!C50</f>
        <v>46066</v>
      </c>
      <c r="D673" s="35" t="str">
        <f>SETEMBRO!D50</f>
        <v>DESPESAS COM PRODUTOS</v>
      </c>
      <c r="E673" s="35" t="str">
        <f>SETEMBRO!E50</f>
        <v>-</v>
      </c>
      <c r="F673" s="67">
        <f>SETEMBRO!G50</f>
        <v>0</v>
      </c>
      <c r="G673" s="68">
        <f>SETEMBRO!H50</f>
        <v>15</v>
      </c>
      <c r="H673" s="37">
        <f>SETEMBRO!I50</f>
        <v>46309</v>
      </c>
      <c r="I673" s="34" t="str">
        <f>SETEMBRO!O50</f>
        <v>DESPESAS</v>
      </c>
      <c r="J673">
        <f t="shared" si="71"/>
        <v>13</v>
      </c>
      <c r="K673">
        <f t="shared" si="72"/>
        <v>2</v>
      </c>
      <c r="L673" t="str">
        <f t="shared" si="73"/>
        <v>FEB</v>
      </c>
      <c r="M673">
        <f t="shared" si="74"/>
        <v>14</v>
      </c>
      <c r="N673">
        <f t="shared" si="75"/>
        <v>10</v>
      </c>
      <c r="O673" t="str">
        <f t="shared" si="77"/>
        <v>OCT</v>
      </c>
      <c r="P673" t="str">
        <f t="shared" si="76"/>
        <v>PAGO</v>
      </c>
    </row>
    <row r="674" spans="3:16" ht="30" x14ac:dyDescent="0.25">
      <c r="C674" s="35">
        <f>SETEMBRO!C51</f>
        <v>46067</v>
      </c>
      <c r="D674" s="35" t="str">
        <f>SETEMBRO!D51</f>
        <v>DESPESAS COM PRODUTOS</v>
      </c>
      <c r="E674" s="35" t="str">
        <f>SETEMBRO!E51</f>
        <v>-</v>
      </c>
      <c r="F674" s="67">
        <f>SETEMBRO!G51</f>
        <v>0</v>
      </c>
      <c r="G674" s="68">
        <f>SETEMBRO!H51</f>
        <v>16</v>
      </c>
      <c r="H674" s="37">
        <f>SETEMBRO!I51</f>
        <v>46310</v>
      </c>
      <c r="I674" s="34" t="str">
        <f>SETEMBRO!O51</f>
        <v>DESPESAS</v>
      </c>
      <c r="J674">
        <f t="shared" si="71"/>
        <v>14</v>
      </c>
      <c r="K674">
        <f t="shared" si="72"/>
        <v>2</v>
      </c>
      <c r="L674" t="str">
        <f t="shared" si="73"/>
        <v>FEB</v>
      </c>
      <c r="M674">
        <f t="shared" si="74"/>
        <v>15</v>
      </c>
      <c r="N674">
        <f t="shared" si="75"/>
        <v>10</v>
      </c>
      <c r="O674" t="str">
        <f t="shared" si="77"/>
        <v>OCT</v>
      </c>
      <c r="P674" t="str">
        <f t="shared" si="76"/>
        <v>PAGO</v>
      </c>
    </row>
    <row r="675" spans="3:16" ht="30" x14ac:dyDescent="0.25">
      <c r="C675" s="35">
        <f>SETEMBRO!C52</f>
        <v>46068</v>
      </c>
      <c r="D675" s="35" t="str">
        <f>SETEMBRO!D52</f>
        <v>DESPESAS COM PRODUTOS</v>
      </c>
      <c r="E675" s="35" t="str">
        <f>SETEMBRO!E52</f>
        <v>-</v>
      </c>
      <c r="F675" s="67">
        <f>SETEMBRO!G52</f>
        <v>0</v>
      </c>
      <c r="G675" s="68">
        <f>SETEMBRO!H52</f>
        <v>17</v>
      </c>
      <c r="H675" s="37">
        <f>SETEMBRO!I52</f>
        <v>46311</v>
      </c>
      <c r="I675" s="34" t="str">
        <f>SETEMBRO!O52</f>
        <v>DESPESAS</v>
      </c>
      <c r="J675">
        <f t="shared" si="71"/>
        <v>15</v>
      </c>
      <c r="K675">
        <f t="shared" si="72"/>
        <v>2</v>
      </c>
      <c r="L675" t="str">
        <f t="shared" si="73"/>
        <v>FEB</v>
      </c>
      <c r="M675">
        <f t="shared" si="74"/>
        <v>16</v>
      </c>
      <c r="N675">
        <f t="shared" si="75"/>
        <v>10</v>
      </c>
      <c r="O675" t="str">
        <f t="shared" si="77"/>
        <v>OCT</v>
      </c>
      <c r="P675" t="str">
        <f t="shared" si="76"/>
        <v>PAGO</v>
      </c>
    </row>
    <row r="676" spans="3:16" ht="30" x14ac:dyDescent="0.25">
      <c r="C676" s="35">
        <f>SETEMBRO!C53</f>
        <v>46069</v>
      </c>
      <c r="D676" s="35" t="str">
        <f>SETEMBRO!D53</f>
        <v>DESPESAS COM PRODUTOS</v>
      </c>
      <c r="E676" s="35" t="str">
        <f>SETEMBRO!E53</f>
        <v>-</v>
      </c>
      <c r="F676" s="67">
        <f>SETEMBRO!G53</f>
        <v>0</v>
      </c>
      <c r="G676" s="68">
        <f>SETEMBRO!H53</f>
        <v>18</v>
      </c>
      <c r="H676" s="37">
        <f>SETEMBRO!I53</f>
        <v>46312</v>
      </c>
      <c r="I676" s="34" t="str">
        <f>SETEMBRO!O53</f>
        <v>DESPESAS</v>
      </c>
      <c r="J676">
        <f t="shared" si="71"/>
        <v>16</v>
      </c>
      <c r="K676">
        <f t="shared" si="72"/>
        <v>2</v>
      </c>
      <c r="L676" t="str">
        <f t="shared" si="73"/>
        <v>FEB</v>
      </c>
      <c r="M676">
        <f t="shared" si="74"/>
        <v>17</v>
      </c>
      <c r="N676">
        <f t="shared" si="75"/>
        <v>10</v>
      </c>
      <c r="O676" t="str">
        <f t="shared" si="77"/>
        <v>OCT</v>
      </c>
      <c r="P676" t="str">
        <f t="shared" si="76"/>
        <v>PAGO</v>
      </c>
    </row>
    <row r="677" spans="3:16" ht="30" x14ac:dyDescent="0.25">
      <c r="C677" s="35">
        <f>SETEMBRO!C54</f>
        <v>46070</v>
      </c>
      <c r="D677" s="35" t="str">
        <f>SETEMBRO!D54</f>
        <v>DESPESAS COM PRODUTOS</v>
      </c>
      <c r="E677" s="35" t="str">
        <f>SETEMBRO!E54</f>
        <v>-</v>
      </c>
      <c r="F677" s="67">
        <f>SETEMBRO!G54</f>
        <v>0</v>
      </c>
      <c r="G677" s="68">
        <f>SETEMBRO!H54</f>
        <v>19</v>
      </c>
      <c r="H677" s="37">
        <f>SETEMBRO!I54</f>
        <v>46313</v>
      </c>
      <c r="I677" s="34" t="str">
        <f>SETEMBRO!O54</f>
        <v>DESPESAS</v>
      </c>
      <c r="J677">
        <f t="shared" si="71"/>
        <v>17</v>
      </c>
      <c r="K677">
        <f t="shared" si="72"/>
        <v>2</v>
      </c>
      <c r="L677" t="str">
        <f t="shared" si="73"/>
        <v>FEB</v>
      </c>
      <c r="M677">
        <f t="shared" si="74"/>
        <v>18</v>
      </c>
      <c r="N677">
        <f t="shared" si="75"/>
        <v>10</v>
      </c>
      <c r="O677" t="str">
        <f t="shared" si="77"/>
        <v>OCT</v>
      </c>
      <c r="P677" t="str">
        <f t="shared" si="76"/>
        <v>PAGO</v>
      </c>
    </row>
    <row r="678" spans="3:16" ht="30" x14ac:dyDescent="0.25">
      <c r="C678" s="35">
        <f>SETEMBRO!C55</f>
        <v>46071</v>
      </c>
      <c r="D678" s="35" t="str">
        <f>SETEMBRO!D55</f>
        <v>DESPESAS COM PRODUTOS</v>
      </c>
      <c r="E678" s="35" t="str">
        <f>SETEMBRO!E55</f>
        <v>-</v>
      </c>
      <c r="F678" s="67">
        <f>SETEMBRO!G55</f>
        <v>0</v>
      </c>
      <c r="G678" s="68">
        <f>SETEMBRO!H55</f>
        <v>20</v>
      </c>
      <c r="H678" s="37">
        <f>SETEMBRO!I55</f>
        <v>46314</v>
      </c>
      <c r="I678" s="34" t="str">
        <f>SETEMBRO!O55</f>
        <v>DESPESAS</v>
      </c>
      <c r="J678">
        <f t="shared" si="71"/>
        <v>18</v>
      </c>
      <c r="K678">
        <f t="shared" si="72"/>
        <v>2</v>
      </c>
      <c r="L678" t="str">
        <f t="shared" si="73"/>
        <v>FEB</v>
      </c>
      <c r="M678">
        <f t="shared" si="74"/>
        <v>19</v>
      </c>
      <c r="N678">
        <f t="shared" si="75"/>
        <v>10</v>
      </c>
      <c r="O678" t="str">
        <f t="shared" si="77"/>
        <v>OCT</v>
      </c>
      <c r="P678" t="str">
        <f t="shared" si="76"/>
        <v>PAGO</v>
      </c>
    </row>
    <row r="679" spans="3:16" ht="30" x14ac:dyDescent="0.25">
      <c r="C679" s="35">
        <f>SETEMBRO!C56</f>
        <v>46072</v>
      </c>
      <c r="D679" s="35" t="str">
        <f>SETEMBRO!D56</f>
        <v>DESPESAS COM PRODUTOS</v>
      </c>
      <c r="E679" s="35" t="str">
        <f>SETEMBRO!E56</f>
        <v>-</v>
      </c>
      <c r="F679" s="67">
        <f>SETEMBRO!G56</f>
        <v>0</v>
      </c>
      <c r="G679" s="68">
        <f>SETEMBRO!H56</f>
        <v>21</v>
      </c>
      <c r="H679" s="37">
        <f>SETEMBRO!I56</f>
        <v>46315</v>
      </c>
      <c r="I679" s="34" t="str">
        <f>SETEMBRO!O56</f>
        <v>DESPESAS</v>
      </c>
      <c r="J679">
        <f t="shared" si="71"/>
        <v>19</v>
      </c>
      <c r="K679">
        <f t="shared" si="72"/>
        <v>2</v>
      </c>
      <c r="L679" t="str">
        <f t="shared" si="73"/>
        <v>FEB</v>
      </c>
      <c r="M679">
        <f t="shared" si="74"/>
        <v>20</v>
      </c>
      <c r="N679">
        <f t="shared" si="75"/>
        <v>10</v>
      </c>
      <c r="O679" t="str">
        <f t="shared" si="77"/>
        <v>OCT</v>
      </c>
      <c r="P679" t="str">
        <f t="shared" si="76"/>
        <v>PAGO</v>
      </c>
    </row>
    <row r="680" spans="3:16" ht="30" x14ac:dyDescent="0.25">
      <c r="C680" s="35">
        <f>SETEMBRO!C57</f>
        <v>46073</v>
      </c>
      <c r="D680" s="35" t="str">
        <f>SETEMBRO!D57</f>
        <v>DESPESAS COM PRODUTOS</v>
      </c>
      <c r="E680" s="35" t="str">
        <f>SETEMBRO!E57</f>
        <v>-</v>
      </c>
      <c r="F680" s="67">
        <f>SETEMBRO!G57</f>
        <v>0</v>
      </c>
      <c r="G680" s="68">
        <f>SETEMBRO!H57</f>
        <v>22</v>
      </c>
      <c r="H680" s="37">
        <f>SETEMBRO!I57</f>
        <v>46316</v>
      </c>
      <c r="I680" s="34" t="str">
        <f>SETEMBRO!O57</f>
        <v>DESPESAS</v>
      </c>
      <c r="J680">
        <f t="shared" si="71"/>
        <v>20</v>
      </c>
      <c r="K680">
        <f t="shared" si="72"/>
        <v>2</v>
      </c>
      <c r="L680" t="str">
        <f t="shared" si="73"/>
        <v>FEB</v>
      </c>
      <c r="M680">
        <f t="shared" si="74"/>
        <v>21</v>
      </c>
      <c r="N680">
        <f t="shared" si="75"/>
        <v>10</v>
      </c>
      <c r="O680" t="str">
        <f t="shared" si="77"/>
        <v>OCT</v>
      </c>
      <c r="P680" t="str">
        <f t="shared" si="76"/>
        <v>PAGO</v>
      </c>
    </row>
    <row r="681" spans="3:16" ht="30" x14ac:dyDescent="0.25">
      <c r="C681" s="35">
        <f>SETEMBRO!C58</f>
        <v>46074</v>
      </c>
      <c r="D681" s="35" t="str">
        <f>SETEMBRO!D58</f>
        <v>DESPESAS COM PRODUTOS</v>
      </c>
      <c r="E681" s="35" t="str">
        <f>SETEMBRO!E58</f>
        <v>-</v>
      </c>
      <c r="F681" s="67">
        <f>SETEMBRO!G58</f>
        <v>0</v>
      </c>
      <c r="G681" s="68">
        <f>SETEMBRO!H58</f>
        <v>23</v>
      </c>
      <c r="H681" s="37">
        <f>SETEMBRO!I58</f>
        <v>46317</v>
      </c>
      <c r="I681" s="34" t="str">
        <f>SETEMBRO!O58</f>
        <v>DESPESAS</v>
      </c>
      <c r="J681">
        <f t="shared" si="71"/>
        <v>21</v>
      </c>
      <c r="K681">
        <f t="shared" si="72"/>
        <v>2</v>
      </c>
      <c r="L681" t="str">
        <f t="shared" si="73"/>
        <v>FEB</v>
      </c>
      <c r="M681">
        <f t="shared" si="74"/>
        <v>22</v>
      </c>
      <c r="N681">
        <f t="shared" si="75"/>
        <v>10</v>
      </c>
      <c r="O681" t="str">
        <f t="shared" si="77"/>
        <v>OCT</v>
      </c>
      <c r="P681" t="str">
        <f t="shared" si="76"/>
        <v>PAGO</v>
      </c>
    </row>
    <row r="682" spans="3:16" ht="30" x14ac:dyDescent="0.25">
      <c r="C682" s="35">
        <f>SETEMBRO!C59</f>
        <v>46075</v>
      </c>
      <c r="D682" s="35" t="str">
        <f>SETEMBRO!D59</f>
        <v>DESPESAS COM PRODUTOS</v>
      </c>
      <c r="E682" s="35" t="str">
        <f>SETEMBRO!E59</f>
        <v>-</v>
      </c>
      <c r="F682" s="67">
        <f>SETEMBRO!G59</f>
        <v>0</v>
      </c>
      <c r="G682" s="68">
        <f>SETEMBRO!H59</f>
        <v>24</v>
      </c>
      <c r="H682" s="37">
        <f>SETEMBRO!I59</f>
        <v>46318</v>
      </c>
      <c r="I682" s="34" t="str">
        <f>SETEMBRO!O59</f>
        <v>DESPESAS</v>
      </c>
      <c r="J682">
        <f t="shared" si="71"/>
        <v>22</v>
      </c>
      <c r="K682">
        <f t="shared" si="72"/>
        <v>2</v>
      </c>
      <c r="L682" t="str">
        <f t="shared" si="73"/>
        <v>FEB</v>
      </c>
      <c r="M682">
        <f t="shared" si="74"/>
        <v>23</v>
      </c>
      <c r="N682">
        <f t="shared" si="75"/>
        <v>10</v>
      </c>
      <c r="O682" t="str">
        <f t="shared" si="77"/>
        <v>OCT</v>
      </c>
      <c r="P682" t="str">
        <f t="shared" si="76"/>
        <v>PAGO</v>
      </c>
    </row>
    <row r="683" spans="3:16" ht="30" x14ac:dyDescent="0.25">
      <c r="C683" s="35">
        <f>SETEMBRO!C60</f>
        <v>46076</v>
      </c>
      <c r="D683" s="35" t="str">
        <f>SETEMBRO!D60</f>
        <v>DESPESAS COM PRODUTOS</v>
      </c>
      <c r="E683" s="35" t="str">
        <f>SETEMBRO!E60</f>
        <v>-</v>
      </c>
      <c r="F683" s="67">
        <f>SETEMBRO!G60</f>
        <v>0</v>
      </c>
      <c r="G683" s="68">
        <f>SETEMBRO!H60</f>
        <v>25</v>
      </c>
      <c r="H683" s="37">
        <f>SETEMBRO!I60</f>
        <v>46289</v>
      </c>
      <c r="I683" s="34" t="str">
        <f>SETEMBRO!O60</f>
        <v>DESPESAS</v>
      </c>
      <c r="J683">
        <f t="shared" si="71"/>
        <v>23</v>
      </c>
      <c r="K683">
        <f t="shared" si="72"/>
        <v>2</v>
      </c>
      <c r="L683" t="str">
        <f t="shared" si="73"/>
        <v>FEB</v>
      </c>
      <c r="M683">
        <f t="shared" si="74"/>
        <v>24</v>
      </c>
      <c r="N683">
        <f t="shared" si="75"/>
        <v>9</v>
      </c>
      <c r="O683" t="str">
        <f t="shared" si="77"/>
        <v>SEP</v>
      </c>
      <c r="P683" t="str">
        <f t="shared" si="76"/>
        <v>PAGO</v>
      </c>
    </row>
    <row r="684" spans="3:16" ht="30" x14ac:dyDescent="0.25">
      <c r="C684" s="35">
        <f>SETEMBRO!C61</f>
        <v>46077</v>
      </c>
      <c r="D684" s="35" t="str">
        <f>SETEMBRO!D61</f>
        <v>DESPESAS COM PRODUTOS</v>
      </c>
      <c r="E684" s="35" t="str">
        <f>SETEMBRO!E61</f>
        <v>-</v>
      </c>
      <c r="F684" s="67">
        <f>SETEMBRO!G61</f>
        <v>0</v>
      </c>
      <c r="G684" s="68">
        <f>SETEMBRO!H61</f>
        <v>26</v>
      </c>
      <c r="H684" s="37">
        <f>SETEMBRO!I61</f>
        <v>46290</v>
      </c>
      <c r="I684" s="34" t="str">
        <f>SETEMBRO!O61</f>
        <v>DESPESAS</v>
      </c>
      <c r="J684">
        <f t="shared" si="71"/>
        <v>24</v>
      </c>
      <c r="K684">
        <f t="shared" si="72"/>
        <v>2</v>
      </c>
      <c r="L684" t="str">
        <f t="shared" si="73"/>
        <v>FEB</v>
      </c>
      <c r="M684">
        <f t="shared" si="74"/>
        <v>25</v>
      </c>
      <c r="N684">
        <f t="shared" si="75"/>
        <v>9</v>
      </c>
      <c r="O684" t="str">
        <f t="shared" si="77"/>
        <v>SEP</v>
      </c>
      <c r="P684" t="str">
        <f t="shared" si="76"/>
        <v>PAGO</v>
      </c>
    </row>
    <row r="685" spans="3:16" ht="30" x14ac:dyDescent="0.25">
      <c r="C685" s="35">
        <f>SETEMBRO!C62</f>
        <v>46078</v>
      </c>
      <c r="D685" s="35" t="str">
        <f>SETEMBRO!D62</f>
        <v>DESPESAS COM PRODUTOS</v>
      </c>
      <c r="E685" s="35" t="str">
        <f>SETEMBRO!E62</f>
        <v>-</v>
      </c>
      <c r="F685" s="67">
        <f>SETEMBRO!G62</f>
        <v>0</v>
      </c>
      <c r="G685" s="68">
        <f>SETEMBRO!H62</f>
        <v>27</v>
      </c>
      <c r="H685" s="37">
        <f>SETEMBRO!I62</f>
        <v>46291</v>
      </c>
      <c r="I685" s="34" t="str">
        <f>SETEMBRO!O62</f>
        <v>DESPESAS</v>
      </c>
      <c r="J685">
        <f t="shared" si="71"/>
        <v>25</v>
      </c>
      <c r="K685">
        <f t="shared" si="72"/>
        <v>2</v>
      </c>
      <c r="L685" t="str">
        <f t="shared" si="73"/>
        <v>FEB</v>
      </c>
      <c r="M685">
        <f t="shared" si="74"/>
        <v>26</v>
      </c>
      <c r="N685">
        <f t="shared" si="75"/>
        <v>9</v>
      </c>
      <c r="O685" t="str">
        <f t="shared" si="77"/>
        <v>SEP</v>
      </c>
      <c r="P685" t="str">
        <f t="shared" si="76"/>
        <v>PAGO</v>
      </c>
    </row>
    <row r="686" spans="3:16" ht="30" x14ac:dyDescent="0.25">
      <c r="C686" s="35">
        <f>SETEMBRO!C63</f>
        <v>46079</v>
      </c>
      <c r="D686" s="35" t="str">
        <f>SETEMBRO!D63</f>
        <v>DESPESAS COM PRODUTOS</v>
      </c>
      <c r="E686" s="35" t="str">
        <f>SETEMBRO!E63</f>
        <v>-</v>
      </c>
      <c r="F686" s="67">
        <f>SETEMBRO!G63</f>
        <v>0</v>
      </c>
      <c r="G686" s="68">
        <f>SETEMBRO!H63</f>
        <v>28</v>
      </c>
      <c r="H686" s="37">
        <f>SETEMBRO!I63</f>
        <v>46292</v>
      </c>
      <c r="I686" s="34" t="str">
        <f>SETEMBRO!O63</f>
        <v>DESPESAS</v>
      </c>
      <c r="J686">
        <f t="shared" si="71"/>
        <v>26</v>
      </c>
      <c r="K686">
        <f t="shared" si="72"/>
        <v>2</v>
      </c>
      <c r="L686" t="str">
        <f t="shared" si="73"/>
        <v>FEB</v>
      </c>
      <c r="M686">
        <f t="shared" si="74"/>
        <v>27</v>
      </c>
      <c r="N686">
        <f t="shared" si="75"/>
        <v>9</v>
      </c>
      <c r="O686" t="str">
        <f t="shared" si="77"/>
        <v>SEP</v>
      </c>
      <c r="P686" t="str">
        <f t="shared" si="76"/>
        <v>PAGO</v>
      </c>
    </row>
    <row r="687" spans="3:16" ht="30" x14ac:dyDescent="0.25">
      <c r="C687" s="35">
        <f>SETEMBRO!C64</f>
        <v>46080</v>
      </c>
      <c r="D687" s="35" t="str">
        <f>SETEMBRO!D64</f>
        <v>DESPESAS COM PRODUTOS</v>
      </c>
      <c r="E687" s="35" t="str">
        <f>SETEMBRO!E64</f>
        <v>-</v>
      </c>
      <c r="F687" s="67">
        <f>SETEMBRO!G64</f>
        <v>0</v>
      </c>
      <c r="G687" s="68">
        <f>SETEMBRO!H64</f>
        <v>29</v>
      </c>
      <c r="H687" s="37">
        <f>SETEMBRO!I64</f>
        <v>46293</v>
      </c>
      <c r="I687" s="34" t="str">
        <f>SETEMBRO!O64</f>
        <v>DESPESAS</v>
      </c>
      <c r="J687">
        <f t="shared" si="71"/>
        <v>27</v>
      </c>
      <c r="K687">
        <f t="shared" si="72"/>
        <v>2</v>
      </c>
      <c r="L687" t="str">
        <f t="shared" si="73"/>
        <v>FEB</v>
      </c>
      <c r="M687">
        <f t="shared" si="74"/>
        <v>28</v>
      </c>
      <c r="N687">
        <f t="shared" si="75"/>
        <v>9</v>
      </c>
      <c r="O687" t="str">
        <f t="shared" si="77"/>
        <v>SEP</v>
      </c>
      <c r="P687" t="str">
        <f t="shared" si="76"/>
        <v>PAGO</v>
      </c>
    </row>
    <row r="688" spans="3:16" ht="30" x14ac:dyDescent="0.25">
      <c r="C688" s="35">
        <f>SETEMBRO!C65</f>
        <v>46081</v>
      </c>
      <c r="D688" s="35" t="str">
        <f>SETEMBRO!D65</f>
        <v>DESPESAS COM PRODUTOS</v>
      </c>
      <c r="E688" s="35" t="str">
        <f>SETEMBRO!E65</f>
        <v>-</v>
      </c>
      <c r="F688" s="67">
        <f>SETEMBRO!G65</f>
        <v>0</v>
      </c>
      <c r="G688" s="68">
        <f>SETEMBRO!H65</f>
        <v>30</v>
      </c>
      <c r="H688" s="37">
        <f>SETEMBRO!I65</f>
        <v>46294</v>
      </c>
      <c r="I688" s="34" t="str">
        <f>SETEMBRO!O65</f>
        <v>DESPESAS</v>
      </c>
      <c r="J688">
        <f t="shared" si="71"/>
        <v>28</v>
      </c>
      <c r="K688">
        <f t="shared" si="72"/>
        <v>2</v>
      </c>
      <c r="L688" t="str">
        <f t="shared" si="73"/>
        <v>FEB</v>
      </c>
      <c r="M688">
        <f t="shared" si="74"/>
        <v>29</v>
      </c>
      <c r="N688">
        <f t="shared" si="75"/>
        <v>9</v>
      </c>
      <c r="O688" t="str">
        <f t="shared" si="77"/>
        <v>SEP</v>
      </c>
      <c r="P688" t="str">
        <f t="shared" si="76"/>
        <v>PAGO</v>
      </c>
    </row>
    <row r="689" spans="3:16" ht="30" x14ac:dyDescent="0.25">
      <c r="C689" s="35">
        <f>SETEMBRO!C66</f>
        <v>46082</v>
      </c>
      <c r="D689" s="35" t="str">
        <f>SETEMBRO!D66</f>
        <v>DESPESAS COM PRODUTOS</v>
      </c>
      <c r="E689" s="35" t="str">
        <f>SETEMBRO!E66</f>
        <v>-</v>
      </c>
      <c r="F689" s="67">
        <f>SETEMBRO!G66</f>
        <v>0</v>
      </c>
      <c r="G689" s="68">
        <f>SETEMBRO!H66</f>
        <v>31</v>
      </c>
      <c r="H689" s="37">
        <f>SETEMBRO!I66</f>
        <v>46295</v>
      </c>
      <c r="I689" s="34" t="str">
        <f>SETEMBRO!O66</f>
        <v>DESPESAS</v>
      </c>
      <c r="J689">
        <f t="shared" si="71"/>
        <v>1</v>
      </c>
      <c r="K689">
        <f t="shared" si="72"/>
        <v>3</v>
      </c>
      <c r="L689" t="str">
        <f t="shared" si="73"/>
        <v>MAR</v>
      </c>
      <c r="M689">
        <f t="shared" si="74"/>
        <v>30</v>
      </c>
      <c r="N689">
        <f t="shared" si="75"/>
        <v>9</v>
      </c>
      <c r="O689" t="str">
        <f t="shared" si="77"/>
        <v>SEP</v>
      </c>
      <c r="P689" t="str">
        <f t="shared" si="76"/>
        <v>PAGO</v>
      </c>
    </row>
    <row r="690" spans="3:16" ht="30" x14ac:dyDescent="0.25">
      <c r="C690" s="35">
        <f>SETEMBRO!C67</f>
        <v>46083</v>
      </c>
      <c r="D690" s="35" t="str">
        <f>SETEMBRO!D67</f>
        <v>DESPESAS COM PRODUTOS</v>
      </c>
      <c r="E690" s="35" t="str">
        <f>SETEMBRO!E67</f>
        <v>-</v>
      </c>
      <c r="F690" s="67">
        <f>SETEMBRO!G67</f>
        <v>0</v>
      </c>
      <c r="G690" s="68">
        <f>SETEMBRO!H67</f>
        <v>32</v>
      </c>
      <c r="H690" s="37">
        <f>SETEMBRO!I67</f>
        <v>46296</v>
      </c>
      <c r="I690" s="34" t="str">
        <f>SETEMBRO!O67</f>
        <v>DESPESAS</v>
      </c>
      <c r="J690">
        <f t="shared" si="71"/>
        <v>2</v>
      </c>
      <c r="K690">
        <f t="shared" si="72"/>
        <v>3</v>
      </c>
      <c r="L690" t="str">
        <f t="shared" si="73"/>
        <v>MAR</v>
      </c>
      <c r="M690">
        <f t="shared" si="74"/>
        <v>1</v>
      </c>
      <c r="N690">
        <f t="shared" si="75"/>
        <v>10</v>
      </c>
      <c r="O690" t="str">
        <f t="shared" si="77"/>
        <v>OCT</v>
      </c>
      <c r="P690" t="str">
        <f t="shared" si="76"/>
        <v>PAGO</v>
      </c>
    </row>
    <row r="691" spans="3:16" ht="30" x14ac:dyDescent="0.25">
      <c r="C691" s="35">
        <f>SETEMBRO!C68</f>
        <v>46084</v>
      </c>
      <c r="D691" s="35" t="str">
        <f>SETEMBRO!D68</f>
        <v>DESPESAS COM PRODUTOS</v>
      </c>
      <c r="E691" s="35" t="str">
        <f>SETEMBRO!E68</f>
        <v>-</v>
      </c>
      <c r="F691" s="67">
        <f>SETEMBRO!G68</f>
        <v>0</v>
      </c>
      <c r="G691" s="68">
        <f>SETEMBRO!H68</f>
        <v>33</v>
      </c>
      <c r="H691" s="37">
        <f>SETEMBRO!I68</f>
        <v>46297</v>
      </c>
      <c r="I691" s="34" t="str">
        <f>SETEMBRO!O68</f>
        <v>DESPESAS</v>
      </c>
      <c r="J691">
        <f t="shared" si="71"/>
        <v>3</v>
      </c>
      <c r="K691">
        <f t="shared" si="72"/>
        <v>3</v>
      </c>
      <c r="L691" t="str">
        <f t="shared" si="73"/>
        <v>MAR</v>
      </c>
      <c r="M691">
        <f t="shared" si="74"/>
        <v>2</v>
      </c>
      <c r="N691">
        <f t="shared" si="75"/>
        <v>10</v>
      </c>
      <c r="O691" t="str">
        <f t="shared" si="77"/>
        <v>OCT</v>
      </c>
      <c r="P691" t="str">
        <f t="shared" si="76"/>
        <v>PAGO</v>
      </c>
    </row>
    <row r="692" spans="3:16" ht="30" x14ac:dyDescent="0.25">
      <c r="C692" s="35">
        <f>SETEMBRO!C69</f>
        <v>46085</v>
      </c>
      <c r="D692" s="35" t="str">
        <f>SETEMBRO!D69</f>
        <v>DESPESAS COM PRODUTOS</v>
      </c>
      <c r="E692" s="35" t="str">
        <f>SETEMBRO!E69</f>
        <v>-</v>
      </c>
      <c r="F692" s="67">
        <f>SETEMBRO!G69</f>
        <v>0</v>
      </c>
      <c r="G692" s="68">
        <f>SETEMBRO!H69</f>
        <v>34</v>
      </c>
      <c r="H692" s="37">
        <f>SETEMBRO!I69</f>
        <v>46298</v>
      </c>
      <c r="I692" s="34" t="str">
        <f>SETEMBRO!O69</f>
        <v>DESPESAS</v>
      </c>
      <c r="J692">
        <f t="shared" si="71"/>
        <v>4</v>
      </c>
      <c r="K692">
        <f t="shared" si="72"/>
        <v>3</v>
      </c>
      <c r="L692" t="str">
        <f t="shared" si="73"/>
        <v>MAR</v>
      </c>
      <c r="M692">
        <f t="shared" si="74"/>
        <v>3</v>
      </c>
      <c r="N692">
        <f t="shared" si="75"/>
        <v>10</v>
      </c>
      <c r="O692" t="str">
        <f t="shared" si="77"/>
        <v>OCT</v>
      </c>
      <c r="P692" t="str">
        <f t="shared" si="76"/>
        <v>PAGO</v>
      </c>
    </row>
    <row r="693" spans="3:16" ht="30" x14ac:dyDescent="0.25">
      <c r="C693" s="35">
        <f>SETEMBRO!C70</f>
        <v>46086</v>
      </c>
      <c r="D693" s="35" t="str">
        <f>SETEMBRO!D70</f>
        <v>DESPESAS COM PRODUTOS</v>
      </c>
      <c r="E693" s="35" t="str">
        <f>SETEMBRO!E70</f>
        <v>-</v>
      </c>
      <c r="F693" s="67">
        <f>SETEMBRO!G70</f>
        <v>0</v>
      </c>
      <c r="G693" s="68">
        <f>SETEMBRO!H70</f>
        <v>35</v>
      </c>
      <c r="H693" s="37">
        <f>SETEMBRO!I70</f>
        <v>46299</v>
      </c>
      <c r="I693" s="34" t="str">
        <f>SETEMBRO!O70</f>
        <v>DESPESAS</v>
      </c>
      <c r="J693">
        <f t="shared" si="71"/>
        <v>5</v>
      </c>
      <c r="K693">
        <f t="shared" si="72"/>
        <v>3</v>
      </c>
      <c r="L693" t="str">
        <f t="shared" si="73"/>
        <v>MAR</v>
      </c>
      <c r="M693">
        <f t="shared" si="74"/>
        <v>4</v>
      </c>
      <c r="N693">
        <f t="shared" si="75"/>
        <v>10</v>
      </c>
      <c r="O693" t="str">
        <f t="shared" si="77"/>
        <v>OCT</v>
      </c>
      <c r="P693" t="str">
        <f t="shared" si="76"/>
        <v>PAGO</v>
      </c>
    </row>
    <row r="694" spans="3:16" ht="30" x14ac:dyDescent="0.25">
      <c r="C694" s="35">
        <f>SETEMBRO!C71</f>
        <v>46087</v>
      </c>
      <c r="D694" s="35" t="str">
        <f>SETEMBRO!D71</f>
        <v>DESPESAS COM PRODUTOS</v>
      </c>
      <c r="E694" s="35" t="str">
        <f>SETEMBRO!E71</f>
        <v>-</v>
      </c>
      <c r="F694" s="67">
        <f>SETEMBRO!G71</f>
        <v>0</v>
      </c>
      <c r="G694" s="68">
        <f>SETEMBRO!H71</f>
        <v>36</v>
      </c>
      <c r="H694" s="37">
        <f>SETEMBRO!I71</f>
        <v>46300</v>
      </c>
      <c r="I694" s="34" t="str">
        <f>SETEMBRO!O71</f>
        <v>DESPESAS</v>
      </c>
      <c r="J694">
        <f t="shared" si="71"/>
        <v>6</v>
      </c>
      <c r="K694">
        <f t="shared" si="72"/>
        <v>3</v>
      </c>
      <c r="L694" t="str">
        <f t="shared" si="73"/>
        <v>MAR</v>
      </c>
      <c r="M694">
        <f t="shared" si="74"/>
        <v>5</v>
      </c>
      <c r="N694">
        <f t="shared" si="75"/>
        <v>10</v>
      </c>
      <c r="O694" t="str">
        <f t="shared" si="77"/>
        <v>OCT</v>
      </c>
      <c r="P694" t="str">
        <f t="shared" si="76"/>
        <v>PAGO</v>
      </c>
    </row>
    <row r="695" spans="3:16" ht="30" x14ac:dyDescent="0.25">
      <c r="C695" s="35">
        <f>SETEMBRO!C72</f>
        <v>46088</v>
      </c>
      <c r="D695" s="35" t="str">
        <f>SETEMBRO!D72</f>
        <v>DESPESAS COM PRODUTOS</v>
      </c>
      <c r="E695" s="35" t="str">
        <f>SETEMBRO!E72</f>
        <v>-</v>
      </c>
      <c r="F695" s="67">
        <f>SETEMBRO!G72</f>
        <v>0</v>
      </c>
      <c r="G695" s="68">
        <f>SETEMBRO!H72</f>
        <v>37</v>
      </c>
      <c r="H695" s="37">
        <f>SETEMBRO!I72</f>
        <v>46301</v>
      </c>
      <c r="I695" s="34" t="str">
        <f>SETEMBRO!O72</f>
        <v>DESPESAS</v>
      </c>
      <c r="J695">
        <f t="shared" si="71"/>
        <v>7</v>
      </c>
      <c r="K695">
        <f t="shared" si="72"/>
        <v>3</v>
      </c>
      <c r="L695" t="str">
        <f t="shared" si="73"/>
        <v>MAR</v>
      </c>
      <c r="M695">
        <f t="shared" si="74"/>
        <v>6</v>
      </c>
      <c r="N695">
        <f t="shared" si="75"/>
        <v>10</v>
      </c>
      <c r="O695" t="str">
        <f t="shared" si="77"/>
        <v>OCT</v>
      </c>
      <c r="P695" t="str">
        <f t="shared" si="76"/>
        <v>PAGO</v>
      </c>
    </row>
    <row r="696" spans="3:16" ht="30" x14ac:dyDescent="0.25">
      <c r="C696" s="35">
        <f>SETEMBRO!C73</f>
        <v>46089</v>
      </c>
      <c r="D696" s="35" t="str">
        <f>SETEMBRO!D73</f>
        <v>DESPESAS COM PRODUTOS</v>
      </c>
      <c r="E696" s="35" t="str">
        <f>SETEMBRO!E73</f>
        <v>-</v>
      </c>
      <c r="F696" s="67">
        <f>SETEMBRO!G73</f>
        <v>0</v>
      </c>
      <c r="G696" s="68">
        <f>SETEMBRO!H73</f>
        <v>38</v>
      </c>
      <c r="H696" s="37">
        <f>SETEMBRO!I73</f>
        <v>46302</v>
      </c>
      <c r="I696" s="34" t="str">
        <f>SETEMBRO!O73</f>
        <v>DESPESAS</v>
      </c>
      <c r="J696">
        <f t="shared" si="71"/>
        <v>8</v>
      </c>
      <c r="K696">
        <f t="shared" si="72"/>
        <v>3</v>
      </c>
      <c r="L696" t="str">
        <f t="shared" si="73"/>
        <v>MAR</v>
      </c>
      <c r="M696">
        <f t="shared" si="74"/>
        <v>7</v>
      </c>
      <c r="N696">
        <f t="shared" si="75"/>
        <v>10</v>
      </c>
      <c r="O696" t="str">
        <f t="shared" si="77"/>
        <v>OCT</v>
      </c>
      <c r="P696" t="str">
        <f t="shared" si="76"/>
        <v>PAGO</v>
      </c>
    </row>
    <row r="697" spans="3:16" ht="30" x14ac:dyDescent="0.25">
      <c r="C697" s="35">
        <f>SETEMBRO!C74</f>
        <v>46090</v>
      </c>
      <c r="D697" s="35" t="str">
        <f>SETEMBRO!D74</f>
        <v>DESPESAS COM PRODUTOS</v>
      </c>
      <c r="E697" s="35" t="str">
        <f>SETEMBRO!E74</f>
        <v>-</v>
      </c>
      <c r="F697" s="67">
        <f>SETEMBRO!G74</f>
        <v>0</v>
      </c>
      <c r="G697" s="68">
        <f>SETEMBRO!H74</f>
        <v>39</v>
      </c>
      <c r="H697" s="37">
        <f>SETEMBRO!I74</f>
        <v>46303</v>
      </c>
      <c r="I697" s="34" t="str">
        <f>SETEMBRO!O74</f>
        <v>DESPESAS</v>
      </c>
      <c r="J697">
        <f t="shared" si="71"/>
        <v>9</v>
      </c>
      <c r="K697">
        <f t="shared" si="72"/>
        <v>3</v>
      </c>
      <c r="L697" t="str">
        <f t="shared" si="73"/>
        <v>MAR</v>
      </c>
      <c r="M697">
        <f t="shared" si="74"/>
        <v>8</v>
      </c>
      <c r="N697">
        <f t="shared" si="75"/>
        <v>10</v>
      </c>
      <c r="O697" t="str">
        <f t="shared" si="77"/>
        <v>OCT</v>
      </c>
      <c r="P697" t="str">
        <f t="shared" si="76"/>
        <v>PAGO</v>
      </c>
    </row>
    <row r="698" spans="3:16" ht="30" x14ac:dyDescent="0.25">
      <c r="C698" s="35">
        <f>SETEMBRO!C75</f>
        <v>46091</v>
      </c>
      <c r="D698" s="35" t="str">
        <f>SETEMBRO!D75</f>
        <v>DESPESAS COM PRODUTOS</v>
      </c>
      <c r="E698" s="35" t="str">
        <f>SETEMBRO!E75</f>
        <v>-</v>
      </c>
      <c r="F698" s="67">
        <f>SETEMBRO!G75</f>
        <v>0</v>
      </c>
      <c r="G698" s="68">
        <f>SETEMBRO!H75</f>
        <v>40</v>
      </c>
      <c r="H698" s="37">
        <f>SETEMBRO!I75</f>
        <v>46304</v>
      </c>
      <c r="I698" s="34" t="str">
        <f>SETEMBRO!O75</f>
        <v>DESPESAS</v>
      </c>
      <c r="J698">
        <f t="shared" si="71"/>
        <v>10</v>
      </c>
      <c r="K698">
        <f t="shared" si="72"/>
        <v>3</v>
      </c>
      <c r="L698" t="str">
        <f t="shared" si="73"/>
        <v>MAR</v>
      </c>
      <c r="M698">
        <f t="shared" si="74"/>
        <v>9</v>
      </c>
      <c r="N698">
        <f t="shared" si="75"/>
        <v>10</v>
      </c>
      <c r="O698" t="str">
        <f t="shared" si="77"/>
        <v>OCT</v>
      </c>
      <c r="P698" t="str">
        <f t="shared" si="76"/>
        <v>PAGO</v>
      </c>
    </row>
    <row r="699" spans="3:16" ht="30" x14ac:dyDescent="0.25">
      <c r="C699" s="35">
        <f>SETEMBRO!C76</f>
        <v>46092</v>
      </c>
      <c r="D699" s="35" t="str">
        <f>SETEMBRO!D76</f>
        <v>DESPESAS COM PRODUTOS</v>
      </c>
      <c r="E699" s="35" t="str">
        <f>SETEMBRO!E76</f>
        <v>-</v>
      </c>
      <c r="F699" s="67">
        <f>SETEMBRO!G76</f>
        <v>0</v>
      </c>
      <c r="G699" s="68">
        <f>SETEMBRO!H76</f>
        <v>41</v>
      </c>
      <c r="H699" s="37">
        <f>SETEMBRO!I76</f>
        <v>46305</v>
      </c>
      <c r="I699" s="34" t="str">
        <f>SETEMBRO!O76</f>
        <v>DESPESAS</v>
      </c>
      <c r="J699">
        <f t="shared" si="71"/>
        <v>11</v>
      </c>
      <c r="K699">
        <f t="shared" si="72"/>
        <v>3</v>
      </c>
      <c r="L699" t="str">
        <f t="shared" si="73"/>
        <v>MAR</v>
      </c>
      <c r="M699">
        <f t="shared" si="74"/>
        <v>10</v>
      </c>
      <c r="N699">
        <f t="shared" si="75"/>
        <v>10</v>
      </c>
      <c r="O699" t="str">
        <f t="shared" si="77"/>
        <v>OCT</v>
      </c>
      <c r="P699" t="str">
        <f t="shared" si="76"/>
        <v>PAGO</v>
      </c>
    </row>
    <row r="700" spans="3:16" ht="30" x14ac:dyDescent="0.25">
      <c r="C700" s="35">
        <f>SETEMBRO!C77</f>
        <v>46093</v>
      </c>
      <c r="D700" s="35" t="str">
        <f>SETEMBRO!D77</f>
        <v>DESPESAS COM PRODUTOS</v>
      </c>
      <c r="E700" s="35" t="str">
        <f>SETEMBRO!E77</f>
        <v>-</v>
      </c>
      <c r="F700" s="67">
        <f>SETEMBRO!G77</f>
        <v>0</v>
      </c>
      <c r="G700" s="68">
        <f>SETEMBRO!H77</f>
        <v>42</v>
      </c>
      <c r="H700" s="37">
        <f>SETEMBRO!I77</f>
        <v>46306</v>
      </c>
      <c r="I700" s="34" t="str">
        <f>SETEMBRO!O77</f>
        <v>DESPESAS</v>
      </c>
      <c r="J700">
        <f t="shared" si="71"/>
        <v>12</v>
      </c>
      <c r="K700">
        <f t="shared" si="72"/>
        <v>3</v>
      </c>
      <c r="L700" t="str">
        <f t="shared" si="73"/>
        <v>MAR</v>
      </c>
      <c r="M700">
        <f t="shared" si="74"/>
        <v>11</v>
      </c>
      <c r="N700">
        <f t="shared" si="75"/>
        <v>10</v>
      </c>
      <c r="O700" t="str">
        <f t="shared" si="77"/>
        <v>OCT</v>
      </c>
      <c r="P700" t="str">
        <f t="shared" si="76"/>
        <v>PAGO</v>
      </c>
    </row>
    <row r="701" spans="3:16" ht="30" x14ac:dyDescent="0.25">
      <c r="C701" s="35">
        <f>SETEMBRO!C78</f>
        <v>46094</v>
      </c>
      <c r="D701" s="35" t="str">
        <f>SETEMBRO!D78</f>
        <v>DESPESAS COM PRODUTOS</v>
      </c>
      <c r="E701" s="35" t="str">
        <f>SETEMBRO!E78</f>
        <v>-</v>
      </c>
      <c r="F701" s="67">
        <f>SETEMBRO!G78</f>
        <v>0</v>
      </c>
      <c r="G701" s="68">
        <f>SETEMBRO!H78</f>
        <v>43</v>
      </c>
      <c r="H701" s="37">
        <f>SETEMBRO!I78</f>
        <v>46307</v>
      </c>
      <c r="I701" s="34" t="str">
        <f>SETEMBRO!O78</f>
        <v>DESPESAS</v>
      </c>
      <c r="J701">
        <f t="shared" si="71"/>
        <v>13</v>
      </c>
      <c r="K701">
        <f t="shared" si="72"/>
        <v>3</v>
      </c>
      <c r="L701" t="str">
        <f t="shared" si="73"/>
        <v>MAR</v>
      </c>
      <c r="M701">
        <f t="shared" si="74"/>
        <v>12</v>
      </c>
      <c r="N701">
        <f t="shared" si="75"/>
        <v>10</v>
      </c>
      <c r="O701" t="str">
        <f t="shared" si="77"/>
        <v>OCT</v>
      </c>
      <c r="P701" t="str">
        <f t="shared" si="76"/>
        <v>PAGO</v>
      </c>
    </row>
    <row r="702" spans="3:16" ht="30" x14ac:dyDescent="0.25">
      <c r="C702" s="35">
        <f>SETEMBRO!C79</f>
        <v>46095</v>
      </c>
      <c r="D702" s="35" t="str">
        <f>SETEMBRO!D79</f>
        <v>DESPESAS COM PRODUTOS</v>
      </c>
      <c r="E702" s="35" t="str">
        <f>SETEMBRO!E79</f>
        <v>-</v>
      </c>
      <c r="F702" s="67">
        <f>SETEMBRO!G79</f>
        <v>0</v>
      </c>
      <c r="G702" s="68">
        <f>SETEMBRO!H79</f>
        <v>44</v>
      </c>
      <c r="H702" s="37">
        <f>SETEMBRO!I79</f>
        <v>46308</v>
      </c>
      <c r="I702" s="34" t="str">
        <f>SETEMBRO!O79</f>
        <v>DESPESAS</v>
      </c>
      <c r="J702">
        <f t="shared" si="71"/>
        <v>14</v>
      </c>
      <c r="K702">
        <f t="shared" si="72"/>
        <v>3</v>
      </c>
      <c r="L702" t="str">
        <f t="shared" si="73"/>
        <v>MAR</v>
      </c>
      <c r="M702">
        <f t="shared" si="74"/>
        <v>13</v>
      </c>
      <c r="N702">
        <f t="shared" si="75"/>
        <v>10</v>
      </c>
      <c r="O702" t="str">
        <f t="shared" si="77"/>
        <v>OCT</v>
      </c>
      <c r="P702" t="str">
        <f t="shared" si="76"/>
        <v>PAGO</v>
      </c>
    </row>
    <row r="703" spans="3:16" ht="30" x14ac:dyDescent="0.25">
      <c r="C703" s="35">
        <f>SETEMBRO!C80</f>
        <v>46096</v>
      </c>
      <c r="D703" s="35" t="str">
        <f>SETEMBRO!D80</f>
        <v>DESPESAS COM PRODUTOS</v>
      </c>
      <c r="E703" s="35" t="str">
        <f>SETEMBRO!E80</f>
        <v>-</v>
      </c>
      <c r="F703" s="67" t="str">
        <f>SETEMBRO!G80</f>
        <v>BENFICA</v>
      </c>
      <c r="G703" s="68">
        <f>SETEMBRO!H80</f>
        <v>45</v>
      </c>
      <c r="H703" s="37">
        <f>SETEMBRO!I80</f>
        <v>46309</v>
      </c>
      <c r="I703" s="34" t="str">
        <f>SETEMBRO!O80</f>
        <v>DESPESAS</v>
      </c>
      <c r="J703">
        <f t="shared" si="71"/>
        <v>15</v>
      </c>
      <c r="K703">
        <f t="shared" si="72"/>
        <v>3</v>
      </c>
      <c r="L703" t="str">
        <f t="shared" si="73"/>
        <v>MAR</v>
      </c>
      <c r="M703">
        <f t="shared" si="74"/>
        <v>14</v>
      </c>
      <c r="N703">
        <f t="shared" si="75"/>
        <v>10</v>
      </c>
      <c r="O703" t="str">
        <f t="shared" si="77"/>
        <v>OCT</v>
      </c>
      <c r="P703" t="str">
        <f t="shared" si="76"/>
        <v>PAGO</v>
      </c>
    </row>
    <row r="704" spans="3:16" ht="30" x14ac:dyDescent="0.25">
      <c r="C704" s="35">
        <f>SETEMBRO!C81</f>
        <v>46097</v>
      </c>
      <c r="D704" s="35" t="str">
        <f>SETEMBRO!D81</f>
        <v>DESPESAS COM PRODUTOS</v>
      </c>
      <c r="E704" s="35" t="str">
        <f>SETEMBRO!E81</f>
        <v>-</v>
      </c>
      <c r="F704" s="67">
        <f>SETEMBRO!G81</f>
        <v>0</v>
      </c>
      <c r="G704" s="68">
        <f>SETEMBRO!H81</f>
        <v>46</v>
      </c>
      <c r="H704" s="37">
        <f>SETEMBRO!I81</f>
        <v>46310</v>
      </c>
      <c r="I704" s="34" t="str">
        <f>SETEMBRO!O81</f>
        <v>DESPESAS</v>
      </c>
      <c r="J704">
        <f t="shared" si="71"/>
        <v>16</v>
      </c>
      <c r="K704">
        <f t="shared" si="72"/>
        <v>3</v>
      </c>
      <c r="L704" t="str">
        <f t="shared" si="73"/>
        <v>MAR</v>
      </c>
      <c r="M704">
        <f t="shared" si="74"/>
        <v>15</v>
      </c>
      <c r="N704">
        <f t="shared" si="75"/>
        <v>10</v>
      </c>
      <c r="O704" t="str">
        <f t="shared" si="77"/>
        <v>OCT</v>
      </c>
      <c r="P704" t="str">
        <f t="shared" si="76"/>
        <v>PAGO</v>
      </c>
    </row>
    <row r="705" spans="2:16" ht="30" x14ac:dyDescent="0.25">
      <c r="C705" s="35">
        <f>SETEMBRO!C82</f>
        <v>46098</v>
      </c>
      <c r="D705" s="35" t="str">
        <f>SETEMBRO!D82</f>
        <v>DESPESAS COM PRODUTOS</v>
      </c>
      <c r="E705" s="35" t="str">
        <f>SETEMBRO!E82</f>
        <v>-</v>
      </c>
      <c r="F705" s="67">
        <f>SETEMBRO!G82</f>
        <v>0</v>
      </c>
      <c r="G705" s="68">
        <f>SETEMBRO!H82</f>
        <v>47</v>
      </c>
      <c r="H705" s="37">
        <f>SETEMBRO!I82</f>
        <v>46311</v>
      </c>
      <c r="I705" s="34" t="str">
        <f>SETEMBRO!O82</f>
        <v>DESPESAS</v>
      </c>
      <c r="J705">
        <f t="shared" si="71"/>
        <v>17</v>
      </c>
      <c r="K705">
        <f t="shared" si="72"/>
        <v>3</v>
      </c>
      <c r="L705" t="str">
        <f t="shared" si="73"/>
        <v>MAR</v>
      </c>
      <c r="M705">
        <f t="shared" si="74"/>
        <v>16</v>
      </c>
      <c r="N705">
        <f t="shared" si="75"/>
        <v>10</v>
      </c>
      <c r="O705" t="str">
        <f t="shared" si="77"/>
        <v>OCT</v>
      </c>
      <c r="P705" t="str">
        <f t="shared" si="76"/>
        <v>PAGO</v>
      </c>
    </row>
    <row r="706" spans="2:16" ht="30" x14ac:dyDescent="0.25">
      <c r="C706" s="35">
        <f>SETEMBRO!C83</f>
        <v>46099</v>
      </c>
      <c r="D706" s="35" t="str">
        <f>SETEMBRO!D83</f>
        <v>DESPESAS COM PRODUTOS</v>
      </c>
      <c r="E706" s="35" t="str">
        <f>SETEMBRO!E83</f>
        <v>-</v>
      </c>
      <c r="F706" s="67">
        <f>SETEMBRO!G83</f>
        <v>0</v>
      </c>
      <c r="G706" s="68">
        <f>SETEMBRO!H83</f>
        <v>48</v>
      </c>
      <c r="H706" s="37">
        <f>SETEMBRO!I83</f>
        <v>46312</v>
      </c>
      <c r="I706" s="34" t="str">
        <f>SETEMBRO!O83</f>
        <v>DESPESAS</v>
      </c>
      <c r="J706">
        <f t="shared" si="71"/>
        <v>18</v>
      </c>
      <c r="K706">
        <f t="shared" si="72"/>
        <v>3</v>
      </c>
      <c r="L706" t="str">
        <f t="shared" si="73"/>
        <v>MAR</v>
      </c>
      <c r="M706">
        <f t="shared" si="74"/>
        <v>17</v>
      </c>
      <c r="N706">
        <f t="shared" si="75"/>
        <v>10</v>
      </c>
      <c r="O706" t="str">
        <f t="shared" si="77"/>
        <v>OCT</v>
      </c>
      <c r="P706" t="str">
        <f t="shared" si="76"/>
        <v>PAGO</v>
      </c>
    </row>
    <row r="707" spans="2:16" ht="30" x14ac:dyDescent="0.25">
      <c r="C707" s="35">
        <f>SETEMBRO!C84</f>
        <v>46100</v>
      </c>
      <c r="D707" s="35" t="str">
        <f>SETEMBRO!D84</f>
        <v>DESPESAS COM PRODUTOS</v>
      </c>
      <c r="E707" s="35" t="str">
        <f>SETEMBRO!E84</f>
        <v>-</v>
      </c>
      <c r="F707" s="67">
        <f>SETEMBRO!G84</f>
        <v>0</v>
      </c>
      <c r="G707" s="68">
        <f>SETEMBRO!H84</f>
        <v>49</v>
      </c>
      <c r="H707" s="37">
        <f>SETEMBRO!I84</f>
        <v>46313</v>
      </c>
      <c r="I707" s="34" t="str">
        <f>SETEMBRO!O84</f>
        <v>DESPESAS</v>
      </c>
      <c r="J707">
        <f t="shared" si="71"/>
        <v>19</v>
      </c>
      <c r="K707">
        <f t="shared" si="72"/>
        <v>3</v>
      </c>
      <c r="L707" t="str">
        <f t="shared" si="73"/>
        <v>MAR</v>
      </c>
      <c r="M707">
        <f t="shared" si="74"/>
        <v>18</v>
      </c>
      <c r="N707">
        <f t="shared" si="75"/>
        <v>10</v>
      </c>
      <c r="O707" t="str">
        <f t="shared" si="77"/>
        <v>OCT</v>
      </c>
      <c r="P707" t="str">
        <f t="shared" si="76"/>
        <v>PAGO</v>
      </c>
    </row>
    <row r="708" spans="2:16" x14ac:dyDescent="0.25">
      <c r="B708" s="44" t="s">
        <v>96</v>
      </c>
      <c r="C708" s="35">
        <f>OUTUBRO!C7</f>
        <v>46296</v>
      </c>
      <c r="D708" s="35" t="str">
        <f>OUTUBRO!D7</f>
        <v>RECEITAS COM SERVIÇOS</v>
      </c>
      <c r="E708" s="35" t="str">
        <f>OUTUBRO!E7</f>
        <v>-</v>
      </c>
      <c r="F708" s="67" t="str">
        <f>OUTUBRO!G7</f>
        <v>ESTALAGEM</v>
      </c>
      <c r="G708" s="68">
        <f>OUTUBRO!H7</f>
        <v>1</v>
      </c>
      <c r="H708" s="37">
        <f>OUTUBRO!I7</f>
        <v>46327</v>
      </c>
      <c r="I708" s="34" t="str">
        <f>OUTUBRO!O7</f>
        <v>RECEITAS</v>
      </c>
      <c r="J708">
        <f t="shared" si="71"/>
        <v>1</v>
      </c>
      <c r="K708">
        <f t="shared" si="72"/>
        <v>10</v>
      </c>
      <c r="L708" t="str">
        <f t="shared" si="73"/>
        <v>OCT</v>
      </c>
      <c r="M708">
        <f t="shared" si="74"/>
        <v>1</v>
      </c>
      <c r="N708">
        <f t="shared" si="75"/>
        <v>11</v>
      </c>
      <c r="O708" t="str">
        <f t="shared" si="77"/>
        <v>NOV</v>
      </c>
      <c r="P708" t="str">
        <f t="shared" si="76"/>
        <v>PAGO</v>
      </c>
    </row>
    <row r="709" spans="2:16" ht="30" x14ac:dyDescent="0.25">
      <c r="C709" s="35">
        <f>OUTUBRO!C8</f>
        <v>46297</v>
      </c>
      <c r="D709" s="35" t="str">
        <f>OUTUBRO!D8</f>
        <v>DESPESAS COM PRODUTOS</v>
      </c>
      <c r="E709" s="35" t="str">
        <f>OUTUBRO!E8</f>
        <v>-</v>
      </c>
      <c r="F709" s="67" t="str">
        <f>OUTUBRO!G8</f>
        <v>ESTALAGEM</v>
      </c>
      <c r="G709" s="68">
        <f>OUTUBRO!H8</f>
        <v>2</v>
      </c>
      <c r="H709" s="37">
        <f>OUTUBRO!I8</f>
        <v>46328</v>
      </c>
      <c r="I709" s="34" t="str">
        <f>OUTUBRO!O8</f>
        <v>DESPESAS</v>
      </c>
      <c r="J709">
        <f t="shared" si="71"/>
        <v>2</v>
      </c>
      <c r="K709">
        <f t="shared" si="72"/>
        <v>10</v>
      </c>
      <c r="L709" t="str">
        <f t="shared" si="73"/>
        <v>OCT</v>
      </c>
      <c r="M709">
        <f t="shared" si="74"/>
        <v>2</v>
      </c>
      <c r="N709">
        <f t="shared" si="75"/>
        <v>11</v>
      </c>
      <c r="O709" t="str">
        <f t="shared" si="77"/>
        <v>NOV</v>
      </c>
      <c r="P709" t="str">
        <f t="shared" si="76"/>
        <v>PAGO</v>
      </c>
    </row>
    <row r="710" spans="2:16" x14ac:dyDescent="0.25">
      <c r="C710" s="35">
        <f>OUTUBRO!C9</f>
        <v>46298</v>
      </c>
      <c r="D710" s="35" t="str">
        <f>OUTUBRO!D9</f>
        <v>DESPESAS COM RH</v>
      </c>
      <c r="E710" s="35" t="str">
        <f>OUTUBRO!E9</f>
        <v>MARKETING OFFLINE</v>
      </c>
      <c r="F710" s="67" t="str">
        <f>OUTUBRO!G9</f>
        <v>ESTALAGEM</v>
      </c>
      <c r="G710" s="68">
        <f>OUTUBRO!H9</f>
        <v>3</v>
      </c>
      <c r="H710" s="37">
        <f>OUTUBRO!I9</f>
        <v>46329</v>
      </c>
      <c r="I710" s="34" t="str">
        <f>OUTUBRO!O9</f>
        <v>DESPESAS</v>
      </c>
      <c r="J710">
        <f t="shared" si="71"/>
        <v>3</v>
      </c>
      <c r="K710">
        <f t="shared" si="72"/>
        <v>10</v>
      </c>
      <c r="L710" t="str">
        <f t="shared" si="73"/>
        <v>OCT</v>
      </c>
      <c r="M710">
        <f t="shared" si="74"/>
        <v>3</v>
      </c>
      <c r="N710">
        <f t="shared" si="75"/>
        <v>11</v>
      </c>
      <c r="O710" t="str">
        <f t="shared" si="77"/>
        <v>NOV</v>
      </c>
      <c r="P710" t="str">
        <f t="shared" si="76"/>
        <v>PAGO</v>
      </c>
    </row>
    <row r="711" spans="2:16" ht="30" x14ac:dyDescent="0.25">
      <c r="C711" s="35">
        <f>OUTUBRO!C10</f>
        <v>46299</v>
      </c>
      <c r="D711" s="35" t="str">
        <f>OUTUBRO!D10</f>
        <v>RECEITAS COM PRODUTOS</v>
      </c>
      <c r="E711" s="35" t="str">
        <f>OUTUBRO!E10</f>
        <v>APRESENTAÇÕES</v>
      </c>
      <c r="F711" s="67" t="str">
        <f>OUTUBRO!G10</f>
        <v>ESTALAGEM</v>
      </c>
      <c r="G711" s="68">
        <f>OUTUBRO!H10</f>
        <v>4</v>
      </c>
      <c r="H711" s="37">
        <f>OUTUBRO!I10</f>
        <v>46330</v>
      </c>
      <c r="I711" s="34" t="str">
        <f>OUTUBRO!O10</f>
        <v>RECEITAS</v>
      </c>
      <c r="J711">
        <f t="shared" ref="J711:J774" si="78">DAY(C711)</f>
        <v>4</v>
      </c>
      <c r="K711">
        <f t="shared" ref="K711:K774" si="79">IF(C711 = 0, " ",MONTH(C711))</f>
        <v>10</v>
      </c>
      <c r="L711" t="str">
        <f t="shared" ref="L711:L774" si="80">IFERROR(VLOOKUP(K711,$R$6:$S$17,2),"")</f>
        <v>OCT</v>
      </c>
      <c r="M711">
        <f t="shared" ref="M711:M774" si="81">DAY(H711)</f>
        <v>4</v>
      </c>
      <c r="N711">
        <f t="shared" ref="N711:N774" si="82">IF(H711 = 0, " ",MONTH(H711))</f>
        <v>11</v>
      </c>
      <c r="O711" t="str">
        <f t="shared" si="77"/>
        <v>NOV</v>
      </c>
      <c r="P711" t="str">
        <f t="shared" ref="P711:P774" si="83">IF(H711=0,"NAO PAGO","PAGO")</f>
        <v>PAGO</v>
      </c>
    </row>
    <row r="712" spans="2:16" ht="30" x14ac:dyDescent="0.25">
      <c r="C712" s="35">
        <f>OUTUBRO!C11</f>
        <v>46300</v>
      </c>
      <c r="D712" s="35" t="str">
        <f>OUTUBRO!D11</f>
        <v>DESPESAS COM PRODUTOS</v>
      </c>
      <c r="E712" s="35" t="str">
        <f>OUTUBRO!E11</f>
        <v>-</v>
      </c>
      <c r="F712" s="67" t="str">
        <f>OUTUBRO!G11</f>
        <v>ESTALAGEM</v>
      </c>
      <c r="G712" s="68">
        <f>OUTUBRO!H11</f>
        <v>5</v>
      </c>
      <c r="H712" s="37">
        <f>OUTUBRO!I11</f>
        <v>46331</v>
      </c>
      <c r="I712" s="34" t="str">
        <f>OUTUBRO!O11</f>
        <v>DESPESAS</v>
      </c>
      <c r="J712">
        <f t="shared" si="78"/>
        <v>5</v>
      </c>
      <c r="K712">
        <f t="shared" si="79"/>
        <v>10</v>
      </c>
      <c r="L712" t="str">
        <f t="shared" si="80"/>
        <v>OCT</v>
      </c>
      <c r="M712">
        <f t="shared" si="81"/>
        <v>5</v>
      </c>
      <c r="N712">
        <f t="shared" si="82"/>
        <v>11</v>
      </c>
      <c r="O712" t="str">
        <f t="shared" si="77"/>
        <v>NOV</v>
      </c>
      <c r="P712" t="str">
        <f t="shared" si="83"/>
        <v>PAGO</v>
      </c>
    </row>
    <row r="713" spans="2:16" ht="30" x14ac:dyDescent="0.25">
      <c r="C713" s="35">
        <f>OUTUBRO!C12</f>
        <v>46301</v>
      </c>
      <c r="D713" s="35" t="str">
        <f>OUTUBRO!D12</f>
        <v>DESPESAS COM PRODUTOS</v>
      </c>
      <c r="E713" s="35" t="str">
        <f>OUTUBRO!E12</f>
        <v>-</v>
      </c>
      <c r="F713" s="67" t="str">
        <f>OUTUBRO!G12</f>
        <v>BENFICA</v>
      </c>
      <c r="G713" s="68">
        <f>OUTUBRO!H12</f>
        <v>6</v>
      </c>
      <c r="H713" s="37">
        <f>OUTUBRO!I12</f>
        <v>46332</v>
      </c>
      <c r="I713" s="34" t="str">
        <f>OUTUBRO!O12</f>
        <v>DESPESAS</v>
      </c>
      <c r="J713">
        <f t="shared" si="78"/>
        <v>6</v>
      </c>
      <c r="K713">
        <f t="shared" si="79"/>
        <v>10</v>
      </c>
      <c r="L713" t="str">
        <f t="shared" si="80"/>
        <v>OCT</v>
      </c>
      <c r="M713">
        <f t="shared" si="81"/>
        <v>6</v>
      </c>
      <c r="N713">
        <f t="shared" si="82"/>
        <v>11</v>
      </c>
      <c r="O713" t="str">
        <f t="shared" si="77"/>
        <v>NOV</v>
      </c>
      <c r="P713" t="str">
        <f t="shared" si="83"/>
        <v>PAGO</v>
      </c>
    </row>
    <row r="714" spans="2:16" ht="30" x14ac:dyDescent="0.25">
      <c r="C714" s="35">
        <f>OUTUBRO!C13</f>
        <v>46302</v>
      </c>
      <c r="D714" s="35" t="str">
        <f>OUTUBRO!D13</f>
        <v>DESPESAS COM PRODUTOS</v>
      </c>
      <c r="E714" s="35" t="str">
        <f>OUTUBRO!E13</f>
        <v>-</v>
      </c>
      <c r="F714" s="67">
        <f>OUTUBRO!G13</f>
        <v>0</v>
      </c>
      <c r="G714" s="68">
        <f>OUTUBRO!H13</f>
        <v>19</v>
      </c>
      <c r="H714" s="37">
        <f>OUTUBRO!I13</f>
        <v>0</v>
      </c>
      <c r="I714" s="34" t="str">
        <f>OUTUBRO!O13</f>
        <v>DESPESAS</v>
      </c>
      <c r="J714">
        <f t="shared" si="78"/>
        <v>7</v>
      </c>
      <c r="K714">
        <f t="shared" si="79"/>
        <v>10</v>
      </c>
      <c r="L714" t="str">
        <f t="shared" si="80"/>
        <v>OCT</v>
      </c>
      <c r="M714">
        <f t="shared" si="81"/>
        <v>0</v>
      </c>
      <c r="N714" t="str">
        <f t="shared" si="82"/>
        <v xml:space="preserve"> </v>
      </c>
      <c r="O714" t="str">
        <f t="shared" si="77"/>
        <v/>
      </c>
      <c r="P714" t="str">
        <f t="shared" si="83"/>
        <v>NAO PAGO</v>
      </c>
    </row>
    <row r="715" spans="2:16" x14ac:dyDescent="0.25">
      <c r="C715" s="35">
        <f>OUTUBRO!C14</f>
        <v>46303</v>
      </c>
      <c r="D715" s="35" t="str">
        <f>OUTUBRO!D14</f>
        <v>DESPESAS COM RH</v>
      </c>
      <c r="E715" s="35" t="str">
        <f>OUTUBRO!E14</f>
        <v>ACTUALIZAÇÕES</v>
      </c>
      <c r="F715" s="67">
        <f>OUTUBRO!G14</f>
        <v>0</v>
      </c>
      <c r="G715" s="68">
        <f>OUTUBRO!H14</f>
        <v>8</v>
      </c>
      <c r="H715" s="37">
        <f>OUTUBRO!I14</f>
        <v>46334</v>
      </c>
      <c r="I715" s="34" t="str">
        <f>OUTUBRO!O14</f>
        <v>DESPESAS</v>
      </c>
      <c r="J715">
        <f t="shared" si="78"/>
        <v>8</v>
      </c>
      <c r="K715">
        <f t="shared" si="79"/>
        <v>10</v>
      </c>
      <c r="L715" t="str">
        <f t="shared" si="80"/>
        <v>OCT</v>
      </c>
      <c r="M715">
        <f t="shared" si="81"/>
        <v>8</v>
      </c>
      <c r="N715">
        <f t="shared" si="82"/>
        <v>11</v>
      </c>
      <c r="O715" t="str">
        <f t="shared" si="77"/>
        <v>NOV</v>
      </c>
      <c r="P715" t="str">
        <f t="shared" si="83"/>
        <v>PAGO</v>
      </c>
    </row>
    <row r="716" spans="2:16" x14ac:dyDescent="0.25">
      <c r="C716" s="35">
        <f>OUTUBRO!C15</f>
        <v>46304</v>
      </c>
      <c r="D716" s="35" t="str">
        <f>OUTUBRO!D15</f>
        <v>RECEITAS COM SERVIÇOS</v>
      </c>
      <c r="E716" s="35" t="str">
        <f>OUTUBRO!E15</f>
        <v>-</v>
      </c>
      <c r="F716" s="67">
        <f>OUTUBRO!G15</f>
        <v>0</v>
      </c>
      <c r="G716" s="68">
        <f>OUTUBRO!H15</f>
        <v>9</v>
      </c>
      <c r="H716" s="37">
        <f>OUTUBRO!I15</f>
        <v>46335</v>
      </c>
      <c r="I716" s="34" t="str">
        <f>OUTUBRO!O15</f>
        <v>RECEITAS</v>
      </c>
      <c r="J716">
        <f t="shared" si="78"/>
        <v>9</v>
      </c>
      <c r="K716">
        <f t="shared" si="79"/>
        <v>10</v>
      </c>
      <c r="L716" t="str">
        <f t="shared" si="80"/>
        <v>OCT</v>
      </c>
      <c r="M716">
        <f t="shared" si="81"/>
        <v>9</v>
      </c>
      <c r="N716">
        <f t="shared" si="82"/>
        <v>11</v>
      </c>
      <c r="O716" t="str">
        <f t="shared" si="77"/>
        <v>NOV</v>
      </c>
      <c r="P716" t="str">
        <f t="shared" si="83"/>
        <v>PAGO</v>
      </c>
    </row>
    <row r="717" spans="2:16" ht="30" x14ac:dyDescent="0.25">
      <c r="C717" s="35">
        <f>OUTUBRO!C16</f>
        <v>46305</v>
      </c>
      <c r="D717" s="35" t="str">
        <f>OUTUBRO!D16</f>
        <v>DESPESAS COM MARKETING</v>
      </c>
      <c r="E717" s="35" t="str">
        <f>OUTUBRO!E16</f>
        <v>-</v>
      </c>
      <c r="F717" s="67">
        <f>OUTUBRO!G16</f>
        <v>0</v>
      </c>
      <c r="G717" s="68">
        <f>OUTUBRO!H16</f>
        <v>10</v>
      </c>
      <c r="H717" s="37">
        <f>OUTUBRO!I16</f>
        <v>46336</v>
      </c>
      <c r="I717" s="34" t="str">
        <f>OUTUBRO!O16</f>
        <v>DESPESAS</v>
      </c>
      <c r="J717">
        <f t="shared" si="78"/>
        <v>10</v>
      </c>
      <c r="K717">
        <f t="shared" si="79"/>
        <v>10</v>
      </c>
      <c r="L717" t="str">
        <f t="shared" si="80"/>
        <v>OCT</v>
      </c>
      <c r="M717">
        <f t="shared" si="81"/>
        <v>10</v>
      </c>
      <c r="N717">
        <f t="shared" si="82"/>
        <v>11</v>
      </c>
      <c r="O717" t="str">
        <f t="shared" si="77"/>
        <v>NOV</v>
      </c>
      <c r="P717" t="str">
        <f t="shared" si="83"/>
        <v>PAGO</v>
      </c>
    </row>
    <row r="718" spans="2:16" ht="30" x14ac:dyDescent="0.25">
      <c r="C718" s="35">
        <f>OUTUBRO!C17</f>
        <v>46306</v>
      </c>
      <c r="D718" s="35" t="str">
        <f>OUTUBRO!D17</f>
        <v>DESPESAS OPERACIONAIS</v>
      </c>
      <c r="E718" s="35" t="str">
        <f>OUTUBRO!E17</f>
        <v>ESTUDIOS GRAVAÇÃO</v>
      </c>
      <c r="F718" s="67">
        <f>OUTUBRO!G17</f>
        <v>0</v>
      </c>
      <c r="G718" s="68">
        <f>OUTUBRO!H17</f>
        <v>11</v>
      </c>
      <c r="H718" s="37">
        <f>OUTUBRO!I17</f>
        <v>46337</v>
      </c>
      <c r="I718" s="34" t="str">
        <f>OUTUBRO!O17</f>
        <v>DESPESAS</v>
      </c>
      <c r="J718">
        <f t="shared" si="78"/>
        <v>11</v>
      </c>
      <c r="K718">
        <f t="shared" si="79"/>
        <v>10</v>
      </c>
      <c r="L718" t="str">
        <f t="shared" si="80"/>
        <v>OCT</v>
      </c>
      <c r="M718">
        <f t="shared" si="81"/>
        <v>11</v>
      </c>
      <c r="N718">
        <f t="shared" si="82"/>
        <v>11</v>
      </c>
      <c r="O718" t="str">
        <f t="shared" si="77"/>
        <v>NOV</v>
      </c>
      <c r="P718" t="str">
        <f t="shared" si="83"/>
        <v>PAGO</v>
      </c>
    </row>
    <row r="719" spans="2:16" ht="30" x14ac:dyDescent="0.25">
      <c r="C719" s="35">
        <f>OUTUBRO!C18</f>
        <v>46307</v>
      </c>
      <c r="D719" s="35" t="str">
        <f>OUTUBRO!D18</f>
        <v>DESPESAS COM PRODUTOS</v>
      </c>
      <c r="E719" s="35" t="str">
        <f>OUTUBRO!E18</f>
        <v>-</v>
      </c>
      <c r="F719" s="67" t="str">
        <f>OUTUBRO!G18</f>
        <v>CALEMBA 2</v>
      </c>
      <c r="G719" s="68">
        <f>OUTUBRO!H18</f>
        <v>12</v>
      </c>
      <c r="H719" s="37">
        <f>OUTUBRO!I18</f>
        <v>46338</v>
      </c>
      <c r="I719" s="34" t="str">
        <f>OUTUBRO!O18</f>
        <v>DESPESAS</v>
      </c>
      <c r="J719">
        <f t="shared" si="78"/>
        <v>12</v>
      </c>
      <c r="K719">
        <f t="shared" si="79"/>
        <v>10</v>
      </c>
      <c r="L719" t="str">
        <f t="shared" si="80"/>
        <v>OCT</v>
      </c>
      <c r="M719">
        <f t="shared" si="81"/>
        <v>12</v>
      </c>
      <c r="N719">
        <f t="shared" si="82"/>
        <v>11</v>
      </c>
      <c r="O719" t="str">
        <f t="shared" si="77"/>
        <v>NOV</v>
      </c>
      <c r="P719" t="str">
        <f t="shared" si="83"/>
        <v>PAGO</v>
      </c>
    </row>
    <row r="720" spans="2:16" ht="30" x14ac:dyDescent="0.25">
      <c r="C720" s="35">
        <f>OUTUBRO!C19</f>
        <v>46308</v>
      </c>
      <c r="D720" s="35" t="str">
        <f>OUTUBRO!D19</f>
        <v>DESPESAS COM PRODUTOS</v>
      </c>
      <c r="E720" s="35" t="str">
        <f>OUTUBRO!E19</f>
        <v>-</v>
      </c>
      <c r="F720" s="67">
        <f>OUTUBRO!G19</f>
        <v>0</v>
      </c>
      <c r="G720" s="68">
        <f>OUTUBRO!H19</f>
        <v>13</v>
      </c>
      <c r="H720" s="37">
        <f>OUTUBRO!I19</f>
        <v>46339</v>
      </c>
      <c r="I720" s="34" t="str">
        <f>OUTUBRO!O19</f>
        <v>DESPESAS</v>
      </c>
      <c r="J720">
        <f t="shared" si="78"/>
        <v>13</v>
      </c>
      <c r="K720">
        <f t="shared" si="79"/>
        <v>10</v>
      </c>
      <c r="L720" t="str">
        <f t="shared" si="80"/>
        <v>OCT</v>
      </c>
      <c r="M720">
        <f t="shared" si="81"/>
        <v>13</v>
      </c>
      <c r="N720">
        <f t="shared" si="82"/>
        <v>11</v>
      </c>
      <c r="O720" t="str">
        <f t="shared" si="77"/>
        <v>NOV</v>
      </c>
      <c r="P720" t="str">
        <f t="shared" si="83"/>
        <v>PAGO</v>
      </c>
    </row>
    <row r="721" spans="3:16" ht="30" x14ac:dyDescent="0.25">
      <c r="C721" s="35">
        <f>OUTUBRO!C20</f>
        <v>46309</v>
      </c>
      <c r="D721" s="35" t="str">
        <f>OUTUBRO!D20</f>
        <v>DESPESAS COM PRODUTOS</v>
      </c>
      <c r="E721" s="35" t="str">
        <f>OUTUBRO!E20</f>
        <v>-</v>
      </c>
      <c r="F721" s="67">
        <f>OUTUBRO!G20</f>
        <v>0</v>
      </c>
      <c r="G721" s="68">
        <f>OUTUBRO!H20</f>
        <v>14</v>
      </c>
      <c r="H721" s="37">
        <f>OUTUBRO!I20</f>
        <v>46340</v>
      </c>
      <c r="I721" s="34" t="str">
        <f>OUTUBRO!O20</f>
        <v>DESPESAS</v>
      </c>
      <c r="J721">
        <f t="shared" si="78"/>
        <v>14</v>
      </c>
      <c r="K721">
        <f t="shared" si="79"/>
        <v>10</v>
      </c>
      <c r="L721" t="str">
        <f t="shared" si="80"/>
        <v>OCT</v>
      </c>
      <c r="M721">
        <f t="shared" si="81"/>
        <v>14</v>
      </c>
      <c r="N721">
        <f t="shared" si="82"/>
        <v>11</v>
      </c>
      <c r="O721" t="str">
        <f t="shared" si="77"/>
        <v>NOV</v>
      </c>
      <c r="P721" t="str">
        <f t="shared" si="83"/>
        <v>PAGO</v>
      </c>
    </row>
    <row r="722" spans="3:16" ht="30" x14ac:dyDescent="0.25">
      <c r="C722" s="35">
        <f>OUTUBRO!C21</f>
        <v>46310</v>
      </c>
      <c r="D722" s="35" t="str">
        <f>OUTUBRO!D21</f>
        <v>DESPESAS COM PRODUTOS</v>
      </c>
      <c r="E722" s="35" t="str">
        <f>OUTUBRO!E21</f>
        <v>-</v>
      </c>
      <c r="F722" s="67">
        <f>OUTUBRO!G21</f>
        <v>0</v>
      </c>
      <c r="G722" s="68">
        <f>OUTUBRO!H21</f>
        <v>15</v>
      </c>
      <c r="H722" s="37">
        <f>OUTUBRO!I21</f>
        <v>46341</v>
      </c>
      <c r="I722" s="34" t="str">
        <f>OUTUBRO!O21</f>
        <v>DESPESAS</v>
      </c>
      <c r="J722">
        <f t="shared" si="78"/>
        <v>15</v>
      </c>
      <c r="K722">
        <f t="shared" si="79"/>
        <v>10</v>
      </c>
      <c r="L722" t="str">
        <f t="shared" si="80"/>
        <v>OCT</v>
      </c>
      <c r="M722">
        <f t="shared" si="81"/>
        <v>15</v>
      </c>
      <c r="N722">
        <f t="shared" si="82"/>
        <v>11</v>
      </c>
      <c r="O722" t="str">
        <f t="shared" si="77"/>
        <v>NOV</v>
      </c>
      <c r="P722" t="str">
        <f t="shared" si="83"/>
        <v>PAGO</v>
      </c>
    </row>
    <row r="723" spans="3:16" ht="30" x14ac:dyDescent="0.25">
      <c r="C723" s="35">
        <f>OUTUBRO!C22</f>
        <v>46311</v>
      </c>
      <c r="D723" s="35" t="str">
        <f>OUTUBRO!D22</f>
        <v>DESPESAS COM PRODUTOS</v>
      </c>
      <c r="E723" s="35" t="str">
        <f>OUTUBRO!E22</f>
        <v>-</v>
      </c>
      <c r="F723" s="67">
        <f>OUTUBRO!G22</f>
        <v>0</v>
      </c>
      <c r="G723" s="68">
        <f>OUTUBRO!H22</f>
        <v>16</v>
      </c>
      <c r="H723" s="37">
        <f>OUTUBRO!I22</f>
        <v>46342</v>
      </c>
      <c r="I723" s="34" t="str">
        <f>OUTUBRO!O22</f>
        <v>DESPESAS</v>
      </c>
      <c r="J723">
        <f t="shared" si="78"/>
        <v>16</v>
      </c>
      <c r="K723">
        <f t="shared" si="79"/>
        <v>10</v>
      </c>
      <c r="L723" t="str">
        <f t="shared" si="80"/>
        <v>OCT</v>
      </c>
      <c r="M723">
        <f t="shared" si="81"/>
        <v>16</v>
      </c>
      <c r="N723">
        <f t="shared" si="82"/>
        <v>11</v>
      </c>
      <c r="O723" t="str">
        <f t="shared" si="77"/>
        <v>NOV</v>
      </c>
      <c r="P723" t="str">
        <f t="shared" si="83"/>
        <v>PAGO</v>
      </c>
    </row>
    <row r="724" spans="3:16" ht="30" x14ac:dyDescent="0.25">
      <c r="C724" s="35">
        <f>OUTUBRO!C23</f>
        <v>46312</v>
      </c>
      <c r="D724" s="35" t="str">
        <f>OUTUBRO!D23</f>
        <v>DESPESAS COM PRODUTOS</v>
      </c>
      <c r="E724" s="35" t="str">
        <f>OUTUBRO!E23</f>
        <v>-</v>
      </c>
      <c r="F724" s="67">
        <f>OUTUBRO!G23</f>
        <v>0</v>
      </c>
      <c r="G724" s="68">
        <f>OUTUBRO!H23</f>
        <v>17</v>
      </c>
      <c r="H724" s="37">
        <f>OUTUBRO!I23</f>
        <v>46343</v>
      </c>
      <c r="I724" s="34" t="str">
        <f>OUTUBRO!O23</f>
        <v>DESPESAS</v>
      </c>
      <c r="J724">
        <f t="shared" si="78"/>
        <v>17</v>
      </c>
      <c r="K724">
        <f t="shared" si="79"/>
        <v>10</v>
      </c>
      <c r="L724" t="str">
        <f t="shared" si="80"/>
        <v>OCT</v>
      </c>
      <c r="M724">
        <f t="shared" si="81"/>
        <v>17</v>
      </c>
      <c r="N724">
        <f t="shared" si="82"/>
        <v>11</v>
      </c>
      <c r="O724" t="str">
        <f t="shared" si="77"/>
        <v>NOV</v>
      </c>
      <c r="P724" t="str">
        <f t="shared" si="83"/>
        <v>PAGO</v>
      </c>
    </row>
    <row r="725" spans="3:16" ht="30" x14ac:dyDescent="0.25">
      <c r="C725" s="35">
        <f>OUTUBRO!C24</f>
        <v>46313</v>
      </c>
      <c r="D725" s="35" t="str">
        <f>OUTUBRO!D24</f>
        <v>DESPESAS COM PRODUTOS</v>
      </c>
      <c r="E725" s="35" t="str">
        <f>OUTUBRO!E24</f>
        <v>-</v>
      </c>
      <c r="F725" s="67">
        <f>OUTUBRO!G24</f>
        <v>0</v>
      </c>
      <c r="G725" s="68">
        <f>OUTUBRO!H24</f>
        <v>18</v>
      </c>
      <c r="H725" s="37">
        <f>OUTUBRO!I24</f>
        <v>46344</v>
      </c>
      <c r="I725" s="34" t="str">
        <f>OUTUBRO!O24</f>
        <v>DESPESAS</v>
      </c>
      <c r="J725">
        <f t="shared" si="78"/>
        <v>18</v>
      </c>
      <c r="K725">
        <f t="shared" si="79"/>
        <v>10</v>
      </c>
      <c r="L725" t="str">
        <f t="shared" si="80"/>
        <v>OCT</v>
      </c>
      <c r="M725">
        <f t="shared" si="81"/>
        <v>18</v>
      </c>
      <c r="N725">
        <f t="shared" si="82"/>
        <v>11</v>
      </c>
      <c r="O725" t="str">
        <f t="shared" si="77"/>
        <v>NOV</v>
      </c>
      <c r="P725" t="str">
        <f t="shared" si="83"/>
        <v>PAGO</v>
      </c>
    </row>
    <row r="726" spans="3:16" ht="30" x14ac:dyDescent="0.25">
      <c r="C726" s="35">
        <f>OUTUBRO!C25</f>
        <v>46314</v>
      </c>
      <c r="D726" s="35" t="str">
        <f>OUTUBRO!D25</f>
        <v>DESPESAS COM PRODUTOS</v>
      </c>
      <c r="E726" s="35" t="str">
        <f>OUTUBRO!E25</f>
        <v>-</v>
      </c>
      <c r="F726" s="67">
        <f>OUTUBRO!G25</f>
        <v>0</v>
      </c>
      <c r="G726" s="68">
        <f>OUTUBRO!H25</f>
        <v>19</v>
      </c>
      <c r="H726" s="37">
        <f>OUTUBRO!I25</f>
        <v>46345</v>
      </c>
      <c r="I726" s="34" t="str">
        <f>OUTUBRO!O25</f>
        <v>DESPESAS</v>
      </c>
      <c r="J726">
        <f t="shared" si="78"/>
        <v>19</v>
      </c>
      <c r="K726">
        <f t="shared" si="79"/>
        <v>10</v>
      </c>
      <c r="L726" t="str">
        <f t="shared" si="80"/>
        <v>OCT</v>
      </c>
      <c r="M726">
        <f t="shared" si="81"/>
        <v>19</v>
      </c>
      <c r="N726">
        <f t="shared" si="82"/>
        <v>11</v>
      </c>
      <c r="O726" t="str">
        <f t="shared" si="77"/>
        <v>NOV</v>
      </c>
      <c r="P726" t="str">
        <f t="shared" si="83"/>
        <v>PAGO</v>
      </c>
    </row>
    <row r="727" spans="3:16" ht="30" x14ac:dyDescent="0.25">
      <c r="C727" s="35">
        <f>OUTUBRO!C26</f>
        <v>46315</v>
      </c>
      <c r="D727" s="35" t="str">
        <f>OUTUBRO!D26</f>
        <v>DESPESAS COM PRODUTOS</v>
      </c>
      <c r="E727" s="35" t="str">
        <f>OUTUBRO!E26</f>
        <v>-</v>
      </c>
      <c r="F727" s="67">
        <f>OUTUBRO!G26</f>
        <v>0</v>
      </c>
      <c r="G727" s="68">
        <f>OUTUBRO!H26</f>
        <v>20</v>
      </c>
      <c r="H727" s="37">
        <f>OUTUBRO!I26</f>
        <v>46346</v>
      </c>
      <c r="I727" s="34" t="str">
        <f>OUTUBRO!O26</f>
        <v>DESPESAS</v>
      </c>
      <c r="J727">
        <f t="shared" si="78"/>
        <v>20</v>
      </c>
      <c r="K727">
        <f t="shared" si="79"/>
        <v>10</v>
      </c>
      <c r="L727" t="str">
        <f t="shared" si="80"/>
        <v>OCT</v>
      </c>
      <c r="M727">
        <f t="shared" si="81"/>
        <v>20</v>
      </c>
      <c r="N727">
        <f t="shared" si="82"/>
        <v>11</v>
      </c>
      <c r="O727" t="str">
        <f t="shared" ref="O727:O790" si="84">IFERROR(VLOOKUP(N727,$R$6:$S$17,2),"")</f>
        <v>NOV</v>
      </c>
      <c r="P727" t="str">
        <f t="shared" si="83"/>
        <v>PAGO</v>
      </c>
    </row>
    <row r="728" spans="3:16" ht="30" x14ac:dyDescent="0.25">
      <c r="C728" s="35">
        <f>OUTUBRO!C27</f>
        <v>46316</v>
      </c>
      <c r="D728" s="35" t="str">
        <f>OUTUBRO!D27</f>
        <v>DESPESAS COM PRODUTOS</v>
      </c>
      <c r="E728" s="35" t="str">
        <f>OUTUBRO!E27</f>
        <v>-</v>
      </c>
      <c r="F728" s="67">
        <f>OUTUBRO!G27</f>
        <v>0</v>
      </c>
      <c r="G728" s="68">
        <f>OUTUBRO!H27</f>
        <v>21</v>
      </c>
      <c r="H728" s="37">
        <f>OUTUBRO!I27</f>
        <v>46347</v>
      </c>
      <c r="I728" s="34" t="str">
        <f>OUTUBRO!O27</f>
        <v>DESPESAS</v>
      </c>
      <c r="J728">
        <f t="shared" si="78"/>
        <v>21</v>
      </c>
      <c r="K728">
        <f t="shared" si="79"/>
        <v>10</v>
      </c>
      <c r="L728" t="str">
        <f t="shared" si="80"/>
        <v>OCT</v>
      </c>
      <c r="M728">
        <f t="shared" si="81"/>
        <v>21</v>
      </c>
      <c r="N728">
        <f t="shared" si="82"/>
        <v>11</v>
      </c>
      <c r="O728" t="str">
        <f t="shared" si="84"/>
        <v>NOV</v>
      </c>
      <c r="P728" t="str">
        <f t="shared" si="83"/>
        <v>PAGO</v>
      </c>
    </row>
    <row r="729" spans="3:16" ht="30" x14ac:dyDescent="0.25">
      <c r="C729" s="35">
        <f>OUTUBRO!C28</f>
        <v>46317</v>
      </c>
      <c r="D729" s="35" t="str">
        <f>OUTUBRO!D28</f>
        <v>DESPESAS COM PRODUTOS</v>
      </c>
      <c r="E729" s="35" t="str">
        <f>OUTUBRO!E28</f>
        <v>-</v>
      </c>
      <c r="F729" s="67">
        <f>OUTUBRO!G28</f>
        <v>0</v>
      </c>
      <c r="G729" s="68">
        <f>OUTUBRO!H28</f>
        <v>22</v>
      </c>
      <c r="H729" s="37">
        <f>OUTUBRO!I28</f>
        <v>46348</v>
      </c>
      <c r="I729" s="34" t="str">
        <f>OUTUBRO!O28</f>
        <v>DESPESAS</v>
      </c>
      <c r="J729">
        <f t="shared" si="78"/>
        <v>22</v>
      </c>
      <c r="K729">
        <f t="shared" si="79"/>
        <v>10</v>
      </c>
      <c r="L729" t="str">
        <f t="shared" si="80"/>
        <v>OCT</v>
      </c>
      <c r="M729">
        <f t="shared" si="81"/>
        <v>22</v>
      </c>
      <c r="N729">
        <f t="shared" si="82"/>
        <v>11</v>
      </c>
      <c r="O729" t="str">
        <f t="shared" si="84"/>
        <v>NOV</v>
      </c>
      <c r="P729" t="str">
        <f t="shared" si="83"/>
        <v>PAGO</v>
      </c>
    </row>
    <row r="730" spans="3:16" ht="30" x14ac:dyDescent="0.25">
      <c r="C730" s="35">
        <f>OUTUBRO!C29</f>
        <v>46318</v>
      </c>
      <c r="D730" s="35" t="str">
        <f>OUTUBRO!D29</f>
        <v>DESPESAS COM PRODUTOS</v>
      </c>
      <c r="E730" s="35" t="str">
        <f>OUTUBRO!E29</f>
        <v>-</v>
      </c>
      <c r="F730" s="67">
        <f>OUTUBRO!G29</f>
        <v>0</v>
      </c>
      <c r="G730" s="68">
        <f>OUTUBRO!H29</f>
        <v>23</v>
      </c>
      <c r="H730" s="37">
        <f>OUTUBRO!I29</f>
        <v>46349</v>
      </c>
      <c r="I730" s="34" t="str">
        <f>OUTUBRO!O29</f>
        <v>DESPESAS</v>
      </c>
      <c r="J730">
        <f t="shared" si="78"/>
        <v>23</v>
      </c>
      <c r="K730">
        <f t="shared" si="79"/>
        <v>10</v>
      </c>
      <c r="L730" t="str">
        <f t="shared" si="80"/>
        <v>OCT</v>
      </c>
      <c r="M730">
        <f t="shared" si="81"/>
        <v>23</v>
      </c>
      <c r="N730">
        <f t="shared" si="82"/>
        <v>11</v>
      </c>
      <c r="O730" t="str">
        <f t="shared" si="84"/>
        <v>NOV</v>
      </c>
      <c r="P730" t="str">
        <f t="shared" si="83"/>
        <v>PAGO</v>
      </c>
    </row>
    <row r="731" spans="3:16" ht="30" x14ac:dyDescent="0.25">
      <c r="C731" s="35">
        <f>OUTUBRO!C30</f>
        <v>46319</v>
      </c>
      <c r="D731" s="35" t="str">
        <f>OUTUBRO!D30</f>
        <v>DESPESAS COM PRODUTOS</v>
      </c>
      <c r="E731" s="35" t="str">
        <f>OUTUBRO!E30</f>
        <v>-</v>
      </c>
      <c r="F731" s="67">
        <f>OUTUBRO!G30</f>
        <v>0</v>
      </c>
      <c r="G731" s="68">
        <f>OUTUBRO!H30</f>
        <v>24</v>
      </c>
      <c r="H731" s="37">
        <f>OUTUBRO!I30</f>
        <v>46350</v>
      </c>
      <c r="I731" s="34" t="str">
        <f>OUTUBRO!O30</f>
        <v>DESPESAS</v>
      </c>
      <c r="J731">
        <f t="shared" si="78"/>
        <v>24</v>
      </c>
      <c r="K731">
        <f t="shared" si="79"/>
        <v>10</v>
      </c>
      <c r="L731" t="str">
        <f t="shared" si="80"/>
        <v>OCT</v>
      </c>
      <c r="M731">
        <f t="shared" si="81"/>
        <v>24</v>
      </c>
      <c r="N731">
        <f t="shared" si="82"/>
        <v>11</v>
      </c>
      <c r="O731" t="str">
        <f t="shared" si="84"/>
        <v>NOV</v>
      </c>
      <c r="P731" t="str">
        <f t="shared" si="83"/>
        <v>PAGO</v>
      </c>
    </row>
    <row r="732" spans="3:16" ht="30" x14ac:dyDescent="0.25">
      <c r="C732" s="35">
        <f>OUTUBRO!C31</f>
        <v>46320</v>
      </c>
      <c r="D732" s="35" t="str">
        <f>OUTUBRO!D31</f>
        <v>DESPESAS COM PRODUTOS</v>
      </c>
      <c r="E732" s="35" t="str">
        <f>OUTUBRO!E31</f>
        <v>-</v>
      </c>
      <c r="F732" s="67">
        <f>OUTUBRO!G31</f>
        <v>0</v>
      </c>
      <c r="G732" s="68">
        <f>OUTUBRO!H31</f>
        <v>25</v>
      </c>
      <c r="H732" s="37">
        <f>OUTUBRO!I31</f>
        <v>46351</v>
      </c>
      <c r="I732" s="34" t="str">
        <f>OUTUBRO!O31</f>
        <v>DESPESAS</v>
      </c>
      <c r="J732">
        <f t="shared" si="78"/>
        <v>25</v>
      </c>
      <c r="K732">
        <f t="shared" si="79"/>
        <v>10</v>
      </c>
      <c r="L732" t="str">
        <f t="shared" si="80"/>
        <v>OCT</v>
      </c>
      <c r="M732">
        <f t="shared" si="81"/>
        <v>25</v>
      </c>
      <c r="N732">
        <f t="shared" si="82"/>
        <v>11</v>
      </c>
      <c r="O732" t="str">
        <f t="shared" si="84"/>
        <v>NOV</v>
      </c>
      <c r="P732" t="str">
        <f t="shared" si="83"/>
        <v>PAGO</v>
      </c>
    </row>
    <row r="733" spans="3:16" ht="30" x14ac:dyDescent="0.25">
      <c r="C733" s="35">
        <f>OUTUBRO!C32</f>
        <v>46321</v>
      </c>
      <c r="D733" s="35" t="str">
        <f>OUTUBRO!D32</f>
        <v>DESPESAS COM PRODUTOS</v>
      </c>
      <c r="E733" s="35" t="str">
        <f>OUTUBRO!E32</f>
        <v>-</v>
      </c>
      <c r="F733" s="67">
        <f>OUTUBRO!G32</f>
        <v>0</v>
      </c>
      <c r="G733" s="68">
        <f>OUTUBRO!H32</f>
        <v>26</v>
      </c>
      <c r="H733" s="37">
        <f>OUTUBRO!I32</f>
        <v>46321</v>
      </c>
      <c r="I733" s="34" t="str">
        <f>OUTUBRO!O32</f>
        <v>DESPESAS</v>
      </c>
      <c r="J733">
        <f t="shared" si="78"/>
        <v>26</v>
      </c>
      <c r="K733">
        <f t="shared" si="79"/>
        <v>10</v>
      </c>
      <c r="L733" t="str">
        <f t="shared" si="80"/>
        <v>OCT</v>
      </c>
      <c r="M733">
        <f t="shared" si="81"/>
        <v>26</v>
      </c>
      <c r="N733">
        <f t="shared" si="82"/>
        <v>10</v>
      </c>
      <c r="O733" t="str">
        <f t="shared" si="84"/>
        <v>OCT</v>
      </c>
      <c r="P733" t="str">
        <f t="shared" si="83"/>
        <v>PAGO</v>
      </c>
    </row>
    <row r="734" spans="3:16" ht="30" x14ac:dyDescent="0.25">
      <c r="C734" s="35">
        <f>OUTUBRO!C33</f>
        <v>46322</v>
      </c>
      <c r="D734" s="35" t="str">
        <f>OUTUBRO!D33</f>
        <v>DESPESAS COM PRODUTOS</v>
      </c>
      <c r="E734" s="35" t="str">
        <f>OUTUBRO!E33</f>
        <v>-</v>
      </c>
      <c r="F734" s="67">
        <f>OUTUBRO!G33</f>
        <v>0</v>
      </c>
      <c r="G734" s="68">
        <f>OUTUBRO!H33</f>
        <v>27</v>
      </c>
      <c r="H734" s="37">
        <f>OUTUBRO!I33</f>
        <v>46322</v>
      </c>
      <c r="I734" s="34" t="str">
        <f>OUTUBRO!O33</f>
        <v>DESPESAS</v>
      </c>
      <c r="J734">
        <f t="shared" si="78"/>
        <v>27</v>
      </c>
      <c r="K734">
        <f t="shared" si="79"/>
        <v>10</v>
      </c>
      <c r="L734" t="str">
        <f t="shared" si="80"/>
        <v>OCT</v>
      </c>
      <c r="M734">
        <f t="shared" si="81"/>
        <v>27</v>
      </c>
      <c r="N734">
        <f t="shared" si="82"/>
        <v>10</v>
      </c>
      <c r="O734" t="str">
        <f t="shared" si="84"/>
        <v>OCT</v>
      </c>
      <c r="P734" t="str">
        <f t="shared" si="83"/>
        <v>PAGO</v>
      </c>
    </row>
    <row r="735" spans="3:16" ht="30" x14ac:dyDescent="0.25">
      <c r="C735" s="35">
        <f>OUTUBRO!C34</f>
        <v>46323</v>
      </c>
      <c r="D735" s="35" t="str">
        <f>OUTUBRO!D34</f>
        <v>DESPESAS COM PRODUTOS</v>
      </c>
      <c r="E735" s="35" t="str">
        <f>OUTUBRO!E34</f>
        <v>-</v>
      </c>
      <c r="F735" s="67">
        <f>OUTUBRO!G34</f>
        <v>0</v>
      </c>
      <c r="G735" s="68">
        <f>OUTUBRO!H34</f>
        <v>28</v>
      </c>
      <c r="H735" s="37">
        <f>OUTUBRO!I34</f>
        <v>46323</v>
      </c>
      <c r="I735" s="34" t="str">
        <f>OUTUBRO!O34</f>
        <v>DESPESAS</v>
      </c>
      <c r="J735">
        <f t="shared" si="78"/>
        <v>28</v>
      </c>
      <c r="K735">
        <f t="shared" si="79"/>
        <v>10</v>
      </c>
      <c r="L735" t="str">
        <f t="shared" si="80"/>
        <v>OCT</v>
      </c>
      <c r="M735">
        <f t="shared" si="81"/>
        <v>28</v>
      </c>
      <c r="N735">
        <f t="shared" si="82"/>
        <v>10</v>
      </c>
      <c r="O735" t="str">
        <f t="shared" si="84"/>
        <v>OCT</v>
      </c>
      <c r="P735" t="str">
        <f t="shared" si="83"/>
        <v>PAGO</v>
      </c>
    </row>
    <row r="736" spans="3:16" ht="30" x14ac:dyDescent="0.25">
      <c r="C736" s="35">
        <f>OUTUBRO!C35</f>
        <v>46324</v>
      </c>
      <c r="D736" s="35" t="str">
        <f>OUTUBRO!D35</f>
        <v>DESPESAS COM PRODUTOS</v>
      </c>
      <c r="E736" s="35" t="str">
        <f>OUTUBRO!E35</f>
        <v>-</v>
      </c>
      <c r="F736" s="67">
        <f>OUTUBRO!G35</f>
        <v>0</v>
      </c>
      <c r="G736" s="68">
        <f>OUTUBRO!H35</f>
        <v>29</v>
      </c>
      <c r="H736" s="37">
        <f>OUTUBRO!I35</f>
        <v>46324</v>
      </c>
      <c r="I736" s="34" t="str">
        <f>OUTUBRO!O35</f>
        <v>DESPESAS</v>
      </c>
      <c r="J736">
        <f t="shared" si="78"/>
        <v>29</v>
      </c>
      <c r="K736">
        <f t="shared" si="79"/>
        <v>10</v>
      </c>
      <c r="L736" t="str">
        <f t="shared" si="80"/>
        <v>OCT</v>
      </c>
      <c r="M736">
        <f t="shared" si="81"/>
        <v>29</v>
      </c>
      <c r="N736">
        <f t="shared" si="82"/>
        <v>10</v>
      </c>
      <c r="O736" t="str">
        <f t="shared" si="84"/>
        <v>OCT</v>
      </c>
      <c r="P736" t="str">
        <f t="shared" si="83"/>
        <v>PAGO</v>
      </c>
    </row>
    <row r="737" spans="3:16" ht="30" x14ac:dyDescent="0.25">
      <c r="C737" s="35">
        <f>OUTUBRO!C36</f>
        <v>46325</v>
      </c>
      <c r="D737" s="35" t="str">
        <f>OUTUBRO!D36</f>
        <v>DESPESAS COM PRODUTOS</v>
      </c>
      <c r="E737" s="35" t="str">
        <f>OUTUBRO!E36</f>
        <v>-</v>
      </c>
      <c r="F737" s="67">
        <f>OUTUBRO!G36</f>
        <v>0</v>
      </c>
      <c r="G737" s="68">
        <f>OUTUBRO!H36</f>
        <v>30</v>
      </c>
      <c r="H737" s="37">
        <f>OUTUBRO!I36</f>
        <v>46325</v>
      </c>
      <c r="I737" s="34" t="str">
        <f>OUTUBRO!O36</f>
        <v>DESPESAS</v>
      </c>
      <c r="J737">
        <f t="shared" si="78"/>
        <v>30</v>
      </c>
      <c r="K737">
        <f t="shared" si="79"/>
        <v>10</v>
      </c>
      <c r="L737" t="str">
        <f t="shared" si="80"/>
        <v>OCT</v>
      </c>
      <c r="M737">
        <f t="shared" si="81"/>
        <v>30</v>
      </c>
      <c r="N737">
        <f t="shared" si="82"/>
        <v>10</v>
      </c>
      <c r="O737" t="str">
        <f t="shared" si="84"/>
        <v>OCT</v>
      </c>
      <c r="P737" t="str">
        <f t="shared" si="83"/>
        <v>PAGO</v>
      </c>
    </row>
    <row r="738" spans="3:16" ht="30" x14ac:dyDescent="0.25">
      <c r="C738" s="35">
        <f>OUTUBRO!C37</f>
        <v>46326</v>
      </c>
      <c r="D738" s="35" t="str">
        <f>OUTUBRO!D37</f>
        <v>DESPESAS COM PRODUTOS</v>
      </c>
      <c r="E738" s="35" t="str">
        <f>OUTUBRO!E37</f>
        <v>-</v>
      </c>
      <c r="F738" s="67">
        <f>OUTUBRO!G37</f>
        <v>0</v>
      </c>
      <c r="G738" s="68">
        <f>OUTUBRO!H37</f>
        <v>31</v>
      </c>
      <c r="H738" s="37">
        <f>OUTUBRO!I37</f>
        <v>46326</v>
      </c>
      <c r="I738" s="34" t="str">
        <f>OUTUBRO!O37</f>
        <v>DESPESAS</v>
      </c>
      <c r="J738">
        <f t="shared" si="78"/>
        <v>31</v>
      </c>
      <c r="K738">
        <f t="shared" si="79"/>
        <v>10</v>
      </c>
      <c r="L738" t="str">
        <f t="shared" si="80"/>
        <v>OCT</v>
      </c>
      <c r="M738">
        <f t="shared" si="81"/>
        <v>31</v>
      </c>
      <c r="N738">
        <f t="shared" si="82"/>
        <v>10</v>
      </c>
      <c r="O738" t="str">
        <f t="shared" si="84"/>
        <v>OCT</v>
      </c>
      <c r="P738" t="str">
        <f t="shared" si="83"/>
        <v>PAGO</v>
      </c>
    </row>
    <row r="739" spans="3:16" ht="30" x14ac:dyDescent="0.25">
      <c r="C739" s="35">
        <f>OUTUBRO!C38</f>
        <v>0</v>
      </c>
      <c r="D739" s="35" t="str">
        <f>OUTUBRO!D38</f>
        <v>DESPESAS COM PRODUTOS</v>
      </c>
      <c r="E739" s="35" t="str">
        <f>OUTUBRO!E38</f>
        <v>-</v>
      </c>
      <c r="F739" s="67">
        <f>OUTUBRO!G38</f>
        <v>0</v>
      </c>
      <c r="G739" s="68">
        <f>OUTUBRO!H38</f>
        <v>0</v>
      </c>
      <c r="H739" s="37">
        <f>OUTUBRO!I38</f>
        <v>46296</v>
      </c>
      <c r="I739" s="34" t="str">
        <f>OUTUBRO!O38</f>
        <v>DESPESAS</v>
      </c>
      <c r="J739">
        <f t="shared" si="78"/>
        <v>0</v>
      </c>
      <c r="K739" t="str">
        <f t="shared" si="79"/>
        <v xml:space="preserve"> </v>
      </c>
      <c r="L739" t="str">
        <f t="shared" si="80"/>
        <v/>
      </c>
      <c r="M739">
        <f t="shared" si="81"/>
        <v>1</v>
      </c>
      <c r="N739">
        <f t="shared" si="82"/>
        <v>10</v>
      </c>
      <c r="O739" t="str">
        <f t="shared" si="84"/>
        <v>OCT</v>
      </c>
      <c r="P739" t="str">
        <f t="shared" si="83"/>
        <v>PAGO</v>
      </c>
    </row>
    <row r="740" spans="3:16" ht="30" x14ac:dyDescent="0.25">
      <c r="C740" s="35">
        <f>OUTUBRO!C39</f>
        <v>0</v>
      </c>
      <c r="D740" s="35" t="str">
        <f>OUTUBRO!D39</f>
        <v>DESPESAS COM PRODUTOS</v>
      </c>
      <c r="E740" s="35" t="str">
        <f>OUTUBRO!E39</f>
        <v>-</v>
      </c>
      <c r="F740" s="67">
        <f>OUTUBRO!G39</f>
        <v>0</v>
      </c>
      <c r="G740" s="68">
        <f>OUTUBRO!H39</f>
        <v>0</v>
      </c>
      <c r="H740" s="37">
        <f>OUTUBRO!I39</f>
        <v>46297</v>
      </c>
      <c r="I740" s="34" t="str">
        <f>OUTUBRO!O39</f>
        <v>DESPESAS</v>
      </c>
      <c r="J740">
        <f t="shared" si="78"/>
        <v>0</v>
      </c>
      <c r="K740" t="str">
        <f t="shared" si="79"/>
        <v xml:space="preserve"> </v>
      </c>
      <c r="L740" t="str">
        <f t="shared" si="80"/>
        <v/>
      </c>
      <c r="M740">
        <f t="shared" si="81"/>
        <v>2</v>
      </c>
      <c r="N740">
        <f t="shared" si="82"/>
        <v>10</v>
      </c>
      <c r="O740" t="str">
        <f t="shared" si="84"/>
        <v>OCT</v>
      </c>
      <c r="P740" t="str">
        <f t="shared" si="83"/>
        <v>PAGO</v>
      </c>
    </row>
    <row r="741" spans="3:16" ht="30" x14ac:dyDescent="0.25">
      <c r="C741" s="35">
        <f>OUTUBRO!C40</f>
        <v>0</v>
      </c>
      <c r="D741" s="35" t="str">
        <f>OUTUBRO!D40</f>
        <v>DESPESAS COM PRODUTOS</v>
      </c>
      <c r="E741" s="35" t="str">
        <f>OUTUBRO!E40</f>
        <v>-</v>
      </c>
      <c r="F741" s="67">
        <f>OUTUBRO!G40</f>
        <v>0</v>
      </c>
      <c r="G741" s="68">
        <f>OUTUBRO!H40</f>
        <v>0</v>
      </c>
      <c r="H741" s="37">
        <f>OUTUBRO!I40</f>
        <v>46298</v>
      </c>
      <c r="I741" s="34" t="str">
        <f>OUTUBRO!O40</f>
        <v>DESPESAS</v>
      </c>
      <c r="J741">
        <f t="shared" si="78"/>
        <v>0</v>
      </c>
      <c r="K741" t="str">
        <f t="shared" si="79"/>
        <v xml:space="preserve"> </v>
      </c>
      <c r="L741" t="str">
        <f t="shared" si="80"/>
        <v/>
      </c>
      <c r="M741">
        <f t="shared" si="81"/>
        <v>3</v>
      </c>
      <c r="N741">
        <f t="shared" si="82"/>
        <v>10</v>
      </c>
      <c r="O741" t="str">
        <f t="shared" si="84"/>
        <v>OCT</v>
      </c>
      <c r="P741" t="str">
        <f t="shared" si="83"/>
        <v>PAGO</v>
      </c>
    </row>
    <row r="742" spans="3:16" ht="30" x14ac:dyDescent="0.25">
      <c r="C742" s="35">
        <f>OUTUBRO!C41</f>
        <v>0</v>
      </c>
      <c r="D742" s="35" t="str">
        <f>OUTUBRO!D41</f>
        <v>DESPESAS COM PRODUTOS</v>
      </c>
      <c r="E742" s="35" t="str">
        <f>OUTUBRO!E41</f>
        <v>-</v>
      </c>
      <c r="F742" s="67">
        <f>OUTUBRO!G41</f>
        <v>0</v>
      </c>
      <c r="G742" s="68">
        <f>OUTUBRO!H41</f>
        <v>0</v>
      </c>
      <c r="H742" s="37">
        <f>OUTUBRO!I41</f>
        <v>46299</v>
      </c>
      <c r="I742" s="34" t="str">
        <f>OUTUBRO!O41</f>
        <v>DESPESAS</v>
      </c>
      <c r="J742">
        <f t="shared" si="78"/>
        <v>0</v>
      </c>
      <c r="K742" t="str">
        <f t="shared" si="79"/>
        <v xml:space="preserve"> </v>
      </c>
      <c r="L742" t="str">
        <f t="shared" si="80"/>
        <v/>
      </c>
      <c r="M742">
        <f t="shared" si="81"/>
        <v>4</v>
      </c>
      <c r="N742">
        <f t="shared" si="82"/>
        <v>10</v>
      </c>
      <c r="O742" t="str">
        <f t="shared" si="84"/>
        <v>OCT</v>
      </c>
      <c r="P742" t="str">
        <f t="shared" si="83"/>
        <v>PAGO</v>
      </c>
    </row>
    <row r="743" spans="3:16" ht="30" x14ac:dyDescent="0.25">
      <c r="C743" s="35">
        <f>OUTUBRO!C42</f>
        <v>0</v>
      </c>
      <c r="D743" s="35" t="str">
        <f>OUTUBRO!D42</f>
        <v>DESPESAS COM PRODUTOS</v>
      </c>
      <c r="E743" s="35" t="str">
        <f>OUTUBRO!E42</f>
        <v>-</v>
      </c>
      <c r="F743" s="67">
        <f>OUTUBRO!G42</f>
        <v>0</v>
      </c>
      <c r="G743" s="68">
        <f>OUTUBRO!H42</f>
        <v>0</v>
      </c>
      <c r="H743" s="37">
        <f>OUTUBRO!I42</f>
        <v>46300</v>
      </c>
      <c r="I743" s="34" t="str">
        <f>OUTUBRO!O42</f>
        <v>DESPESAS</v>
      </c>
      <c r="J743">
        <f t="shared" si="78"/>
        <v>0</v>
      </c>
      <c r="K743" t="str">
        <f t="shared" si="79"/>
        <v xml:space="preserve"> </v>
      </c>
      <c r="L743" t="str">
        <f t="shared" si="80"/>
        <v/>
      </c>
      <c r="M743">
        <f t="shared" si="81"/>
        <v>5</v>
      </c>
      <c r="N743">
        <f t="shared" si="82"/>
        <v>10</v>
      </c>
      <c r="O743" t="str">
        <f t="shared" si="84"/>
        <v>OCT</v>
      </c>
      <c r="P743" t="str">
        <f t="shared" si="83"/>
        <v>PAGO</v>
      </c>
    </row>
    <row r="744" spans="3:16" ht="30" x14ac:dyDescent="0.25">
      <c r="C744" s="35">
        <f>OUTUBRO!C43</f>
        <v>0</v>
      </c>
      <c r="D744" s="35" t="str">
        <f>OUTUBRO!D43</f>
        <v>DESPESAS COM PRODUTOS</v>
      </c>
      <c r="E744" s="35" t="str">
        <f>OUTUBRO!E43</f>
        <v>-</v>
      </c>
      <c r="F744" s="67">
        <f>OUTUBRO!G43</f>
        <v>0</v>
      </c>
      <c r="G744" s="68">
        <f>OUTUBRO!H43</f>
        <v>0</v>
      </c>
      <c r="H744" s="37">
        <f>OUTUBRO!I43</f>
        <v>46301</v>
      </c>
      <c r="I744" s="34" t="str">
        <f>OUTUBRO!O43</f>
        <v>DESPESAS</v>
      </c>
      <c r="J744">
        <f t="shared" si="78"/>
        <v>0</v>
      </c>
      <c r="K744" t="str">
        <f t="shared" si="79"/>
        <v xml:space="preserve"> </v>
      </c>
      <c r="L744" t="str">
        <f t="shared" si="80"/>
        <v/>
      </c>
      <c r="M744">
        <f t="shared" si="81"/>
        <v>6</v>
      </c>
      <c r="N744">
        <f t="shared" si="82"/>
        <v>10</v>
      </c>
      <c r="O744" t="str">
        <f t="shared" si="84"/>
        <v>OCT</v>
      </c>
      <c r="P744" t="str">
        <f t="shared" si="83"/>
        <v>PAGO</v>
      </c>
    </row>
    <row r="745" spans="3:16" ht="30" x14ac:dyDescent="0.25">
      <c r="C745" s="35">
        <f>OUTUBRO!C44</f>
        <v>0</v>
      </c>
      <c r="D745" s="35" t="str">
        <f>OUTUBRO!D44</f>
        <v>DESPESAS COM PRODUTOS</v>
      </c>
      <c r="E745" s="35" t="str">
        <f>OUTUBRO!E44</f>
        <v>-</v>
      </c>
      <c r="F745" s="67">
        <f>OUTUBRO!G44</f>
        <v>0</v>
      </c>
      <c r="G745" s="68">
        <f>OUTUBRO!H44</f>
        <v>0</v>
      </c>
      <c r="H745" s="37">
        <f>OUTUBRO!I44</f>
        <v>46302</v>
      </c>
      <c r="I745" s="34" t="str">
        <f>OUTUBRO!O44</f>
        <v>DESPESAS</v>
      </c>
      <c r="J745">
        <f t="shared" si="78"/>
        <v>0</v>
      </c>
      <c r="K745" t="str">
        <f t="shared" si="79"/>
        <v xml:space="preserve"> </v>
      </c>
      <c r="L745" t="str">
        <f t="shared" si="80"/>
        <v/>
      </c>
      <c r="M745">
        <f t="shared" si="81"/>
        <v>7</v>
      </c>
      <c r="N745">
        <f t="shared" si="82"/>
        <v>10</v>
      </c>
      <c r="O745" t="str">
        <f t="shared" si="84"/>
        <v>OCT</v>
      </c>
      <c r="P745" t="str">
        <f t="shared" si="83"/>
        <v>PAGO</v>
      </c>
    </row>
    <row r="746" spans="3:16" ht="30" x14ac:dyDescent="0.25">
      <c r="C746" s="35">
        <f>OUTUBRO!C45</f>
        <v>0</v>
      </c>
      <c r="D746" s="35" t="str">
        <f>OUTUBRO!D45</f>
        <v>DESPESAS COM PRODUTOS</v>
      </c>
      <c r="E746" s="35" t="str">
        <f>OUTUBRO!E45</f>
        <v>-</v>
      </c>
      <c r="F746" s="67">
        <f>OUTUBRO!G45</f>
        <v>0</v>
      </c>
      <c r="G746" s="68">
        <f>OUTUBRO!H45</f>
        <v>0</v>
      </c>
      <c r="H746" s="37">
        <f>OUTUBRO!I45</f>
        <v>46303</v>
      </c>
      <c r="I746" s="34" t="str">
        <f>OUTUBRO!O45</f>
        <v>DESPESAS</v>
      </c>
      <c r="J746">
        <f t="shared" si="78"/>
        <v>0</v>
      </c>
      <c r="K746" t="str">
        <f t="shared" si="79"/>
        <v xml:space="preserve"> </v>
      </c>
      <c r="L746" t="str">
        <f t="shared" si="80"/>
        <v/>
      </c>
      <c r="M746">
        <f t="shared" si="81"/>
        <v>8</v>
      </c>
      <c r="N746">
        <f t="shared" si="82"/>
        <v>10</v>
      </c>
      <c r="O746" t="str">
        <f t="shared" si="84"/>
        <v>OCT</v>
      </c>
      <c r="P746" t="str">
        <f t="shared" si="83"/>
        <v>PAGO</v>
      </c>
    </row>
    <row r="747" spans="3:16" ht="30" x14ac:dyDescent="0.25">
      <c r="C747" s="35">
        <f>OUTUBRO!C46</f>
        <v>0</v>
      </c>
      <c r="D747" s="35" t="str">
        <f>OUTUBRO!D46</f>
        <v>DESPESAS COM PRODUTOS</v>
      </c>
      <c r="E747" s="35" t="str">
        <f>OUTUBRO!E46</f>
        <v>-</v>
      </c>
      <c r="F747" s="67">
        <f>OUTUBRO!G46</f>
        <v>0</v>
      </c>
      <c r="G747" s="68">
        <f>OUTUBRO!H46</f>
        <v>0</v>
      </c>
      <c r="H747" s="37">
        <f>OUTUBRO!I46</f>
        <v>46304</v>
      </c>
      <c r="I747" s="34" t="str">
        <f>OUTUBRO!O46</f>
        <v>DESPESAS</v>
      </c>
      <c r="J747">
        <f t="shared" si="78"/>
        <v>0</v>
      </c>
      <c r="K747" t="str">
        <f t="shared" si="79"/>
        <v xml:space="preserve"> </v>
      </c>
      <c r="L747" t="str">
        <f t="shared" si="80"/>
        <v/>
      </c>
      <c r="M747">
        <f t="shared" si="81"/>
        <v>9</v>
      </c>
      <c r="N747">
        <f t="shared" si="82"/>
        <v>10</v>
      </c>
      <c r="O747" t="str">
        <f t="shared" si="84"/>
        <v>OCT</v>
      </c>
      <c r="P747" t="str">
        <f t="shared" si="83"/>
        <v>PAGO</v>
      </c>
    </row>
    <row r="748" spans="3:16" ht="30" x14ac:dyDescent="0.25">
      <c r="C748" s="35">
        <f>OUTUBRO!C47</f>
        <v>0</v>
      </c>
      <c r="D748" s="35" t="str">
        <f>OUTUBRO!D47</f>
        <v>DESPESAS COM PRODUTOS</v>
      </c>
      <c r="E748" s="35" t="str">
        <f>OUTUBRO!E47</f>
        <v>-</v>
      </c>
      <c r="F748" s="67">
        <f>OUTUBRO!G47</f>
        <v>0</v>
      </c>
      <c r="G748" s="68">
        <f>OUTUBRO!H47</f>
        <v>0</v>
      </c>
      <c r="H748" s="37">
        <f>OUTUBRO!I47</f>
        <v>46305</v>
      </c>
      <c r="I748" s="34" t="str">
        <f>OUTUBRO!O47</f>
        <v>DESPESAS</v>
      </c>
      <c r="J748">
        <f t="shared" si="78"/>
        <v>0</v>
      </c>
      <c r="K748" t="str">
        <f t="shared" si="79"/>
        <v xml:space="preserve"> </v>
      </c>
      <c r="L748" t="str">
        <f t="shared" si="80"/>
        <v/>
      </c>
      <c r="M748">
        <f t="shared" si="81"/>
        <v>10</v>
      </c>
      <c r="N748">
        <f t="shared" si="82"/>
        <v>10</v>
      </c>
      <c r="O748" t="str">
        <f t="shared" si="84"/>
        <v>OCT</v>
      </c>
      <c r="P748" t="str">
        <f t="shared" si="83"/>
        <v>PAGO</v>
      </c>
    </row>
    <row r="749" spans="3:16" ht="30" x14ac:dyDescent="0.25">
      <c r="C749" s="35">
        <f>OUTUBRO!C48</f>
        <v>0</v>
      </c>
      <c r="D749" s="35" t="str">
        <f>OUTUBRO!D48</f>
        <v>DESPESAS COM PRODUTOS</v>
      </c>
      <c r="E749" s="35" t="str">
        <f>OUTUBRO!E48</f>
        <v>-</v>
      </c>
      <c r="F749" s="67">
        <f>OUTUBRO!G48</f>
        <v>0</v>
      </c>
      <c r="G749" s="68">
        <f>OUTUBRO!H48</f>
        <v>0</v>
      </c>
      <c r="H749" s="37">
        <f>OUTUBRO!I48</f>
        <v>46306</v>
      </c>
      <c r="I749" s="34" t="str">
        <f>OUTUBRO!O48</f>
        <v>DESPESAS</v>
      </c>
      <c r="J749">
        <f t="shared" si="78"/>
        <v>0</v>
      </c>
      <c r="K749" t="str">
        <f t="shared" si="79"/>
        <v xml:space="preserve"> </v>
      </c>
      <c r="L749" t="str">
        <f t="shared" si="80"/>
        <v/>
      </c>
      <c r="M749">
        <f t="shared" si="81"/>
        <v>11</v>
      </c>
      <c r="N749">
        <f t="shared" si="82"/>
        <v>10</v>
      </c>
      <c r="O749" t="str">
        <f t="shared" si="84"/>
        <v>OCT</v>
      </c>
      <c r="P749" t="str">
        <f t="shared" si="83"/>
        <v>PAGO</v>
      </c>
    </row>
    <row r="750" spans="3:16" ht="30" x14ac:dyDescent="0.25">
      <c r="C750" s="35">
        <f>OUTUBRO!C49</f>
        <v>0</v>
      </c>
      <c r="D750" s="35" t="str">
        <f>OUTUBRO!D49</f>
        <v>DESPESAS COM PRODUTOS</v>
      </c>
      <c r="E750" s="35" t="str">
        <f>OUTUBRO!E49</f>
        <v>-</v>
      </c>
      <c r="F750" s="67">
        <f>OUTUBRO!G49</f>
        <v>0</v>
      </c>
      <c r="G750" s="68">
        <f>OUTUBRO!H49</f>
        <v>0</v>
      </c>
      <c r="H750" s="37">
        <f>OUTUBRO!I49</f>
        <v>46307</v>
      </c>
      <c r="I750" s="34" t="str">
        <f>OUTUBRO!O49</f>
        <v>DESPESAS</v>
      </c>
      <c r="J750">
        <f t="shared" si="78"/>
        <v>0</v>
      </c>
      <c r="K750" t="str">
        <f t="shared" si="79"/>
        <v xml:space="preserve"> </v>
      </c>
      <c r="L750" t="str">
        <f t="shared" si="80"/>
        <v/>
      </c>
      <c r="M750">
        <f t="shared" si="81"/>
        <v>12</v>
      </c>
      <c r="N750">
        <f t="shared" si="82"/>
        <v>10</v>
      </c>
      <c r="O750" t="str">
        <f t="shared" si="84"/>
        <v>OCT</v>
      </c>
      <c r="P750" t="str">
        <f t="shared" si="83"/>
        <v>PAGO</v>
      </c>
    </row>
    <row r="751" spans="3:16" ht="30" x14ac:dyDescent="0.25">
      <c r="C751" s="35">
        <f>OUTUBRO!C50</f>
        <v>0</v>
      </c>
      <c r="D751" s="35" t="str">
        <f>OUTUBRO!D50</f>
        <v>DESPESAS COM PRODUTOS</v>
      </c>
      <c r="E751" s="35" t="str">
        <f>OUTUBRO!E50</f>
        <v>-</v>
      </c>
      <c r="F751" s="67">
        <f>OUTUBRO!G50</f>
        <v>0</v>
      </c>
      <c r="G751" s="68">
        <f>OUTUBRO!H50</f>
        <v>0</v>
      </c>
      <c r="H751" s="37">
        <f>OUTUBRO!I50</f>
        <v>46308</v>
      </c>
      <c r="I751" s="34" t="str">
        <f>OUTUBRO!O50</f>
        <v>DESPESAS</v>
      </c>
      <c r="J751">
        <f t="shared" si="78"/>
        <v>0</v>
      </c>
      <c r="K751" t="str">
        <f t="shared" si="79"/>
        <v xml:space="preserve"> </v>
      </c>
      <c r="L751" t="str">
        <f t="shared" si="80"/>
        <v/>
      </c>
      <c r="M751">
        <f t="shared" si="81"/>
        <v>13</v>
      </c>
      <c r="N751">
        <f t="shared" si="82"/>
        <v>10</v>
      </c>
      <c r="O751" t="str">
        <f t="shared" si="84"/>
        <v>OCT</v>
      </c>
      <c r="P751" t="str">
        <f t="shared" si="83"/>
        <v>PAGO</v>
      </c>
    </row>
    <row r="752" spans="3:16" ht="30" x14ac:dyDescent="0.25">
      <c r="C752" s="35">
        <f>OUTUBRO!C51</f>
        <v>0</v>
      </c>
      <c r="D752" s="35" t="str">
        <f>OUTUBRO!D51</f>
        <v>DESPESAS COM PRODUTOS</v>
      </c>
      <c r="E752" s="35" t="str">
        <f>OUTUBRO!E51</f>
        <v>-</v>
      </c>
      <c r="F752" s="67">
        <f>OUTUBRO!G51</f>
        <v>0</v>
      </c>
      <c r="G752" s="68">
        <f>OUTUBRO!H51</f>
        <v>0</v>
      </c>
      <c r="H752" s="37">
        <f>OUTUBRO!I51</f>
        <v>46309</v>
      </c>
      <c r="I752" s="34" t="str">
        <f>OUTUBRO!O51</f>
        <v>DESPESAS</v>
      </c>
      <c r="J752">
        <f t="shared" si="78"/>
        <v>0</v>
      </c>
      <c r="K752" t="str">
        <f t="shared" si="79"/>
        <v xml:space="preserve"> </v>
      </c>
      <c r="L752" t="str">
        <f t="shared" si="80"/>
        <v/>
      </c>
      <c r="M752">
        <f t="shared" si="81"/>
        <v>14</v>
      </c>
      <c r="N752">
        <f t="shared" si="82"/>
        <v>10</v>
      </c>
      <c r="O752" t="str">
        <f t="shared" si="84"/>
        <v>OCT</v>
      </c>
      <c r="P752" t="str">
        <f t="shared" si="83"/>
        <v>PAGO</v>
      </c>
    </row>
    <row r="753" spans="3:16" ht="30" x14ac:dyDescent="0.25">
      <c r="C753" s="35">
        <f>OUTUBRO!C52</f>
        <v>0</v>
      </c>
      <c r="D753" s="35" t="str">
        <f>OUTUBRO!D52</f>
        <v>DESPESAS COM PRODUTOS</v>
      </c>
      <c r="E753" s="35" t="str">
        <f>OUTUBRO!E52</f>
        <v>-</v>
      </c>
      <c r="F753" s="67">
        <f>OUTUBRO!G52</f>
        <v>0</v>
      </c>
      <c r="G753" s="68">
        <f>OUTUBRO!H52</f>
        <v>0</v>
      </c>
      <c r="H753" s="37">
        <f>OUTUBRO!I52</f>
        <v>46310</v>
      </c>
      <c r="I753" s="34" t="str">
        <f>OUTUBRO!O52</f>
        <v>DESPESAS</v>
      </c>
      <c r="J753">
        <f t="shared" si="78"/>
        <v>0</v>
      </c>
      <c r="K753" t="str">
        <f t="shared" si="79"/>
        <v xml:space="preserve"> </v>
      </c>
      <c r="L753" t="str">
        <f t="shared" si="80"/>
        <v/>
      </c>
      <c r="M753">
        <f t="shared" si="81"/>
        <v>15</v>
      </c>
      <c r="N753">
        <f t="shared" si="82"/>
        <v>10</v>
      </c>
      <c r="O753" t="str">
        <f t="shared" si="84"/>
        <v>OCT</v>
      </c>
      <c r="P753" t="str">
        <f t="shared" si="83"/>
        <v>PAGO</v>
      </c>
    </row>
    <row r="754" spans="3:16" ht="30" x14ac:dyDescent="0.25">
      <c r="C754" s="35">
        <f>OUTUBRO!C53</f>
        <v>0</v>
      </c>
      <c r="D754" s="35" t="str">
        <f>OUTUBRO!D53</f>
        <v>DESPESAS COM PRODUTOS</v>
      </c>
      <c r="E754" s="35" t="str">
        <f>OUTUBRO!E53</f>
        <v>-</v>
      </c>
      <c r="F754" s="67">
        <f>OUTUBRO!G53</f>
        <v>0</v>
      </c>
      <c r="G754" s="68">
        <f>OUTUBRO!H53</f>
        <v>0</v>
      </c>
      <c r="H754" s="37">
        <f>OUTUBRO!I53</f>
        <v>46311</v>
      </c>
      <c r="I754" s="34" t="str">
        <f>OUTUBRO!O53</f>
        <v>DESPESAS</v>
      </c>
      <c r="J754">
        <f t="shared" si="78"/>
        <v>0</v>
      </c>
      <c r="K754" t="str">
        <f t="shared" si="79"/>
        <v xml:space="preserve"> </v>
      </c>
      <c r="L754" t="str">
        <f t="shared" si="80"/>
        <v/>
      </c>
      <c r="M754">
        <f t="shared" si="81"/>
        <v>16</v>
      </c>
      <c r="N754">
        <f t="shared" si="82"/>
        <v>10</v>
      </c>
      <c r="O754" t="str">
        <f t="shared" si="84"/>
        <v>OCT</v>
      </c>
      <c r="P754" t="str">
        <f t="shared" si="83"/>
        <v>PAGO</v>
      </c>
    </row>
    <row r="755" spans="3:16" ht="30" x14ac:dyDescent="0.25">
      <c r="C755" s="35">
        <f>OUTUBRO!C54</f>
        <v>0</v>
      </c>
      <c r="D755" s="35" t="str">
        <f>OUTUBRO!D54</f>
        <v>DESPESAS COM PRODUTOS</v>
      </c>
      <c r="E755" s="35" t="str">
        <f>OUTUBRO!E54</f>
        <v>-</v>
      </c>
      <c r="F755" s="67">
        <f>OUTUBRO!G54</f>
        <v>0</v>
      </c>
      <c r="G755" s="68">
        <f>OUTUBRO!H54</f>
        <v>0</v>
      </c>
      <c r="H755" s="37">
        <f>OUTUBRO!I54</f>
        <v>46312</v>
      </c>
      <c r="I755" s="34" t="str">
        <f>OUTUBRO!O54</f>
        <v>DESPESAS</v>
      </c>
      <c r="J755">
        <f t="shared" si="78"/>
        <v>0</v>
      </c>
      <c r="K755" t="str">
        <f t="shared" si="79"/>
        <v xml:space="preserve"> </v>
      </c>
      <c r="L755" t="str">
        <f t="shared" si="80"/>
        <v/>
      </c>
      <c r="M755">
        <f t="shared" si="81"/>
        <v>17</v>
      </c>
      <c r="N755">
        <f t="shared" si="82"/>
        <v>10</v>
      </c>
      <c r="O755" t="str">
        <f t="shared" si="84"/>
        <v>OCT</v>
      </c>
      <c r="P755" t="str">
        <f t="shared" si="83"/>
        <v>PAGO</v>
      </c>
    </row>
    <row r="756" spans="3:16" ht="30" x14ac:dyDescent="0.25">
      <c r="C756" s="35">
        <f>OUTUBRO!C55</f>
        <v>0</v>
      </c>
      <c r="D756" s="35" t="str">
        <f>OUTUBRO!D55</f>
        <v>DESPESAS COM PRODUTOS</v>
      </c>
      <c r="E756" s="35" t="str">
        <f>OUTUBRO!E55</f>
        <v>-</v>
      </c>
      <c r="F756" s="67">
        <f>OUTUBRO!G55</f>
        <v>0</v>
      </c>
      <c r="G756" s="68">
        <f>OUTUBRO!H55</f>
        <v>0</v>
      </c>
      <c r="H756" s="37">
        <f>OUTUBRO!I55</f>
        <v>46313</v>
      </c>
      <c r="I756" s="34" t="str">
        <f>OUTUBRO!O55</f>
        <v>DESPESAS</v>
      </c>
      <c r="J756">
        <f t="shared" si="78"/>
        <v>0</v>
      </c>
      <c r="K756" t="str">
        <f t="shared" si="79"/>
        <v xml:space="preserve"> </v>
      </c>
      <c r="L756" t="str">
        <f t="shared" si="80"/>
        <v/>
      </c>
      <c r="M756">
        <f t="shared" si="81"/>
        <v>18</v>
      </c>
      <c r="N756">
        <f t="shared" si="82"/>
        <v>10</v>
      </c>
      <c r="O756" t="str">
        <f t="shared" si="84"/>
        <v>OCT</v>
      </c>
      <c r="P756" t="str">
        <f t="shared" si="83"/>
        <v>PAGO</v>
      </c>
    </row>
    <row r="757" spans="3:16" ht="30" x14ac:dyDescent="0.25">
      <c r="C757" s="35">
        <f>OUTUBRO!C56</f>
        <v>0</v>
      </c>
      <c r="D757" s="35" t="str">
        <f>OUTUBRO!D56</f>
        <v>DESPESAS COM PRODUTOS</v>
      </c>
      <c r="E757" s="35" t="str">
        <f>OUTUBRO!E56</f>
        <v>-</v>
      </c>
      <c r="F757" s="67">
        <f>OUTUBRO!G56</f>
        <v>0</v>
      </c>
      <c r="G757" s="68">
        <f>OUTUBRO!H56</f>
        <v>0</v>
      </c>
      <c r="H757" s="37">
        <f>OUTUBRO!I56</f>
        <v>46314</v>
      </c>
      <c r="I757" s="34" t="str">
        <f>OUTUBRO!O56</f>
        <v>DESPESAS</v>
      </c>
      <c r="J757">
        <f t="shared" si="78"/>
        <v>0</v>
      </c>
      <c r="K757" t="str">
        <f t="shared" si="79"/>
        <v xml:space="preserve"> </v>
      </c>
      <c r="L757" t="str">
        <f t="shared" si="80"/>
        <v/>
      </c>
      <c r="M757">
        <f t="shared" si="81"/>
        <v>19</v>
      </c>
      <c r="N757">
        <f t="shared" si="82"/>
        <v>10</v>
      </c>
      <c r="O757" t="str">
        <f t="shared" si="84"/>
        <v>OCT</v>
      </c>
      <c r="P757" t="str">
        <f t="shared" si="83"/>
        <v>PAGO</v>
      </c>
    </row>
    <row r="758" spans="3:16" ht="30" x14ac:dyDescent="0.25">
      <c r="C758" s="35">
        <f>OUTUBRO!C57</f>
        <v>0</v>
      </c>
      <c r="D758" s="35" t="str">
        <f>OUTUBRO!D57</f>
        <v>DESPESAS COM PRODUTOS</v>
      </c>
      <c r="E758" s="35" t="str">
        <f>OUTUBRO!E57</f>
        <v>-</v>
      </c>
      <c r="F758" s="67">
        <f>OUTUBRO!G57</f>
        <v>0</v>
      </c>
      <c r="G758" s="68">
        <f>OUTUBRO!H57</f>
        <v>0</v>
      </c>
      <c r="H758" s="37">
        <f>OUTUBRO!I57</f>
        <v>46315</v>
      </c>
      <c r="I758" s="34" t="str">
        <f>OUTUBRO!O57</f>
        <v>DESPESAS</v>
      </c>
      <c r="J758">
        <f t="shared" si="78"/>
        <v>0</v>
      </c>
      <c r="K758" t="str">
        <f t="shared" si="79"/>
        <v xml:space="preserve"> </v>
      </c>
      <c r="L758" t="str">
        <f t="shared" si="80"/>
        <v/>
      </c>
      <c r="M758">
        <f t="shared" si="81"/>
        <v>20</v>
      </c>
      <c r="N758">
        <f t="shared" si="82"/>
        <v>10</v>
      </c>
      <c r="O758" t="str">
        <f t="shared" si="84"/>
        <v>OCT</v>
      </c>
      <c r="P758" t="str">
        <f t="shared" si="83"/>
        <v>PAGO</v>
      </c>
    </row>
    <row r="759" spans="3:16" ht="30" x14ac:dyDescent="0.25">
      <c r="C759" s="35">
        <f>OUTUBRO!C58</f>
        <v>0</v>
      </c>
      <c r="D759" s="35" t="str">
        <f>OUTUBRO!D58</f>
        <v>DESPESAS COM PRODUTOS</v>
      </c>
      <c r="E759" s="35" t="str">
        <f>OUTUBRO!E58</f>
        <v>-</v>
      </c>
      <c r="F759" s="67">
        <f>OUTUBRO!G58</f>
        <v>0</v>
      </c>
      <c r="G759" s="68">
        <f>OUTUBRO!H58</f>
        <v>0</v>
      </c>
      <c r="H759" s="37">
        <f>OUTUBRO!I58</f>
        <v>46316</v>
      </c>
      <c r="I759" s="34" t="str">
        <f>OUTUBRO!O58</f>
        <v>DESPESAS</v>
      </c>
      <c r="J759">
        <f t="shared" si="78"/>
        <v>0</v>
      </c>
      <c r="K759" t="str">
        <f t="shared" si="79"/>
        <v xml:space="preserve"> </v>
      </c>
      <c r="L759" t="str">
        <f t="shared" si="80"/>
        <v/>
      </c>
      <c r="M759">
        <f t="shared" si="81"/>
        <v>21</v>
      </c>
      <c r="N759">
        <f t="shared" si="82"/>
        <v>10</v>
      </c>
      <c r="O759" t="str">
        <f t="shared" si="84"/>
        <v>OCT</v>
      </c>
      <c r="P759" t="str">
        <f t="shared" si="83"/>
        <v>PAGO</v>
      </c>
    </row>
    <row r="760" spans="3:16" ht="30" x14ac:dyDescent="0.25">
      <c r="C760" s="35">
        <f>OUTUBRO!C59</f>
        <v>0</v>
      </c>
      <c r="D760" s="35" t="str">
        <f>OUTUBRO!D59</f>
        <v>DESPESAS COM PRODUTOS</v>
      </c>
      <c r="E760" s="35" t="str">
        <f>OUTUBRO!E59</f>
        <v>-</v>
      </c>
      <c r="F760" s="67">
        <f>OUTUBRO!G59</f>
        <v>0</v>
      </c>
      <c r="G760" s="68">
        <f>OUTUBRO!H59</f>
        <v>0</v>
      </c>
      <c r="H760" s="37">
        <f>OUTUBRO!I59</f>
        <v>46317</v>
      </c>
      <c r="I760" s="34" t="str">
        <f>OUTUBRO!O59</f>
        <v>DESPESAS</v>
      </c>
      <c r="J760">
        <f t="shared" si="78"/>
        <v>0</v>
      </c>
      <c r="K760" t="str">
        <f t="shared" si="79"/>
        <v xml:space="preserve"> </v>
      </c>
      <c r="L760" t="str">
        <f t="shared" si="80"/>
        <v/>
      </c>
      <c r="M760">
        <f t="shared" si="81"/>
        <v>22</v>
      </c>
      <c r="N760">
        <f t="shared" si="82"/>
        <v>10</v>
      </c>
      <c r="O760" t="str">
        <f t="shared" si="84"/>
        <v>OCT</v>
      </c>
      <c r="P760" t="str">
        <f t="shared" si="83"/>
        <v>PAGO</v>
      </c>
    </row>
    <row r="761" spans="3:16" ht="30" x14ac:dyDescent="0.25">
      <c r="C761" s="35">
        <f>OUTUBRO!C60</f>
        <v>0</v>
      </c>
      <c r="D761" s="35" t="str">
        <f>OUTUBRO!D60</f>
        <v>DESPESAS COM PRODUTOS</v>
      </c>
      <c r="E761" s="35" t="str">
        <f>OUTUBRO!E60</f>
        <v>-</v>
      </c>
      <c r="F761" s="67">
        <f>OUTUBRO!G60</f>
        <v>0</v>
      </c>
      <c r="G761" s="68">
        <f>OUTUBRO!H60</f>
        <v>0</v>
      </c>
      <c r="H761" s="37">
        <f>OUTUBRO!I60</f>
        <v>46318</v>
      </c>
      <c r="I761" s="34" t="str">
        <f>OUTUBRO!O60</f>
        <v>DESPESAS</v>
      </c>
      <c r="J761">
        <f t="shared" si="78"/>
        <v>0</v>
      </c>
      <c r="K761" t="str">
        <f t="shared" si="79"/>
        <v xml:space="preserve"> </v>
      </c>
      <c r="L761" t="str">
        <f t="shared" si="80"/>
        <v/>
      </c>
      <c r="M761">
        <f t="shared" si="81"/>
        <v>23</v>
      </c>
      <c r="N761">
        <f t="shared" si="82"/>
        <v>10</v>
      </c>
      <c r="O761" t="str">
        <f t="shared" si="84"/>
        <v>OCT</v>
      </c>
      <c r="P761" t="str">
        <f t="shared" si="83"/>
        <v>PAGO</v>
      </c>
    </row>
    <row r="762" spans="3:16" ht="30" x14ac:dyDescent="0.25">
      <c r="C762" s="35">
        <f>OUTUBRO!C61</f>
        <v>0</v>
      </c>
      <c r="D762" s="35" t="str">
        <f>OUTUBRO!D61</f>
        <v>DESPESAS COM PRODUTOS</v>
      </c>
      <c r="E762" s="35" t="str">
        <f>OUTUBRO!E61</f>
        <v>-</v>
      </c>
      <c r="F762" s="67">
        <f>OUTUBRO!G61</f>
        <v>0</v>
      </c>
      <c r="G762" s="68">
        <f>OUTUBRO!H61</f>
        <v>0</v>
      </c>
      <c r="H762" s="37">
        <f>OUTUBRO!I61</f>
        <v>46319</v>
      </c>
      <c r="I762" s="34" t="str">
        <f>OUTUBRO!O61</f>
        <v>DESPESAS</v>
      </c>
      <c r="J762">
        <f t="shared" si="78"/>
        <v>0</v>
      </c>
      <c r="K762" t="str">
        <f t="shared" si="79"/>
        <v xml:space="preserve"> </v>
      </c>
      <c r="L762" t="str">
        <f t="shared" si="80"/>
        <v/>
      </c>
      <c r="M762">
        <f t="shared" si="81"/>
        <v>24</v>
      </c>
      <c r="N762">
        <f t="shared" si="82"/>
        <v>10</v>
      </c>
      <c r="O762" t="str">
        <f t="shared" si="84"/>
        <v>OCT</v>
      </c>
      <c r="P762" t="str">
        <f t="shared" si="83"/>
        <v>PAGO</v>
      </c>
    </row>
    <row r="763" spans="3:16" ht="30" x14ac:dyDescent="0.25">
      <c r="C763" s="35">
        <f>OUTUBRO!C62</f>
        <v>0</v>
      </c>
      <c r="D763" s="35" t="str">
        <f>OUTUBRO!D62</f>
        <v>DESPESAS COM PRODUTOS</v>
      </c>
      <c r="E763" s="35" t="str">
        <f>OUTUBRO!E62</f>
        <v>-</v>
      </c>
      <c r="F763" s="67">
        <f>OUTUBRO!G62</f>
        <v>0</v>
      </c>
      <c r="G763" s="68">
        <f>OUTUBRO!H62</f>
        <v>0</v>
      </c>
      <c r="H763" s="37">
        <f>OUTUBRO!I62</f>
        <v>46320</v>
      </c>
      <c r="I763" s="34" t="str">
        <f>OUTUBRO!O62</f>
        <v>DESPESAS</v>
      </c>
      <c r="J763">
        <f t="shared" si="78"/>
        <v>0</v>
      </c>
      <c r="K763" t="str">
        <f t="shared" si="79"/>
        <v xml:space="preserve"> </v>
      </c>
      <c r="L763" t="str">
        <f t="shared" si="80"/>
        <v/>
      </c>
      <c r="M763">
        <f t="shared" si="81"/>
        <v>25</v>
      </c>
      <c r="N763">
        <f t="shared" si="82"/>
        <v>10</v>
      </c>
      <c r="O763" t="str">
        <f t="shared" si="84"/>
        <v>OCT</v>
      </c>
      <c r="P763" t="str">
        <f t="shared" si="83"/>
        <v>PAGO</v>
      </c>
    </row>
    <row r="764" spans="3:16" ht="30" x14ac:dyDescent="0.25">
      <c r="C764" s="35">
        <f>OUTUBRO!C63</f>
        <v>0</v>
      </c>
      <c r="D764" s="35" t="str">
        <f>OUTUBRO!D63</f>
        <v>DESPESAS COM PRODUTOS</v>
      </c>
      <c r="E764" s="35" t="str">
        <f>OUTUBRO!E63</f>
        <v>-</v>
      </c>
      <c r="F764" s="67">
        <f>OUTUBRO!G63</f>
        <v>0</v>
      </c>
      <c r="G764" s="68">
        <f>OUTUBRO!H63</f>
        <v>0</v>
      </c>
      <c r="H764" s="37">
        <f>OUTUBRO!I63</f>
        <v>46321</v>
      </c>
      <c r="I764" s="34" t="str">
        <f>OUTUBRO!O63</f>
        <v>DESPESAS</v>
      </c>
      <c r="J764">
        <f t="shared" si="78"/>
        <v>0</v>
      </c>
      <c r="K764" t="str">
        <f t="shared" si="79"/>
        <v xml:space="preserve"> </v>
      </c>
      <c r="L764" t="str">
        <f t="shared" si="80"/>
        <v/>
      </c>
      <c r="M764">
        <f t="shared" si="81"/>
        <v>26</v>
      </c>
      <c r="N764">
        <f t="shared" si="82"/>
        <v>10</v>
      </c>
      <c r="O764" t="str">
        <f t="shared" si="84"/>
        <v>OCT</v>
      </c>
      <c r="P764" t="str">
        <f t="shared" si="83"/>
        <v>PAGO</v>
      </c>
    </row>
    <row r="765" spans="3:16" ht="30" x14ac:dyDescent="0.25">
      <c r="C765" s="35">
        <f>OUTUBRO!C64</f>
        <v>0</v>
      </c>
      <c r="D765" s="35" t="str">
        <f>OUTUBRO!D64</f>
        <v>DESPESAS COM PRODUTOS</v>
      </c>
      <c r="E765" s="35" t="str">
        <f>OUTUBRO!E64</f>
        <v>-</v>
      </c>
      <c r="F765" s="67">
        <f>OUTUBRO!G64</f>
        <v>0</v>
      </c>
      <c r="G765" s="68">
        <f>OUTUBRO!H64</f>
        <v>0</v>
      </c>
      <c r="H765" s="37">
        <f>OUTUBRO!I64</f>
        <v>46322</v>
      </c>
      <c r="I765" s="34" t="str">
        <f>OUTUBRO!O64</f>
        <v>DESPESAS</v>
      </c>
      <c r="J765">
        <f t="shared" si="78"/>
        <v>0</v>
      </c>
      <c r="K765" t="str">
        <f t="shared" si="79"/>
        <v xml:space="preserve"> </v>
      </c>
      <c r="L765" t="str">
        <f t="shared" si="80"/>
        <v/>
      </c>
      <c r="M765">
        <f t="shared" si="81"/>
        <v>27</v>
      </c>
      <c r="N765">
        <f t="shared" si="82"/>
        <v>10</v>
      </c>
      <c r="O765" t="str">
        <f t="shared" si="84"/>
        <v>OCT</v>
      </c>
      <c r="P765" t="str">
        <f t="shared" si="83"/>
        <v>PAGO</v>
      </c>
    </row>
    <row r="766" spans="3:16" ht="30" x14ac:dyDescent="0.25">
      <c r="C766" s="35">
        <f>OUTUBRO!C65</f>
        <v>0</v>
      </c>
      <c r="D766" s="35" t="str">
        <f>OUTUBRO!D65</f>
        <v>DESPESAS COM PRODUTOS</v>
      </c>
      <c r="E766" s="35" t="str">
        <f>OUTUBRO!E65</f>
        <v>-</v>
      </c>
      <c r="F766" s="67">
        <f>OUTUBRO!G65</f>
        <v>0</v>
      </c>
      <c r="G766" s="68">
        <f>OUTUBRO!H65</f>
        <v>0</v>
      </c>
      <c r="H766" s="37">
        <f>OUTUBRO!I65</f>
        <v>46323</v>
      </c>
      <c r="I766" s="34" t="str">
        <f>OUTUBRO!O65</f>
        <v>DESPESAS</v>
      </c>
      <c r="J766">
        <f t="shared" si="78"/>
        <v>0</v>
      </c>
      <c r="K766" t="str">
        <f t="shared" si="79"/>
        <v xml:space="preserve"> </v>
      </c>
      <c r="L766" t="str">
        <f t="shared" si="80"/>
        <v/>
      </c>
      <c r="M766">
        <f t="shared" si="81"/>
        <v>28</v>
      </c>
      <c r="N766">
        <f t="shared" si="82"/>
        <v>10</v>
      </c>
      <c r="O766" t="str">
        <f t="shared" si="84"/>
        <v>OCT</v>
      </c>
      <c r="P766" t="str">
        <f t="shared" si="83"/>
        <v>PAGO</v>
      </c>
    </row>
    <row r="767" spans="3:16" ht="30" x14ac:dyDescent="0.25">
      <c r="C767" s="35">
        <f>OUTUBRO!C66</f>
        <v>0</v>
      </c>
      <c r="D767" s="35" t="str">
        <f>OUTUBRO!D66</f>
        <v>DESPESAS COM PRODUTOS</v>
      </c>
      <c r="E767" s="35" t="str">
        <f>OUTUBRO!E66</f>
        <v>-</v>
      </c>
      <c r="F767" s="67">
        <f>OUTUBRO!G66</f>
        <v>0</v>
      </c>
      <c r="G767" s="68">
        <f>OUTUBRO!H66</f>
        <v>0</v>
      </c>
      <c r="H767" s="37">
        <f>OUTUBRO!I66</f>
        <v>46324</v>
      </c>
      <c r="I767" s="34" t="str">
        <f>OUTUBRO!O66</f>
        <v>DESPESAS</v>
      </c>
      <c r="J767">
        <f t="shared" si="78"/>
        <v>0</v>
      </c>
      <c r="K767" t="str">
        <f t="shared" si="79"/>
        <v xml:space="preserve"> </v>
      </c>
      <c r="L767" t="str">
        <f t="shared" si="80"/>
        <v/>
      </c>
      <c r="M767">
        <f t="shared" si="81"/>
        <v>29</v>
      </c>
      <c r="N767">
        <f t="shared" si="82"/>
        <v>10</v>
      </c>
      <c r="O767" t="str">
        <f t="shared" si="84"/>
        <v>OCT</v>
      </c>
      <c r="P767" t="str">
        <f t="shared" si="83"/>
        <v>PAGO</v>
      </c>
    </row>
    <row r="768" spans="3:16" ht="30" x14ac:dyDescent="0.25">
      <c r="C768" s="35">
        <f>OUTUBRO!C67</f>
        <v>0</v>
      </c>
      <c r="D768" s="35" t="str">
        <f>OUTUBRO!D67</f>
        <v>DESPESAS COM PRODUTOS</v>
      </c>
      <c r="E768" s="35" t="str">
        <f>OUTUBRO!E67</f>
        <v>-</v>
      </c>
      <c r="F768" s="67">
        <f>OUTUBRO!G67</f>
        <v>0</v>
      </c>
      <c r="G768" s="68">
        <f>OUTUBRO!H67</f>
        <v>0</v>
      </c>
      <c r="H768" s="37">
        <f>OUTUBRO!I67</f>
        <v>46325</v>
      </c>
      <c r="I768" s="34" t="str">
        <f>OUTUBRO!O67</f>
        <v>DESPESAS</v>
      </c>
      <c r="J768">
        <f t="shared" si="78"/>
        <v>0</v>
      </c>
      <c r="K768" t="str">
        <f t="shared" si="79"/>
        <v xml:space="preserve"> </v>
      </c>
      <c r="L768" t="str">
        <f t="shared" si="80"/>
        <v/>
      </c>
      <c r="M768">
        <f t="shared" si="81"/>
        <v>30</v>
      </c>
      <c r="N768">
        <f t="shared" si="82"/>
        <v>10</v>
      </c>
      <c r="O768" t="str">
        <f t="shared" si="84"/>
        <v>OCT</v>
      </c>
      <c r="P768" t="str">
        <f t="shared" si="83"/>
        <v>PAGO</v>
      </c>
    </row>
    <row r="769" spans="3:16" ht="30" x14ac:dyDescent="0.25">
      <c r="C769" s="35">
        <f>OUTUBRO!C68</f>
        <v>0</v>
      </c>
      <c r="D769" s="35" t="str">
        <f>OUTUBRO!D68</f>
        <v>DESPESAS COM PRODUTOS</v>
      </c>
      <c r="E769" s="35" t="str">
        <f>OUTUBRO!E68</f>
        <v>-</v>
      </c>
      <c r="F769" s="67">
        <f>OUTUBRO!G68</f>
        <v>0</v>
      </c>
      <c r="G769" s="68">
        <f>OUTUBRO!H68</f>
        <v>0</v>
      </c>
      <c r="H769" s="37">
        <f>OUTUBRO!I68</f>
        <v>46326</v>
      </c>
      <c r="I769" s="34" t="str">
        <f>OUTUBRO!O68</f>
        <v>DESPESAS</v>
      </c>
      <c r="J769">
        <f t="shared" si="78"/>
        <v>0</v>
      </c>
      <c r="K769" t="str">
        <f t="shared" si="79"/>
        <v xml:space="preserve"> </v>
      </c>
      <c r="L769" t="str">
        <f t="shared" si="80"/>
        <v/>
      </c>
      <c r="M769">
        <f t="shared" si="81"/>
        <v>31</v>
      </c>
      <c r="N769">
        <f t="shared" si="82"/>
        <v>10</v>
      </c>
      <c r="O769" t="str">
        <f t="shared" si="84"/>
        <v>OCT</v>
      </c>
      <c r="P769" t="str">
        <f t="shared" si="83"/>
        <v>PAGO</v>
      </c>
    </row>
    <row r="770" spans="3:16" ht="30" x14ac:dyDescent="0.25">
      <c r="C770" s="35">
        <f>OUTUBRO!C69</f>
        <v>0</v>
      </c>
      <c r="D770" s="35" t="str">
        <f>OUTUBRO!D69</f>
        <v>DESPESAS COM PRODUTOS</v>
      </c>
      <c r="E770" s="35" t="str">
        <f>OUTUBRO!E69</f>
        <v>-</v>
      </c>
      <c r="F770" s="67">
        <f>OUTUBRO!G69</f>
        <v>0</v>
      </c>
      <c r="G770" s="68">
        <f>OUTUBRO!H69</f>
        <v>0</v>
      </c>
      <c r="H770" s="37">
        <f>OUTUBRO!I69</f>
        <v>46327</v>
      </c>
      <c r="I770" s="34" t="str">
        <f>OUTUBRO!O69</f>
        <v>DESPESAS</v>
      </c>
      <c r="J770">
        <f t="shared" si="78"/>
        <v>0</v>
      </c>
      <c r="K770" t="str">
        <f t="shared" si="79"/>
        <v xml:space="preserve"> </v>
      </c>
      <c r="L770" t="str">
        <f t="shared" si="80"/>
        <v/>
      </c>
      <c r="M770">
        <f t="shared" si="81"/>
        <v>1</v>
      </c>
      <c r="N770">
        <f t="shared" si="82"/>
        <v>11</v>
      </c>
      <c r="O770" t="str">
        <f t="shared" si="84"/>
        <v>NOV</v>
      </c>
      <c r="P770" t="str">
        <f t="shared" si="83"/>
        <v>PAGO</v>
      </c>
    </row>
    <row r="771" spans="3:16" ht="30" x14ac:dyDescent="0.25">
      <c r="C771" s="35">
        <f>OUTUBRO!C70</f>
        <v>0</v>
      </c>
      <c r="D771" s="35" t="str">
        <f>OUTUBRO!D70</f>
        <v>DESPESAS COM PRODUTOS</v>
      </c>
      <c r="E771" s="35" t="str">
        <f>OUTUBRO!E70</f>
        <v>-</v>
      </c>
      <c r="F771" s="67">
        <f>OUTUBRO!G70</f>
        <v>0</v>
      </c>
      <c r="G771" s="68">
        <f>OUTUBRO!H70</f>
        <v>0</v>
      </c>
      <c r="H771" s="37">
        <f>OUTUBRO!I70</f>
        <v>46328</v>
      </c>
      <c r="I771" s="34" t="str">
        <f>OUTUBRO!O70</f>
        <v>DESPESAS</v>
      </c>
      <c r="J771">
        <f t="shared" si="78"/>
        <v>0</v>
      </c>
      <c r="K771" t="str">
        <f t="shared" si="79"/>
        <v xml:space="preserve"> </v>
      </c>
      <c r="L771" t="str">
        <f t="shared" si="80"/>
        <v/>
      </c>
      <c r="M771">
        <f t="shared" si="81"/>
        <v>2</v>
      </c>
      <c r="N771">
        <f t="shared" si="82"/>
        <v>11</v>
      </c>
      <c r="O771" t="str">
        <f t="shared" si="84"/>
        <v>NOV</v>
      </c>
      <c r="P771" t="str">
        <f t="shared" si="83"/>
        <v>PAGO</v>
      </c>
    </row>
    <row r="772" spans="3:16" ht="30" x14ac:dyDescent="0.25">
      <c r="C772" s="35">
        <f>OUTUBRO!C71</f>
        <v>0</v>
      </c>
      <c r="D772" s="35" t="str">
        <f>OUTUBRO!D71</f>
        <v>DESPESAS COM PRODUTOS</v>
      </c>
      <c r="E772" s="35" t="str">
        <f>OUTUBRO!E71</f>
        <v>-</v>
      </c>
      <c r="F772" s="67">
        <f>OUTUBRO!G71</f>
        <v>0</v>
      </c>
      <c r="G772" s="68">
        <f>OUTUBRO!H71</f>
        <v>0</v>
      </c>
      <c r="H772" s="37">
        <f>OUTUBRO!I71</f>
        <v>46329</v>
      </c>
      <c r="I772" s="34" t="str">
        <f>OUTUBRO!O71</f>
        <v>DESPESAS</v>
      </c>
      <c r="J772">
        <f t="shared" si="78"/>
        <v>0</v>
      </c>
      <c r="K772" t="str">
        <f t="shared" si="79"/>
        <v xml:space="preserve"> </v>
      </c>
      <c r="L772" t="str">
        <f t="shared" si="80"/>
        <v/>
      </c>
      <c r="M772">
        <f t="shared" si="81"/>
        <v>3</v>
      </c>
      <c r="N772">
        <f t="shared" si="82"/>
        <v>11</v>
      </c>
      <c r="O772" t="str">
        <f t="shared" si="84"/>
        <v>NOV</v>
      </c>
      <c r="P772" t="str">
        <f t="shared" si="83"/>
        <v>PAGO</v>
      </c>
    </row>
    <row r="773" spans="3:16" ht="30" x14ac:dyDescent="0.25">
      <c r="C773" s="35">
        <f>OUTUBRO!C72</f>
        <v>0</v>
      </c>
      <c r="D773" s="35" t="str">
        <f>OUTUBRO!D72</f>
        <v>DESPESAS COM PRODUTOS</v>
      </c>
      <c r="E773" s="35" t="str">
        <f>OUTUBRO!E72</f>
        <v>-</v>
      </c>
      <c r="F773" s="67">
        <f>OUTUBRO!G72</f>
        <v>0</v>
      </c>
      <c r="G773" s="68">
        <f>OUTUBRO!H72</f>
        <v>0</v>
      </c>
      <c r="H773" s="37">
        <f>OUTUBRO!I72</f>
        <v>46330</v>
      </c>
      <c r="I773" s="34" t="str">
        <f>OUTUBRO!O72</f>
        <v>DESPESAS</v>
      </c>
      <c r="J773">
        <f t="shared" si="78"/>
        <v>0</v>
      </c>
      <c r="K773" t="str">
        <f t="shared" si="79"/>
        <v xml:space="preserve"> </v>
      </c>
      <c r="L773" t="str">
        <f t="shared" si="80"/>
        <v/>
      </c>
      <c r="M773">
        <f t="shared" si="81"/>
        <v>4</v>
      </c>
      <c r="N773">
        <f t="shared" si="82"/>
        <v>11</v>
      </c>
      <c r="O773" t="str">
        <f t="shared" si="84"/>
        <v>NOV</v>
      </c>
      <c r="P773" t="str">
        <f t="shared" si="83"/>
        <v>PAGO</v>
      </c>
    </row>
    <row r="774" spans="3:16" ht="30" x14ac:dyDescent="0.25">
      <c r="C774" s="35">
        <f>OUTUBRO!C73</f>
        <v>0</v>
      </c>
      <c r="D774" s="35" t="str">
        <f>OUTUBRO!D73</f>
        <v>DESPESAS COM PRODUTOS</v>
      </c>
      <c r="E774" s="35" t="str">
        <f>OUTUBRO!E73</f>
        <v>-</v>
      </c>
      <c r="F774" s="67">
        <f>OUTUBRO!G73</f>
        <v>0</v>
      </c>
      <c r="G774" s="68">
        <f>OUTUBRO!H73</f>
        <v>0</v>
      </c>
      <c r="H774" s="37">
        <f>OUTUBRO!I73</f>
        <v>46331</v>
      </c>
      <c r="I774" s="34" t="str">
        <f>OUTUBRO!O73</f>
        <v>DESPESAS</v>
      </c>
      <c r="J774">
        <f t="shared" si="78"/>
        <v>0</v>
      </c>
      <c r="K774" t="str">
        <f t="shared" si="79"/>
        <v xml:space="preserve"> </v>
      </c>
      <c r="L774" t="str">
        <f t="shared" si="80"/>
        <v/>
      </c>
      <c r="M774">
        <f t="shared" si="81"/>
        <v>5</v>
      </c>
      <c r="N774">
        <f t="shared" si="82"/>
        <v>11</v>
      </c>
      <c r="O774" t="str">
        <f t="shared" si="84"/>
        <v>NOV</v>
      </c>
      <c r="P774" t="str">
        <f t="shared" si="83"/>
        <v>PAGO</v>
      </c>
    </row>
    <row r="775" spans="3:16" ht="30" x14ac:dyDescent="0.25">
      <c r="C775" s="35">
        <f>OUTUBRO!C74</f>
        <v>0</v>
      </c>
      <c r="D775" s="35" t="str">
        <f>OUTUBRO!D74</f>
        <v>DESPESAS COM PRODUTOS</v>
      </c>
      <c r="E775" s="35" t="str">
        <f>OUTUBRO!E74</f>
        <v>-</v>
      </c>
      <c r="F775" s="67">
        <f>OUTUBRO!G74</f>
        <v>0</v>
      </c>
      <c r="G775" s="68">
        <f>OUTUBRO!H74</f>
        <v>0</v>
      </c>
      <c r="H775" s="37">
        <f>OUTUBRO!I74</f>
        <v>46332</v>
      </c>
      <c r="I775" s="34" t="str">
        <f>OUTUBRO!O74</f>
        <v>DESPESAS</v>
      </c>
      <c r="J775">
        <f t="shared" ref="J775:J838" si="85">DAY(C775)</f>
        <v>0</v>
      </c>
      <c r="K775" t="str">
        <f t="shared" ref="K775:K838" si="86">IF(C775 = 0, " ",MONTH(C775))</f>
        <v xml:space="preserve"> </v>
      </c>
      <c r="L775" t="str">
        <f t="shared" ref="L775:L838" si="87">IFERROR(VLOOKUP(K775,$R$6:$S$17,2),"")</f>
        <v/>
      </c>
      <c r="M775">
        <f t="shared" ref="M775:M838" si="88">DAY(H775)</f>
        <v>6</v>
      </c>
      <c r="N775">
        <f t="shared" ref="N775:N838" si="89">IF(H775 = 0, " ",MONTH(H775))</f>
        <v>11</v>
      </c>
      <c r="O775" t="str">
        <f t="shared" si="84"/>
        <v>NOV</v>
      </c>
      <c r="P775" t="str">
        <f t="shared" ref="P775:P838" si="90">IF(H775=0,"NAO PAGO","PAGO")</f>
        <v>PAGO</v>
      </c>
    </row>
    <row r="776" spans="3:16" ht="30" x14ac:dyDescent="0.25">
      <c r="C776" s="35">
        <f>OUTUBRO!C75</f>
        <v>0</v>
      </c>
      <c r="D776" s="35" t="str">
        <f>OUTUBRO!D75</f>
        <v>DESPESAS COM PRODUTOS</v>
      </c>
      <c r="E776" s="35" t="str">
        <f>OUTUBRO!E75</f>
        <v>-</v>
      </c>
      <c r="F776" s="67">
        <f>OUTUBRO!G75</f>
        <v>0</v>
      </c>
      <c r="G776" s="68">
        <f>OUTUBRO!H75</f>
        <v>0</v>
      </c>
      <c r="H776" s="37">
        <f>OUTUBRO!I75</f>
        <v>46333</v>
      </c>
      <c r="I776" s="34" t="str">
        <f>OUTUBRO!O75</f>
        <v>DESPESAS</v>
      </c>
      <c r="J776">
        <f t="shared" si="85"/>
        <v>0</v>
      </c>
      <c r="K776" t="str">
        <f t="shared" si="86"/>
        <v xml:space="preserve"> </v>
      </c>
      <c r="L776" t="str">
        <f t="shared" si="87"/>
        <v/>
      </c>
      <c r="M776">
        <f t="shared" si="88"/>
        <v>7</v>
      </c>
      <c r="N776">
        <f t="shared" si="89"/>
        <v>11</v>
      </c>
      <c r="O776" t="str">
        <f t="shared" si="84"/>
        <v>NOV</v>
      </c>
      <c r="P776" t="str">
        <f t="shared" si="90"/>
        <v>PAGO</v>
      </c>
    </row>
    <row r="777" spans="3:16" ht="30" x14ac:dyDescent="0.25">
      <c r="C777" s="35">
        <f>OUTUBRO!C76</f>
        <v>0</v>
      </c>
      <c r="D777" s="35" t="str">
        <f>OUTUBRO!D76</f>
        <v>DESPESAS COM PRODUTOS</v>
      </c>
      <c r="E777" s="35" t="str">
        <f>OUTUBRO!E76</f>
        <v>-</v>
      </c>
      <c r="F777" s="67">
        <f>OUTUBRO!G76</f>
        <v>0</v>
      </c>
      <c r="G777" s="68">
        <f>OUTUBRO!H76</f>
        <v>0</v>
      </c>
      <c r="H777" s="37">
        <f>OUTUBRO!I76</f>
        <v>46334</v>
      </c>
      <c r="I777" s="34" t="str">
        <f>OUTUBRO!O76</f>
        <v>DESPESAS</v>
      </c>
      <c r="J777">
        <f t="shared" si="85"/>
        <v>0</v>
      </c>
      <c r="K777" t="str">
        <f t="shared" si="86"/>
        <v xml:space="preserve"> </v>
      </c>
      <c r="L777" t="str">
        <f t="shared" si="87"/>
        <v/>
      </c>
      <c r="M777">
        <f t="shared" si="88"/>
        <v>8</v>
      </c>
      <c r="N777">
        <f t="shared" si="89"/>
        <v>11</v>
      </c>
      <c r="O777" t="str">
        <f t="shared" si="84"/>
        <v>NOV</v>
      </c>
      <c r="P777" t="str">
        <f t="shared" si="90"/>
        <v>PAGO</v>
      </c>
    </row>
    <row r="778" spans="3:16" ht="30" x14ac:dyDescent="0.25">
      <c r="C778" s="35">
        <f>OUTUBRO!C77</f>
        <v>0</v>
      </c>
      <c r="D778" s="35" t="str">
        <f>OUTUBRO!D77</f>
        <v>DESPESAS COM PRODUTOS</v>
      </c>
      <c r="E778" s="35" t="str">
        <f>OUTUBRO!E77</f>
        <v>-</v>
      </c>
      <c r="F778" s="67">
        <f>OUTUBRO!G77</f>
        <v>0</v>
      </c>
      <c r="G778" s="68">
        <f>OUTUBRO!H77</f>
        <v>0</v>
      </c>
      <c r="H778" s="37">
        <f>OUTUBRO!I77</f>
        <v>46335</v>
      </c>
      <c r="I778" s="34" t="str">
        <f>OUTUBRO!O77</f>
        <v>DESPESAS</v>
      </c>
      <c r="J778">
        <f t="shared" si="85"/>
        <v>0</v>
      </c>
      <c r="K778" t="str">
        <f t="shared" si="86"/>
        <v xml:space="preserve"> </v>
      </c>
      <c r="L778" t="str">
        <f t="shared" si="87"/>
        <v/>
      </c>
      <c r="M778">
        <f t="shared" si="88"/>
        <v>9</v>
      </c>
      <c r="N778">
        <f t="shared" si="89"/>
        <v>11</v>
      </c>
      <c r="O778" t="str">
        <f t="shared" si="84"/>
        <v>NOV</v>
      </c>
      <c r="P778" t="str">
        <f t="shared" si="90"/>
        <v>PAGO</v>
      </c>
    </row>
    <row r="779" spans="3:16" ht="30" x14ac:dyDescent="0.25">
      <c r="C779" s="35">
        <f>OUTUBRO!C78</f>
        <v>0</v>
      </c>
      <c r="D779" s="35" t="str">
        <f>OUTUBRO!D78</f>
        <v>DESPESAS COM PRODUTOS</v>
      </c>
      <c r="E779" s="35" t="str">
        <f>OUTUBRO!E78</f>
        <v>-</v>
      </c>
      <c r="F779" s="67">
        <f>OUTUBRO!G78</f>
        <v>0</v>
      </c>
      <c r="G779" s="68">
        <f>OUTUBRO!H78</f>
        <v>0</v>
      </c>
      <c r="H779" s="37">
        <f>OUTUBRO!I78</f>
        <v>46336</v>
      </c>
      <c r="I779" s="34" t="str">
        <f>OUTUBRO!O78</f>
        <v>DESPESAS</v>
      </c>
      <c r="J779">
        <f t="shared" si="85"/>
        <v>0</v>
      </c>
      <c r="K779" t="str">
        <f t="shared" si="86"/>
        <v xml:space="preserve"> </v>
      </c>
      <c r="L779" t="str">
        <f t="shared" si="87"/>
        <v/>
      </c>
      <c r="M779">
        <f t="shared" si="88"/>
        <v>10</v>
      </c>
      <c r="N779">
        <f t="shared" si="89"/>
        <v>11</v>
      </c>
      <c r="O779" t="str">
        <f t="shared" si="84"/>
        <v>NOV</v>
      </c>
      <c r="P779" t="str">
        <f t="shared" si="90"/>
        <v>PAGO</v>
      </c>
    </row>
    <row r="780" spans="3:16" ht="30" x14ac:dyDescent="0.25">
      <c r="C780" s="35">
        <f>OUTUBRO!C79</f>
        <v>0</v>
      </c>
      <c r="D780" s="35" t="str">
        <f>OUTUBRO!D79</f>
        <v>DESPESAS COM PRODUTOS</v>
      </c>
      <c r="E780" s="35" t="str">
        <f>OUTUBRO!E79</f>
        <v>-</v>
      </c>
      <c r="F780" s="67">
        <f>OUTUBRO!G79</f>
        <v>0</v>
      </c>
      <c r="G780" s="68">
        <f>OUTUBRO!H79</f>
        <v>0</v>
      </c>
      <c r="H780" s="37">
        <f>OUTUBRO!I79</f>
        <v>46337</v>
      </c>
      <c r="I780" s="34" t="str">
        <f>OUTUBRO!O79</f>
        <v>DESPESAS</v>
      </c>
      <c r="J780">
        <f t="shared" si="85"/>
        <v>0</v>
      </c>
      <c r="K780" t="str">
        <f t="shared" si="86"/>
        <v xml:space="preserve"> </v>
      </c>
      <c r="L780" t="str">
        <f t="shared" si="87"/>
        <v/>
      </c>
      <c r="M780">
        <f t="shared" si="88"/>
        <v>11</v>
      </c>
      <c r="N780">
        <f t="shared" si="89"/>
        <v>11</v>
      </c>
      <c r="O780" t="str">
        <f t="shared" si="84"/>
        <v>NOV</v>
      </c>
      <c r="P780" t="str">
        <f t="shared" si="90"/>
        <v>PAGO</v>
      </c>
    </row>
    <row r="781" spans="3:16" ht="30" x14ac:dyDescent="0.25">
      <c r="C781" s="35">
        <f>OUTUBRO!C80</f>
        <v>0</v>
      </c>
      <c r="D781" s="35" t="str">
        <f>OUTUBRO!D80</f>
        <v>DESPESAS COM PRODUTOS</v>
      </c>
      <c r="E781" s="35" t="str">
        <f>OUTUBRO!E80</f>
        <v>-</v>
      </c>
      <c r="F781" s="67" t="str">
        <f>OUTUBRO!G80</f>
        <v>BENFICA</v>
      </c>
      <c r="G781" s="68">
        <f>OUTUBRO!H80</f>
        <v>0</v>
      </c>
      <c r="H781" s="37">
        <f>OUTUBRO!I80</f>
        <v>46338</v>
      </c>
      <c r="I781" s="34" t="str">
        <f>OUTUBRO!O80</f>
        <v>DESPESAS</v>
      </c>
      <c r="J781">
        <f t="shared" si="85"/>
        <v>0</v>
      </c>
      <c r="K781" t="str">
        <f t="shared" si="86"/>
        <v xml:space="preserve"> </v>
      </c>
      <c r="L781" t="str">
        <f t="shared" si="87"/>
        <v/>
      </c>
      <c r="M781">
        <f t="shared" si="88"/>
        <v>12</v>
      </c>
      <c r="N781">
        <f t="shared" si="89"/>
        <v>11</v>
      </c>
      <c r="O781" t="str">
        <f t="shared" si="84"/>
        <v>NOV</v>
      </c>
      <c r="P781" t="str">
        <f t="shared" si="90"/>
        <v>PAGO</v>
      </c>
    </row>
    <row r="782" spans="3:16" ht="30" x14ac:dyDescent="0.25">
      <c r="C782" s="35">
        <f>OUTUBRO!C81</f>
        <v>0</v>
      </c>
      <c r="D782" s="35" t="str">
        <f>OUTUBRO!D81</f>
        <v>DESPESAS COM PRODUTOS</v>
      </c>
      <c r="E782" s="35" t="str">
        <f>OUTUBRO!E81</f>
        <v>-</v>
      </c>
      <c r="F782" s="67">
        <f>OUTUBRO!G81</f>
        <v>0</v>
      </c>
      <c r="G782" s="68">
        <f>OUTUBRO!H81</f>
        <v>0</v>
      </c>
      <c r="H782" s="37">
        <f>OUTUBRO!I81</f>
        <v>46339</v>
      </c>
      <c r="I782" s="34" t="str">
        <f>OUTUBRO!O81</f>
        <v>DESPESAS</v>
      </c>
      <c r="J782">
        <f t="shared" si="85"/>
        <v>0</v>
      </c>
      <c r="K782" t="str">
        <f t="shared" si="86"/>
        <v xml:space="preserve"> </v>
      </c>
      <c r="L782" t="str">
        <f t="shared" si="87"/>
        <v/>
      </c>
      <c r="M782">
        <f t="shared" si="88"/>
        <v>13</v>
      </c>
      <c r="N782">
        <f t="shared" si="89"/>
        <v>11</v>
      </c>
      <c r="O782" t="str">
        <f t="shared" si="84"/>
        <v>NOV</v>
      </c>
      <c r="P782" t="str">
        <f t="shared" si="90"/>
        <v>PAGO</v>
      </c>
    </row>
    <row r="783" spans="3:16" ht="30" x14ac:dyDescent="0.25">
      <c r="C783" s="35">
        <f>OUTUBRO!C82</f>
        <v>0</v>
      </c>
      <c r="D783" s="35" t="str">
        <f>OUTUBRO!D82</f>
        <v>DESPESAS COM PRODUTOS</v>
      </c>
      <c r="E783" s="35" t="str">
        <f>OUTUBRO!E82</f>
        <v>-</v>
      </c>
      <c r="F783" s="67">
        <f>OUTUBRO!G82</f>
        <v>0</v>
      </c>
      <c r="G783" s="68">
        <f>OUTUBRO!H82</f>
        <v>0</v>
      </c>
      <c r="H783" s="37">
        <f>OUTUBRO!I82</f>
        <v>46340</v>
      </c>
      <c r="I783" s="34" t="str">
        <f>OUTUBRO!O82</f>
        <v>DESPESAS</v>
      </c>
      <c r="J783">
        <f t="shared" si="85"/>
        <v>0</v>
      </c>
      <c r="K783" t="str">
        <f t="shared" si="86"/>
        <v xml:space="preserve"> </v>
      </c>
      <c r="L783" t="str">
        <f t="shared" si="87"/>
        <v/>
      </c>
      <c r="M783">
        <f t="shared" si="88"/>
        <v>14</v>
      </c>
      <c r="N783">
        <f t="shared" si="89"/>
        <v>11</v>
      </c>
      <c r="O783" t="str">
        <f t="shared" si="84"/>
        <v>NOV</v>
      </c>
      <c r="P783" t="str">
        <f t="shared" si="90"/>
        <v>PAGO</v>
      </c>
    </row>
    <row r="784" spans="3:16" ht="30" x14ac:dyDescent="0.25">
      <c r="C784" s="35">
        <f>OUTUBRO!C83</f>
        <v>0</v>
      </c>
      <c r="D784" s="35" t="str">
        <f>OUTUBRO!D83</f>
        <v>DESPESAS COM PRODUTOS</v>
      </c>
      <c r="E784" s="35" t="str">
        <f>OUTUBRO!E83</f>
        <v>-</v>
      </c>
      <c r="F784" s="67">
        <f>OUTUBRO!G83</f>
        <v>0</v>
      </c>
      <c r="G784" s="68">
        <f>OUTUBRO!H83</f>
        <v>0</v>
      </c>
      <c r="H784" s="37">
        <f>OUTUBRO!I83</f>
        <v>46341</v>
      </c>
      <c r="I784" s="34" t="str">
        <f>OUTUBRO!O83</f>
        <v>DESPESAS</v>
      </c>
      <c r="J784">
        <f t="shared" si="85"/>
        <v>0</v>
      </c>
      <c r="K784" t="str">
        <f t="shared" si="86"/>
        <v xml:space="preserve"> </v>
      </c>
      <c r="L784" t="str">
        <f t="shared" si="87"/>
        <v/>
      </c>
      <c r="M784">
        <f t="shared" si="88"/>
        <v>15</v>
      </c>
      <c r="N784">
        <f t="shared" si="89"/>
        <v>11</v>
      </c>
      <c r="O784" t="str">
        <f t="shared" si="84"/>
        <v>NOV</v>
      </c>
      <c r="P784" t="str">
        <f t="shared" si="90"/>
        <v>PAGO</v>
      </c>
    </row>
    <row r="785" spans="2:16" ht="30" x14ac:dyDescent="0.25">
      <c r="C785" s="35">
        <f>OUTUBRO!C84</f>
        <v>0</v>
      </c>
      <c r="D785" s="35" t="str">
        <f>OUTUBRO!D84</f>
        <v>DESPESAS COM PRODUTOS</v>
      </c>
      <c r="E785" s="35" t="str">
        <f>OUTUBRO!E84</f>
        <v>-</v>
      </c>
      <c r="F785" s="67">
        <f>OUTUBRO!G84</f>
        <v>0</v>
      </c>
      <c r="G785" s="68">
        <f>OUTUBRO!H84</f>
        <v>0</v>
      </c>
      <c r="H785" s="37">
        <f>OUTUBRO!I84</f>
        <v>46342</v>
      </c>
      <c r="I785" s="34" t="str">
        <f>OUTUBRO!O84</f>
        <v>DESPESAS</v>
      </c>
      <c r="J785">
        <f t="shared" si="85"/>
        <v>0</v>
      </c>
      <c r="K785" t="str">
        <f t="shared" si="86"/>
        <v xml:space="preserve"> </v>
      </c>
      <c r="L785" t="str">
        <f t="shared" si="87"/>
        <v/>
      </c>
      <c r="M785">
        <f t="shared" si="88"/>
        <v>16</v>
      </c>
      <c r="N785">
        <f t="shared" si="89"/>
        <v>11</v>
      </c>
      <c r="O785" t="str">
        <f t="shared" si="84"/>
        <v>NOV</v>
      </c>
      <c r="P785" t="str">
        <f t="shared" si="90"/>
        <v>PAGO</v>
      </c>
    </row>
    <row r="786" spans="2:16" x14ac:dyDescent="0.25">
      <c r="B786" s="44" t="s">
        <v>97</v>
      </c>
      <c r="C786" s="35">
        <f>NOVEMBRO!C7</f>
        <v>46327</v>
      </c>
      <c r="D786" s="35" t="str">
        <f>NOVEMBRO!D7</f>
        <v>RECEITAS COM SERVIÇOS</v>
      </c>
      <c r="E786" s="35" t="str">
        <f>NOVEMBRO!E7</f>
        <v>-</v>
      </c>
      <c r="F786" s="67" t="str">
        <f>NOVEMBRO!G7</f>
        <v>CATETE</v>
      </c>
      <c r="G786" s="68">
        <f>NOVEMBRO!H7</f>
        <v>1</v>
      </c>
      <c r="H786" s="37">
        <f>NOVEMBRO!I7</f>
        <v>46327</v>
      </c>
      <c r="I786" s="34" t="str">
        <f>NOVEMBRO!O7</f>
        <v>RECEITAS</v>
      </c>
      <c r="J786">
        <f t="shared" si="85"/>
        <v>1</v>
      </c>
      <c r="K786">
        <f t="shared" si="86"/>
        <v>11</v>
      </c>
      <c r="L786" t="str">
        <f t="shared" si="87"/>
        <v>NOV</v>
      </c>
      <c r="M786">
        <f t="shared" si="88"/>
        <v>1</v>
      </c>
      <c r="N786">
        <f t="shared" si="89"/>
        <v>11</v>
      </c>
      <c r="O786" t="str">
        <f t="shared" si="84"/>
        <v>NOV</v>
      </c>
      <c r="P786" t="str">
        <f t="shared" si="90"/>
        <v>PAGO</v>
      </c>
    </row>
    <row r="787" spans="2:16" ht="30" x14ac:dyDescent="0.25">
      <c r="C787" s="35">
        <f>NOVEMBRO!C8</f>
        <v>46328</v>
      </c>
      <c r="D787" s="35" t="str">
        <f>NOVEMBRO!D8</f>
        <v>DESPESAS COM PRODUTOS</v>
      </c>
      <c r="E787" s="35" t="str">
        <f>NOVEMBRO!E8</f>
        <v>-</v>
      </c>
      <c r="F787" s="67" t="str">
        <f>NOVEMBRO!G8</f>
        <v>CATETE</v>
      </c>
      <c r="G787" s="68">
        <f>NOVEMBRO!H8</f>
        <v>2</v>
      </c>
      <c r="H787" s="37">
        <f>NOVEMBRO!I8</f>
        <v>46328</v>
      </c>
      <c r="I787" s="34" t="str">
        <f>NOVEMBRO!O8</f>
        <v>DESPESAS</v>
      </c>
      <c r="J787">
        <f t="shared" si="85"/>
        <v>2</v>
      </c>
      <c r="K787">
        <f t="shared" si="86"/>
        <v>11</v>
      </c>
      <c r="L787" t="str">
        <f t="shared" si="87"/>
        <v>NOV</v>
      </c>
      <c r="M787">
        <f t="shared" si="88"/>
        <v>2</v>
      </c>
      <c r="N787">
        <f t="shared" si="89"/>
        <v>11</v>
      </c>
      <c r="O787" t="str">
        <f t="shared" si="84"/>
        <v>NOV</v>
      </c>
      <c r="P787" t="str">
        <f t="shared" si="90"/>
        <v>PAGO</v>
      </c>
    </row>
    <row r="788" spans="2:16" x14ac:dyDescent="0.25">
      <c r="C788" s="35">
        <f>NOVEMBRO!C9</f>
        <v>46329</v>
      </c>
      <c r="D788" s="35" t="str">
        <f>NOVEMBRO!D9</f>
        <v>DESPESAS COM RH</v>
      </c>
      <c r="E788" s="35" t="str">
        <f>NOVEMBRO!E9</f>
        <v>MARKETING OFFLINE</v>
      </c>
      <c r="F788" s="67" t="str">
        <f>NOVEMBRO!G9</f>
        <v>CATETE</v>
      </c>
      <c r="G788" s="68">
        <f>NOVEMBRO!H9</f>
        <v>3</v>
      </c>
      <c r="H788" s="37">
        <f>NOVEMBRO!I9</f>
        <v>46329</v>
      </c>
      <c r="I788" s="34" t="str">
        <f>NOVEMBRO!O9</f>
        <v>DESPESAS</v>
      </c>
      <c r="J788">
        <f t="shared" si="85"/>
        <v>3</v>
      </c>
      <c r="K788">
        <f t="shared" si="86"/>
        <v>11</v>
      </c>
      <c r="L788" t="str">
        <f t="shared" si="87"/>
        <v>NOV</v>
      </c>
      <c r="M788">
        <f t="shared" si="88"/>
        <v>3</v>
      </c>
      <c r="N788">
        <f t="shared" si="89"/>
        <v>11</v>
      </c>
      <c r="O788" t="str">
        <f t="shared" si="84"/>
        <v>NOV</v>
      </c>
      <c r="P788" t="str">
        <f t="shared" si="90"/>
        <v>PAGO</v>
      </c>
    </row>
    <row r="789" spans="2:16" ht="30" x14ac:dyDescent="0.25">
      <c r="C789" s="35">
        <f>NOVEMBRO!C10</f>
        <v>46330</v>
      </c>
      <c r="D789" s="35" t="str">
        <f>NOVEMBRO!D10</f>
        <v>DESPESAS COM PRODUTOS</v>
      </c>
      <c r="E789" s="35" t="str">
        <f>NOVEMBRO!E10</f>
        <v>-</v>
      </c>
      <c r="F789" s="67" t="str">
        <f>NOVEMBRO!G10</f>
        <v>CATETE</v>
      </c>
      <c r="G789" s="68">
        <f>NOVEMBRO!H10</f>
        <v>4</v>
      </c>
      <c r="H789" s="37">
        <f>NOVEMBRO!I10</f>
        <v>46330</v>
      </c>
      <c r="I789" s="34" t="str">
        <f>NOVEMBRO!O10</f>
        <v>DESPESAS</v>
      </c>
      <c r="J789">
        <f t="shared" si="85"/>
        <v>4</v>
      </c>
      <c r="K789">
        <f t="shared" si="86"/>
        <v>11</v>
      </c>
      <c r="L789" t="str">
        <f t="shared" si="87"/>
        <v>NOV</v>
      </c>
      <c r="M789">
        <f t="shared" si="88"/>
        <v>4</v>
      </c>
      <c r="N789">
        <f t="shared" si="89"/>
        <v>11</v>
      </c>
      <c r="O789" t="str">
        <f t="shared" si="84"/>
        <v>NOV</v>
      </c>
      <c r="P789" t="str">
        <f t="shared" si="90"/>
        <v>PAGO</v>
      </c>
    </row>
    <row r="790" spans="2:16" ht="30" x14ac:dyDescent="0.25">
      <c r="C790" s="35">
        <f>NOVEMBRO!C11</f>
        <v>46331</v>
      </c>
      <c r="D790" s="35" t="str">
        <f>NOVEMBRO!D11</f>
        <v>DESPESAS COM PRODUTOS</v>
      </c>
      <c r="E790" s="35" t="str">
        <f>NOVEMBRO!E11</f>
        <v>-</v>
      </c>
      <c r="F790" s="67" t="str">
        <f>NOVEMBRO!G11</f>
        <v>CATETE</v>
      </c>
      <c r="G790" s="68">
        <f>NOVEMBRO!H11</f>
        <v>5</v>
      </c>
      <c r="H790" s="37">
        <f>NOVEMBRO!I11</f>
        <v>46331</v>
      </c>
      <c r="I790" s="34" t="str">
        <f>NOVEMBRO!O11</f>
        <v>DESPESAS</v>
      </c>
      <c r="J790">
        <f t="shared" si="85"/>
        <v>5</v>
      </c>
      <c r="K790">
        <f t="shared" si="86"/>
        <v>11</v>
      </c>
      <c r="L790" t="str">
        <f t="shared" si="87"/>
        <v>NOV</v>
      </c>
      <c r="M790">
        <f t="shared" si="88"/>
        <v>5</v>
      </c>
      <c r="N790">
        <f t="shared" si="89"/>
        <v>11</v>
      </c>
      <c r="O790" t="str">
        <f t="shared" si="84"/>
        <v>NOV</v>
      </c>
      <c r="P790" t="str">
        <f t="shared" si="90"/>
        <v>PAGO</v>
      </c>
    </row>
    <row r="791" spans="2:16" ht="30" x14ac:dyDescent="0.25">
      <c r="C791" s="35">
        <f>NOVEMBRO!C12</f>
        <v>46332</v>
      </c>
      <c r="D791" s="35" t="str">
        <f>NOVEMBRO!D12</f>
        <v>DESPESAS COM PRODUTOS</v>
      </c>
      <c r="E791" s="35" t="str">
        <f>NOVEMBRO!E12</f>
        <v>-</v>
      </c>
      <c r="F791" s="67" t="str">
        <f>NOVEMBRO!G12</f>
        <v>BENFICA</v>
      </c>
      <c r="G791" s="68">
        <f>NOVEMBRO!H12</f>
        <v>6</v>
      </c>
      <c r="H791" s="37">
        <f>NOVEMBRO!I12</f>
        <v>46332</v>
      </c>
      <c r="I791" s="34" t="str">
        <f>NOVEMBRO!O12</f>
        <v>DESPESAS</v>
      </c>
      <c r="J791">
        <f t="shared" si="85"/>
        <v>6</v>
      </c>
      <c r="K791">
        <f t="shared" si="86"/>
        <v>11</v>
      </c>
      <c r="L791" t="str">
        <f t="shared" si="87"/>
        <v>NOV</v>
      </c>
      <c r="M791">
        <f t="shared" si="88"/>
        <v>6</v>
      </c>
      <c r="N791">
        <f t="shared" si="89"/>
        <v>11</v>
      </c>
      <c r="O791" t="str">
        <f t="shared" ref="O791:O854" si="91">IFERROR(VLOOKUP(N791,$R$6:$S$17,2),"")</f>
        <v>NOV</v>
      </c>
      <c r="P791" t="str">
        <f t="shared" si="90"/>
        <v>PAGO</v>
      </c>
    </row>
    <row r="792" spans="2:16" ht="30" x14ac:dyDescent="0.25">
      <c r="C792" s="35">
        <f>NOVEMBRO!C13</f>
        <v>46333</v>
      </c>
      <c r="D792" s="35" t="str">
        <f>NOVEMBRO!D13</f>
        <v>DESPESAS COM PRODUTOS</v>
      </c>
      <c r="E792" s="35" t="str">
        <f>NOVEMBRO!E13</f>
        <v>-</v>
      </c>
      <c r="F792" s="67">
        <f>NOVEMBRO!G13</f>
        <v>0</v>
      </c>
      <c r="G792" s="68">
        <f>NOVEMBRO!H13</f>
        <v>7</v>
      </c>
      <c r="H792" s="37">
        <f>NOVEMBRO!I13</f>
        <v>46333</v>
      </c>
      <c r="I792" s="34" t="str">
        <f>NOVEMBRO!O13</f>
        <v>DESPESAS</v>
      </c>
      <c r="J792">
        <f t="shared" si="85"/>
        <v>7</v>
      </c>
      <c r="K792">
        <f t="shared" si="86"/>
        <v>11</v>
      </c>
      <c r="L792" t="str">
        <f t="shared" si="87"/>
        <v>NOV</v>
      </c>
      <c r="M792">
        <f t="shared" si="88"/>
        <v>7</v>
      </c>
      <c r="N792">
        <f t="shared" si="89"/>
        <v>11</v>
      </c>
      <c r="O792" t="str">
        <f t="shared" si="91"/>
        <v>NOV</v>
      </c>
      <c r="P792" t="str">
        <f t="shared" si="90"/>
        <v>PAGO</v>
      </c>
    </row>
    <row r="793" spans="2:16" x14ac:dyDescent="0.25">
      <c r="C793" s="35">
        <f>NOVEMBRO!C14</f>
        <v>46334</v>
      </c>
      <c r="D793" s="35" t="str">
        <f>NOVEMBRO!D14</f>
        <v>DESPESAS COM RH</v>
      </c>
      <c r="E793" s="35" t="str">
        <f>NOVEMBRO!E14</f>
        <v>ACTUALIZAÇÕES</v>
      </c>
      <c r="F793" s="67">
        <f>NOVEMBRO!G14</f>
        <v>0</v>
      </c>
      <c r="G793" s="68">
        <f>NOVEMBRO!H14</f>
        <v>8</v>
      </c>
      <c r="H793" s="37">
        <f>NOVEMBRO!I14</f>
        <v>46334</v>
      </c>
      <c r="I793" s="34" t="str">
        <f>NOVEMBRO!O14</f>
        <v>DESPESAS</v>
      </c>
      <c r="J793">
        <f t="shared" si="85"/>
        <v>8</v>
      </c>
      <c r="K793">
        <f t="shared" si="86"/>
        <v>11</v>
      </c>
      <c r="L793" t="str">
        <f t="shared" si="87"/>
        <v>NOV</v>
      </c>
      <c r="M793">
        <f t="shared" si="88"/>
        <v>8</v>
      </c>
      <c r="N793">
        <f t="shared" si="89"/>
        <v>11</v>
      </c>
      <c r="O793" t="str">
        <f t="shared" si="91"/>
        <v>NOV</v>
      </c>
      <c r="P793" t="str">
        <f t="shared" si="90"/>
        <v>PAGO</v>
      </c>
    </row>
    <row r="794" spans="2:16" x14ac:dyDescent="0.25">
      <c r="C794" s="35">
        <f>NOVEMBRO!C15</f>
        <v>46335</v>
      </c>
      <c r="D794" s="35" t="str">
        <f>NOVEMBRO!D15</f>
        <v>RECEITAS COM SERVIÇOS</v>
      </c>
      <c r="E794" s="35" t="str">
        <f>NOVEMBRO!E15</f>
        <v>CONSULTORIA</v>
      </c>
      <c r="F794" s="67">
        <f>NOVEMBRO!G15</f>
        <v>0</v>
      </c>
      <c r="G794" s="68">
        <f>NOVEMBRO!H15</f>
        <v>9</v>
      </c>
      <c r="H794" s="37">
        <f>NOVEMBRO!I15</f>
        <v>46335</v>
      </c>
      <c r="I794" s="34" t="str">
        <f>NOVEMBRO!O15</f>
        <v>RECEITAS</v>
      </c>
      <c r="J794">
        <f t="shared" si="85"/>
        <v>9</v>
      </c>
      <c r="K794">
        <f t="shared" si="86"/>
        <v>11</v>
      </c>
      <c r="L794" t="str">
        <f t="shared" si="87"/>
        <v>NOV</v>
      </c>
      <c r="M794">
        <f t="shared" si="88"/>
        <v>9</v>
      </c>
      <c r="N794">
        <f t="shared" si="89"/>
        <v>11</v>
      </c>
      <c r="O794" t="str">
        <f t="shared" si="91"/>
        <v>NOV</v>
      </c>
      <c r="P794" t="str">
        <f t="shared" si="90"/>
        <v>PAGO</v>
      </c>
    </row>
    <row r="795" spans="2:16" x14ac:dyDescent="0.25">
      <c r="C795" s="35">
        <f>NOVEMBRO!C16</f>
        <v>46336</v>
      </c>
      <c r="D795" s="35" t="str">
        <f>NOVEMBRO!D16</f>
        <v>RECEITAS COM SERVIÇOS</v>
      </c>
      <c r="E795" s="35" t="str">
        <f>NOVEMBRO!E16</f>
        <v>-</v>
      </c>
      <c r="F795" s="67">
        <f>NOVEMBRO!G16</f>
        <v>0</v>
      </c>
      <c r="G795" s="68">
        <f>NOVEMBRO!H16</f>
        <v>10</v>
      </c>
      <c r="H795" s="37">
        <f>NOVEMBRO!I16</f>
        <v>46336</v>
      </c>
      <c r="I795" s="34" t="str">
        <f>NOVEMBRO!O16</f>
        <v>RECEITAS</v>
      </c>
      <c r="J795">
        <f t="shared" si="85"/>
        <v>10</v>
      </c>
      <c r="K795">
        <f t="shared" si="86"/>
        <v>11</v>
      </c>
      <c r="L795" t="str">
        <f t="shared" si="87"/>
        <v>NOV</v>
      </c>
      <c r="M795">
        <f t="shared" si="88"/>
        <v>10</v>
      </c>
      <c r="N795">
        <f t="shared" si="89"/>
        <v>11</v>
      </c>
      <c r="O795" t="str">
        <f t="shared" si="91"/>
        <v>NOV</v>
      </c>
      <c r="P795" t="str">
        <f t="shared" si="90"/>
        <v>PAGO</v>
      </c>
    </row>
    <row r="796" spans="2:16" ht="30" x14ac:dyDescent="0.25">
      <c r="C796" s="35">
        <f>NOVEMBRO!C17</f>
        <v>46337</v>
      </c>
      <c r="D796" s="35" t="str">
        <f>NOVEMBRO!D17</f>
        <v>RECEITAS COM SERVIÇOS</v>
      </c>
      <c r="E796" s="35" t="str">
        <f>NOVEMBRO!E17</f>
        <v>ESTUDIOS GRAVAÇÃO</v>
      </c>
      <c r="F796" s="67">
        <f>NOVEMBRO!G17</f>
        <v>0</v>
      </c>
      <c r="G796" s="68">
        <f>NOVEMBRO!H17</f>
        <v>11</v>
      </c>
      <c r="H796" s="37">
        <f>NOVEMBRO!I17</f>
        <v>46337</v>
      </c>
      <c r="I796" s="34" t="str">
        <f>NOVEMBRO!O17</f>
        <v>RECEITAS</v>
      </c>
      <c r="J796">
        <f t="shared" si="85"/>
        <v>11</v>
      </c>
      <c r="K796">
        <f t="shared" si="86"/>
        <v>11</v>
      </c>
      <c r="L796" t="str">
        <f t="shared" si="87"/>
        <v>NOV</v>
      </c>
      <c r="M796">
        <f t="shared" si="88"/>
        <v>11</v>
      </c>
      <c r="N796">
        <f t="shared" si="89"/>
        <v>11</v>
      </c>
      <c r="O796" t="str">
        <f t="shared" si="91"/>
        <v>NOV</v>
      </c>
      <c r="P796" t="str">
        <f t="shared" si="90"/>
        <v>PAGO</v>
      </c>
    </row>
    <row r="797" spans="2:16" x14ac:dyDescent="0.25">
      <c r="C797" s="35">
        <f>NOVEMBRO!C18</f>
        <v>46338</v>
      </c>
      <c r="D797" s="35" t="str">
        <f>NOVEMBRO!D18</f>
        <v>RECEITAS COM SERVIÇOS</v>
      </c>
      <c r="E797" s="35" t="str">
        <f>NOVEMBRO!E18</f>
        <v>-</v>
      </c>
      <c r="F797" s="67" t="str">
        <f>NOVEMBRO!G18</f>
        <v>CALEMBA 2</v>
      </c>
      <c r="G797" s="68">
        <f>NOVEMBRO!H18</f>
        <v>12</v>
      </c>
      <c r="H797" s="37">
        <f>NOVEMBRO!I18</f>
        <v>46338</v>
      </c>
      <c r="I797" s="34" t="str">
        <f>NOVEMBRO!O18</f>
        <v>RECEITAS</v>
      </c>
      <c r="J797">
        <f t="shared" si="85"/>
        <v>12</v>
      </c>
      <c r="K797">
        <f t="shared" si="86"/>
        <v>11</v>
      </c>
      <c r="L797" t="str">
        <f t="shared" si="87"/>
        <v>NOV</v>
      </c>
      <c r="M797">
        <f t="shared" si="88"/>
        <v>12</v>
      </c>
      <c r="N797">
        <f t="shared" si="89"/>
        <v>11</v>
      </c>
      <c r="O797" t="str">
        <f t="shared" si="91"/>
        <v>NOV</v>
      </c>
      <c r="P797" t="str">
        <f t="shared" si="90"/>
        <v>PAGO</v>
      </c>
    </row>
    <row r="798" spans="2:16" x14ac:dyDescent="0.25">
      <c r="C798" s="35">
        <f>NOVEMBRO!C19</f>
        <v>46339</v>
      </c>
      <c r="D798" s="35" t="str">
        <f>NOVEMBRO!D19</f>
        <v>RECEITAS COM SERVIÇOS</v>
      </c>
      <c r="E798" s="35" t="str">
        <f>NOVEMBRO!E19</f>
        <v>-</v>
      </c>
      <c r="F798" s="67">
        <f>NOVEMBRO!G19</f>
        <v>0</v>
      </c>
      <c r="G798" s="68">
        <f>NOVEMBRO!H19</f>
        <v>13</v>
      </c>
      <c r="H798" s="37">
        <f>NOVEMBRO!I19</f>
        <v>46339</v>
      </c>
      <c r="I798" s="34" t="str">
        <f>NOVEMBRO!O19</f>
        <v>RECEITAS</v>
      </c>
      <c r="J798">
        <f t="shared" si="85"/>
        <v>13</v>
      </c>
      <c r="K798">
        <f t="shared" si="86"/>
        <v>11</v>
      </c>
      <c r="L798" t="str">
        <f t="shared" si="87"/>
        <v>NOV</v>
      </c>
      <c r="M798">
        <f t="shared" si="88"/>
        <v>13</v>
      </c>
      <c r="N798">
        <f t="shared" si="89"/>
        <v>11</v>
      </c>
      <c r="O798" t="str">
        <f t="shared" si="91"/>
        <v>NOV</v>
      </c>
      <c r="P798" t="str">
        <f t="shared" si="90"/>
        <v>PAGO</v>
      </c>
    </row>
    <row r="799" spans="2:16" x14ac:dyDescent="0.25">
      <c r="C799" s="35">
        <f>NOVEMBRO!C20</f>
        <v>46340</v>
      </c>
      <c r="D799" s="35" t="str">
        <f>NOVEMBRO!D20</f>
        <v>RECEITAS COM SERVIÇOS</v>
      </c>
      <c r="E799" s="35" t="str">
        <f>NOVEMBRO!E20</f>
        <v>-</v>
      </c>
      <c r="F799" s="67">
        <f>NOVEMBRO!G20</f>
        <v>0</v>
      </c>
      <c r="G799" s="68">
        <f>NOVEMBRO!H20</f>
        <v>14</v>
      </c>
      <c r="H799" s="37">
        <f>NOVEMBRO!I20</f>
        <v>46340</v>
      </c>
      <c r="I799" s="34" t="str">
        <f>NOVEMBRO!O20</f>
        <v>RECEITAS</v>
      </c>
      <c r="J799">
        <f t="shared" si="85"/>
        <v>14</v>
      </c>
      <c r="K799">
        <f t="shared" si="86"/>
        <v>11</v>
      </c>
      <c r="L799" t="str">
        <f t="shared" si="87"/>
        <v>NOV</v>
      </c>
      <c r="M799">
        <f t="shared" si="88"/>
        <v>14</v>
      </c>
      <c r="N799">
        <f t="shared" si="89"/>
        <v>11</v>
      </c>
      <c r="O799" t="str">
        <f t="shared" si="91"/>
        <v>NOV</v>
      </c>
      <c r="P799" t="str">
        <f t="shared" si="90"/>
        <v>PAGO</v>
      </c>
    </row>
    <row r="800" spans="2:16" x14ac:dyDescent="0.25">
      <c r="C800" s="35">
        <f>NOVEMBRO!C21</f>
        <v>46341</v>
      </c>
      <c r="D800" s="35" t="str">
        <f>NOVEMBRO!D21</f>
        <v>RECEITAS COM SERVIÇOS</v>
      </c>
      <c r="E800" s="35" t="str">
        <f>NOVEMBRO!E21</f>
        <v>-</v>
      </c>
      <c r="F800" s="67">
        <f>NOVEMBRO!G21</f>
        <v>0</v>
      </c>
      <c r="G800" s="68">
        <f>NOVEMBRO!H21</f>
        <v>15</v>
      </c>
      <c r="H800" s="37">
        <f>NOVEMBRO!I21</f>
        <v>46341</v>
      </c>
      <c r="I800" s="34" t="str">
        <f>NOVEMBRO!O21</f>
        <v>RECEITAS</v>
      </c>
      <c r="J800">
        <f t="shared" si="85"/>
        <v>15</v>
      </c>
      <c r="K800">
        <f t="shared" si="86"/>
        <v>11</v>
      </c>
      <c r="L800" t="str">
        <f t="shared" si="87"/>
        <v>NOV</v>
      </c>
      <c r="M800">
        <f t="shared" si="88"/>
        <v>15</v>
      </c>
      <c r="N800">
        <f t="shared" si="89"/>
        <v>11</v>
      </c>
      <c r="O800" t="str">
        <f t="shared" si="91"/>
        <v>NOV</v>
      </c>
      <c r="P800" t="str">
        <f t="shared" si="90"/>
        <v>PAGO</v>
      </c>
    </row>
    <row r="801" spans="3:16" x14ac:dyDescent="0.25">
      <c r="C801" s="35">
        <f>NOVEMBRO!C22</f>
        <v>46342</v>
      </c>
      <c r="D801" s="35" t="str">
        <f>NOVEMBRO!D22</f>
        <v>RECEITAS COM SERVIÇOS</v>
      </c>
      <c r="E801" s="35" t="str">
        <f>NOVEMBRO!E22</f>
        <v>-</v>
      </c>
      <c r="F801" s="67">
        <f>NOVEMBRO!G22</f>
        <v>0</v>
      </c>
      <c r="G801" s="68">
        <f>NOVEMBRO!H22</f>
        <v>16</v>
      </c>
      <c r="H801" s="37">
        <f>NOVEMBRO!I22</f>
        <v>46342</v>
      </c>
      <c r="I801" s="34" t="str">
        <f>NOVEMBRO!O22</f>
        <v>RECEITAS</v>
      </c>
      <c r="J801">
        <f t="shared" si="85"/>
        <v>16</v>
      </c>
      <c r="K801">
        <f t="shared" si="86"/>
        <v>11</v>
      </c>
      <c r="L801" t="str">
        <f t="shared" si="87"/>
        <v>NOV</v>
      </c>
      <c r="M801">
        <f t="shared" si="88"/>
        <v>16</v>
      </c>
      <c r="N801">
        <f t="shared" si="89"/>
        <v>11</v>
      </c>
      <c r="O801" t="str">
        <f t="shared" si="91"/>
        <v>NOV</v>
      </c>
      <c r="P801" t="str">
        <f t="shared" si="90"/>
        <v>PAGO</v>
      </c>
    </row>
    <row r="802" spans="3:16" x14ac:dyDescent="0.25">
      <c r="C802" s="35">
        <f>NOVEMBRO!C23</f>
        <v>46343</v>
      </c>
      <c r="D802" s="35" t="str">
        <f>NOVEMBRO!D23</f>
        <v>RECEITAS COM SERVIÇOS</v>
      </c>
      <c r="E802" s="35" t="str">
        <f>NOVEMBRO!E23</f>
        <v>-</v>
      </c>
      <c r="F802" s="67">
        <f>NOVEMBRO!G23</f>
        <v>0</v>
      </c>
      <c r="G802" s="68">
        <f>NOVEMBRO!H23</f>
        <v>17</v>
      </c>
      <c r="H802" s="37">
        <f>NOVEMBRO!I23</f>
        <v>46343</v>
      </c>
      <c r="I802" s="34" t="str">
        <f>NOVEMBRO!O23</f>
        <v>RECEITAS</v>
      </c>
      <c r="J802">
        <f t="shared" si="85"/>
        <v>17</v>
      </c>
      <c r="K802">
        <f t="shared" si="86"/>
        <v>11</v>
      </c>
      <c r="L802" t="str">
        <f t="shared" si="87"/>
        <v>NOV</v>
      </c>
      <c r="M802">
        <f t="shared" si="88"/>
        <v>17</v>
      </c>
      <c r="N802">
        <f t="shared" si="89"/>
        <v>11</v>
      </c>
      <c r="O802" t="str">
        <f t="shared" si="91"/>
        <v>NOV</v>
      </c>
      <c r="P802" t="str">
        <f t="shared" si="90"/>
        <v>PAGO</v>
      </c>
    </row>
    <row r="803" spans="3:16" x14ac:dyDescent="0.25">
      <c r="C803" s="35">
        <f>NOVEMBRO!C24</f>
        <v>46344</v>
      </c>
      <c r="D803" s="35" t="str">
        <f>NOVEMBRO!D24</f>
        <v>RECEITAS COM SERVIÇOS</v>
      </c>
      <c r="E803" s="35" t="str">
        <f>NOVEMBRO!E24</f>
        <v>-</v>
      </c>
      <c r="F803" s="67">
        <f>NOVEMBRO!G24</f>
        <v>0</v>
      </c>
      <c r="G803" s="68">
        <f>NOVEMBRO!H24</f>
        <v>18</v>
      </c>
      <c r="H803" s="37">
        <f>NOVEMBRO!I24</f>
        <v>46344</v>
      </c>
      <c r="I803" s="34" t="str">
        <f>NOVEMBRO!O24</f>
        <v>RECEITAS</v>
      </c>
      <c r="J803">
        <f t="shared" si="85"/>
        <v>18</v>
      </c>
      <c r="K803">
        <f t="shared" si="86"/>
        <v>11</v>
      </c>
      <c r="L803" t="str">
        <f t="shared" si="87"/>
        <v>NOV</v>
      </c>
      <c r="M803">
        <f t="shared" si="88"/>
        <v>18</v>
      </c>
      <c r="N803">
        <f t="shared" si="89"/>
        <v>11</v>
      </c>
      <c r="O803" t="str">
        <f t="shared" si="91"/>
        <v>NOV</v>
      </c>
      <c r="P803" t="str">
        <f t="shared" si="90"/>
        <v>PAGO</v>
      </c>
    </row>
    <row r="804" spans="3:16" x14ac:dyDescent="0.25">
      <c r="C804" s="35">
        <f>NOVEMBRO!C25</f>
        <v>46345</v>
      </c>
      <c r="D804" s="35" t="str">
        <f>NOVEMBRO!D25</f>
        <v>RECEITAS COM SERVIÇOS</v>
      </c>
      <c r="E804" s="35" t="str">
        <f>NOVEMBRO!E25</f>
        <v>-</v>
      </c>
      <c r="F804" s="67">
        <f>NOVEMBRO!G25</f>
        <v>0</v>
      </c>
      <c r="G804" s="68">
        <f>NOVEMBRO!H25</f>
        <v>19</v>
      </c>
      <c r="H804" s="37">
        <f>NOVEMBRO!I25</f>
        <v>46345</v>
      </c>
      <c r="I804" s="34" t="str">
        <f>NOVEMBRO!O25</f>
        <v>RECEITAS</v>
      </c>
      <c r="J804">
        <f t="shared" si="85"/>
        <v>19</v>
      </c>
      <c r="K804">
        <f t="shared" si="86"/>
        <v>11</v>
      </c>
      <c r="L804" t="str">
        <f t="shared" si="87"/>
        <v>NOV</v>
      </c>
      <c r="M804">
        <f t="shared" si="88"/>
        <v>19</v>
      </c>
      <c r="N804">
        <f t="shared" si="89"/>
        <v>11</v>
      </c>
      <c r="O804" t="str">
        <f t="shared" si="91"/>
        <v>NOV</v>
      </c>
      <c r="P804" t="str">
        <f t="shared" si="90"/>
        <v>PAGO</v>
      </c>
    </row>
    <row r="805" spans="3:16" x14ac:dyDescent="0.25">
      <c r="C805" s="35">
        <f>NOVEMBRO!C26</f>
        <v>46346</v>
      </c>
      <c r="D805" s="35" t="str">
        <f>NOVEMBRO!D26</f>
        <v>RECEITAS COM SERVIÇOS</v>
      </c>
      <c r="E805" s="35" t="str">
        <f>NOVEMBRO!E26</f>
        <v>-</v>
      </c>
      <c r="F805" s="67">
        <f>NOVEMBRO!G26</f>
        <v>0</v>
      </c>
      <c r="G805" s="68">
        <f>NOVEMBRO!H26</f>
        <v>20</v>
      </c>
      <c r="H805" s="37">
        <f>NOVEMBRO!I26</f>
        <v>46346</v>
      </c>
      <c r="I805" s="34" t="str">
        <f>NOVEMBRO!O26</f>
        <v>RECEITAS</v>
      </c>
      <c r="J805">
        <f t="shared" si="85"/>
        <v>20</v>
      </c>
      <c r="K805">
        <f t="shared" si="86"/>
        <v>11</v>
      </c>
      <c r="L805" t="str">
        <f t="shared" si="87"/>
        <v>NOV</v>
      </c>
      <c r="M805">
        <f t="shared" si="88"/>
        <v>20</v>
      </c>
      <c r="N805">
        <f t="shared" si="89"/>
        <v>11</v>
      </c>
      <c r="O805" t="str">
        <f t="shared" si="91"/>
        <v>NOV</v>
      </c>
      <c r="P805" t="str">
        <f t="shared" si="90"/>
        <v>PAGO</v>
      </c>
    </row>
    <row r="806" spans="3:16" x14ac:dyDescent="0.25">
      <c r="C806" s="35">
        <f>NOVEMBRO!C27</f>
        <v>46347</v>
      </c>
      <c r="D806" s="35" t="str">
        <f>NOVEMBRO!D27</f>
        <v>RECEITAS COM SERVIÇOS</v>
      </c>
      <c r="E806" s="35" t="str">
        <f>NOVEMBRO!E27</f>
        <v>-</v>
      </c>
      <c r="F806" s="67">
        <f>NOVEMBRO!G27</f>
        <v>0</v>
      </c>
      <c r="G806" s="68">
        <f>NOVEMBRO!H27</f>
        <v>21</v>
      </c>
      <c r="H806" s="37">
        <f>NOVEMBRO!I27</f>
        <v>46347</v>
      </c>
      <c r="I806" s="34" t="str">
        <f>NOVEMBRO!O27</f>
        <v>RECEITAS</v>
      </c>
      <c r="J806">
        <f t="shared" si="85"/>
        <v>21</v>
      </c>
      <c r="K806">
        <f t="shared" si="86"/>
        <v>11</v>
      </c>
      <c r="L806" t="str">
        <f t="shared" si="87"/>
        <v>NOV</v>
      </c>
      <c r="M806">
        <f t="shared" si="88"/>
        <v>21</v>
      </c>
      <c r="N806">
        <f t="shared" si="89"/>
        <v>11</v>
      </c>
      <c r="O806" t="str">
        <f t="shared" si="91"/>
        <v>NOV</v>
      </c>
      <c r="P806" t="str">
        <f t="shared" si="90"/>
        <v>PAGO</v>
      </c>
    </row>
    <row r="807" spans="3:16" x14ac:dyDescent="0.25">
      <c r="C807" s="35">
        <f>NOVEMBRO!C28</f>
        <v>46348</v>
      </c>
      <c r="D807" s="35" t="str">
        <f>NOVEMBRO!D28</f>
        <v>RECEITAS COM SERVIÇOS</v>
      </c>
      <c r="E807" s="35" t="str">
        <f>NOVEMBRO!E28</f>
        <v>-</v>
      </c>
      <c r="F807" s="67">
        <f>NOVEMBRO!G28</f>
        <v>0</v>
      </c>
      <c r="G807" s="68">
        <f>NOVEMBRO!H28</f>
        <v>22</v>
      </c>
      <c r="H807" s="37">
        <f>NOVEMBRO!I28</f>
        <v>46348</v>
      </c>
      <c r="I807" s="34" t="str">
        <f>NOVEMBRO!O28</f>
        <v>RECEITAS</v>
      </c>
      <c r="J807">
        <f t="shared" si="85"/>
        <v>22</v>
      </c>
      <c r="K807">
        <f t="shared" si="86"/>
        <v>11</v>
      </c>
      <c r="L807" t="str">
        <f t="shared" si="87"/>
        <v>NOV</v>
      </c>
      <c r="M807">
        <f t="shared" si="88"/>
        <v>22</v>
      </c>
      <c r="N807">
        <f t="shared" si="89"/>
        <v>11</v>
      </c>
      <c r="O807" t="str">
        <f t="shared" si="91"/>
        <v>NOV</v>
      </c>
      <c r="P807" t="str">
        <f t="shared" si="90"/>
        <v>PAGO</v>
      </c>
    </row>
    <row r="808" spans="3:16" x14ac:dyDescent="0.25">
      <c r="C808" s="35">
        <f>NOVEMBRO!C29</f>
        <v>46349</v>
      </c>
      <c r="D808" s="35" t="str">
        <f>NOVEMBRO!D29</f>
        <v>RECEITAS COM SERVIÇOS</v>
      </c>
      <c r="E808" s="35" t="str">
        <f>NOVEMBRO!E29</f>
        <v>-</v>
      </c>
      <c r="F808" s="67">
        <f>NOVEMBRO!G29</f>
        <v>0</v>
      </c>
      <c r="G808" s="68">
        <f>NOVEMBRO!H29</f>
        <v>23</v>
      </c>
      <c r="H808" s="37">
        <f>NOVEMBRO!I29</f>
        <v>46349</v>
      </c>
      <c r="I808" s="34" t="str">
        <f>NOVEMBRO!O29</f>
        <v>RECEITAS</v>
      </c>
      <c r="J808">
        <f t="shared" si="85"/>
        <v>23</v>
      </c>
      <c r="K808">
        <f t="shared" si="86"/>
        <v>11</v>
      </c>
      <c r="L808" t="str">
        <f t="shared" si="87"/>
        <v>NOV</v>
      </c>
      <c r="M808">
        <f t="shared" si="88"/>
        <v>23</v>
      </c>
      <c r="N808">
        <f t="shared" si="89"/>
        <v>11</v>
      </c>
      <c r="O808" t="str">
        <f t="shared" si="91"/>
        <v>NOV</v>
      </c>
      <c r="P808" t="str">
        <f t="shared" si="90"/>
        <v>PAGO</v>
      </c>
    </row>
    <row r="809" spans="3:16" x14ac:dyDescent="0.25">
      <c r="C809" s="35">
        <f>NOVEMBRO!C30</f>
        <v>46350</v>
      </c>
      <c r="D809" s="35" t="str">
        <f>NOVEMBRO!D30</f>
        <v>RECEITAS COM SERVIÇOS</v>
      </c>
      <c r="E809" s="35" t="str">
        <f>NOVEMBRO!E30</f>
        <v>-</v>
      </c>
      <c r="F809" s="67">
        <f>NOVEMBRO!G30</f>
        <v>0</v>
      </c>
      <c r="G809" s="68">
        <f>NOVEMBRO!H30</f>
        <v>24</v>
      </c>
      <c r="H809" s="37">
        <f>NOVEMBRO!I30</f>
        <v>46350</v>
      </c>
      <c r="I809" s="34" t="str">
        <f>NOVEMBRO!O30</f>
        <v>RECEITAS</v>
      </c>
      <c r="J809">
        <f t="shared" si="85"/>
        <v>24</v>
      </c>
      <c r="K809">
        <f t="shared" si="86"/>
        <v>11</v>
      </c>
      <c r="L809" t="str">
        <f t="shared" si="87"/>
        <v>NOV</v>
      </c>
      <c r="M809">
        <f t="shared" si="88"/>
        <v>24</v>
      </c>
      <c r="N809">
        <f t="shared" si="89"/>
        <v>11</v>
      </c>
      <c r="O809" t="str">
        <f t="shared" si="91"/>
        <v>NOV</v>
      </c>
      <c r="P809" t="str">
        <f t="shared" si="90"/>
        <v>PAGO</v>
      </c>
    </row>
    <row r="810" spans="3:16" x14ac:dyDescent="0.25">
      <c r="C810" s="35">
        <f>NOVEMBRO!C31</f>
        <v>46351</v>
      </c>
      <c r="D810" s="35" t="str">
        <f>NOVEMBRO!D31</f>
        <v>RECEITAS COM SERVIÇOS</v>
      </c>
      <c r="E810" s="35" t="str">
        <f>NOVEMBRO!E31</f>
        <v>-</v>
      </c>
      <c r="F810" s="67">
        <f>NOVEMBRO!G31</f>
        <v>0</v>
      </c>
      <c r="G810" s="68">
        <f>NOVEMBRO!H31</f>
        <v>25</v>
      </c>
      <c r="H810" s="37">
        <f>NOVEMBRO!I31</f>
        <v>46351</v>
      </c>
      <c r="I810" s="34" t="str">
        <f>NOVEMBRO!O31</f>
        <v>RECEITAS</v>
      </c>
      <c r="J810">
        <f t="shared" si="85"/>
        <v>25</v>
      </c>
      <c r="K810">
        <f t="shared" si="86"/>
        <v>11</v>
      </c>
      <c r="L810" t="str">
        <f t="shared" si="87"/>
        <v>NOV</v>
      </c>
      <c r="M810">
        <f t="shared" si="88"/>
        <v>25</v>
      </c>
      <c r="N810">
        <f t="shared" si="89"/>
        <v>11</v>
      </c>
      <c r="O810" t="str">
        <f t="shared" si="91"/>
        <v>NOV</v>
      </c>
      <c r="P810" t="str">
        <f t="shared" si="90"/>
        <v>PAGO</v>
      </c>
    </row>
    <row r="811" spans="3:16" x14ac:dyDescent="0.25">
      <c r="C811" s="35">
        <f>NOVEMBRO!C32</f>
        <v>46352</v>
      </c>
      <c r="D811" s="35" t="str">
        <f>NOVEMBRO!D32</f>
        <v>RECEITAS COM SERVIÇOS</v>
      </c>
      <c r="E811" s="35" t="str">
        <f>NOVEMBRO!E32</f>
        <v>-</v>
      </c>
      <c r="F811" s="67">
        <f>NOVEMBRO!G32</f>
        <v>0</v>
      </c>
      <c r="G811" s="68">
        <f>NOVEMBRO!H32</f>
        <v>26</v>
      </c>
      <c r="H811" s="37">
        <f>NOVEMBRO!I32</f>
        <v>46352</v>
      </c>
      <c r="I811" s="34" t="str">
        <f>NOVEMBRO!O32</f>
        <v>RECEITAS</v>
      </c>
      <c r="J811">
        <f t="shared" si="85"/>
        <v>26</v>
      </c>
      <c r="K811">
        <f t="shared" si="86"/>
        <v>11</v>
      </c>
      <c r="L811" t="str">
        <f t="shared" si="87"/>
        <v>NOV</v>
      </c>
      <c r="M811">
        <f t="shared" si="88"/>
        <v>26</v>
      </c>
      <c r="N811">
        <f t="shared" si="89"/>
        <v>11</v>
      </c>
      <c r="O811" t="str">
        <f t="shared" si="91"/>
        <v>NOV</v>
      </c>
      <c r="P811" t="str">
        <f t="shared" si="90"/>
        <v>PAGO</v>
      </c>
    </row>
    <row r="812" spans="3:16" x14ac:dyDescent="0.25">
      <c r="C812" s="35">
        <f>NOVEMBRO!C33</f>
        <v>46353</v>
      </c>
      <c r="D812" s="35" t="str">
        <f>NOVEMBRO!D33</f>
        <v>RECEITAS COM SERVIÇOS</v>
      </c>
      <c r="E812" s="35" t="str">
        <f>NOVEMBRO!E33</f>
        <v>-</v>
      </c>
      <c r="F812" s="67">
        <f>NOVEMBRO!G33</f>
        <v>0</v>
      </c>
      <c r="G812" s="68">
        <f>NOVEMBRO!H33</f>
        <v>27</v>
      </c>
      <c r="H812" s="37">
        <f>NOVEMBRO!I33</f>
        <v>46353</v>
      </c>
      <c r="I812" s="34" t="str">
        <f>NOVEMBRO!O33</f>
        <v>RECEITAS</v>
      </c>
      <c r="J812">
        <f t="shared" si="85"/>
        <v>27</v>
      </c>
      <c r="K812">
        <f t="shared" si="86"/>
        <v>11</v>
      </c>
      <c r="L812" t="str">
        <f t="shared" si="87"/>
        <v>NOV</v>
      </c>
      <c r="M812">
        <f t="shared" si="88"/>
        <v>27</v>
      </c>
      <c r="N812">
        <f t="shared" si="89"/>
        <v>11</v>
      </c>
      <c r="O812" t="str">
        <f t="shared" si="91"/>
        <v>NOV</v>
      </c>
      <c r="P812" t="str">
        <f t="shared" si="90"/>
        <v>PAGO</v>
      </c>
    </row>
    <row r="813" spans="3:16" x14ac:dyDescent="0.25">
      <c r="C813" s="35">
        <f>NOVEMBRO!C34</f>
        <v>46354</v>
      </c>
      <c r="D813" s="35" t="str">
        <f>NOVEMBRO!D34</f>
        <v>RECEITAS COM SERVIÇOS</v>
      </c>
      <c r="E813" s="35" t="str">
        <f>NOVEMBRO!E34</f>
        <v>-</v>
      </c>
      <c r="F813" s="67">
        <f>NOVEMBRO!G34</f>
        <v>0</v>
      </c>
      <c r="G813" s="68">
        <f>NOVEMBRO!H34</f>
        <v>28</v>
      </c>
      <c r="H813" s="37">
        <f>NOVEMBRO!I34</f>
        <v>46354</v>
      </c>
      <c r="I813" s="34" t="str">
        <f>NOVEMBRO!O34</f>
        <v>RECEITAS</v>
      </c>
      <c r="J813">
        <f t="shared" si="85"/>
        <v>28</v>
      </c>
      <c r="K813">
        <f t="shared" si="86"/>
        <v>11</v>
      </c>
      <c r="L813" t="str">
        <f t="shared" si="87"/>
        <v>NOV</v>
      </c>
      <c r="M813">
        <f t="shared" si="88"/>
        <v>28</v>
      </c>
      <c r="N813">
        <f t="shared" si="89"/>
        <v>11</v>
      </c>
      <c r="O813" t="str">
        <f t="shared" si="91"/>
        <v>NOV</v>
      </c>
      <c r="P813" t="str">
        <f t="shared" si="90"/>
        <v>PAGO</v>
      </c>
    </row>
    <row r="814" spans="3:16" x14ac:dyDescent="0.25">
      <c r="C814" s="35">
        <f>NOVEMBRO!C35</f>
        <v>46355</v>
      </c>
      <c r="D814" s="35" t="str">
        <f>NOVEMBRO!D35</f>
        <v>RECEITAS COM SERVIÇOS</v>
      </c>
      <c r="E814" s="35" t="str">
        <f>NOVEMBRO!E35</f>
        <v>-</v>
      </c>
      <c r="F814" s="67">
        <f>NOVEMBRO!G35</f>
        <v>0</v>
      </c>
      <c r="G814" s="68">
        <f>NOVEMBRO!H35</f>
        <v>29</v>
      </c>
      <c r="H814" s="37">
        <f>NOVEMBRO!I35</f>
        <v>46355</v>
      </c>
      <c r="I814" s="34" t="str">
        <f>NOVEMBRO!O35</f>
        <v>RECEITAS</v>
      </c>
      <c r="J814">
        <f t="shared" si="85"/>
        <v>29</v>
      </c>
      <c r="K814">
        <f t="shared" si="86"/>
        <v>11</v>
      </c>
      <c r="L814" t="str">
        <f t="shared" si="87"/>
        <v>NOV</v>
      </c>
      <c r="M814">
        <f t="shared" si="88"/>
        <v>29</v>
      </c>
      <c r="N814">
        <f t="shared" si="89"/>
        <v>11</v>
      </c>
      <c r="O814" t="str">
        <f t="shared" si="91"/>
        <v>NOV</v>
      </c>
      <c r="P814" t="str">
        <f t="shared" si="90"/>
        <v>PAGO</v>
      </c>
    </row>
    <row r="815" spans="3:16" x14ac:dyDescent="0.25">
      <c r="C815" s="35">
        <f>NOVEMBRO!C36</f>
        <v>46356</v>
      </c>
      <c r="D815" s="35" t="str">
        <f>NOVEMBRO!D36</f>
        <v>RECEITAS COM SERVIÇOS</v>
      </c>
      <c r="E815" s="35" t="str">
        <f>NOVEMBRO!E36</f>
        <v>-</v>
      </c>
      <c r="F815" s="67">
        <f>NOVEMBRO!G36</f>
        <v>0</v>
      </c>
      <c r="G815" s="68">
        <f>NOVEMBRO!H36</f>
        <v>30</v>
      </c>
      <c r="H815" s="37">
        <f>NOVEMBRO!I36</f>
        <v>46356</v>
      </c>
      <c r="I815" s="34" t="str">
        <f>NOVEMBRO!O36</f>
        <v>RECEITAS</v>
      </c>
      <c r="J815">
        <f t="shared" si="85"/>
        <v>30</v>
      </c>
      <c r="K815">
        <f t="shared" si="86"/>
        <v>11</v>
      </c>
      <c r="L815" t="str">
        <f t="shared" si="87"/>
        <v>NOV</v>
      </c>
      <c r="M815">
        <f t="shared" si="88"/>
        <v>30</v>
      </c>
      <c r="N815">
        <f t="shared" si="89"/>
        <v>11</v>
      </c>
      <c r="O815" t="str">
        <f t="shared" si="91"/>
        <v>NOV</v>
      </c>
      <c r="P815" t="str">
        <f t="shared" si="90"/>
        <v>PAGO</v>
      </c>
    </row>
    <row r="816" spans="3:16" x14ac:dyDescent="0.25">
      <c r="C816" s="35">
        <f>NOVEMBRO!C37</f>
        <v>46357</v>
      </c>
      <c r="D816" s="35" t="str">
        <f>NOVEMBRO!D37</f>
        <v>RECEITAS COM SERVIÇOS</v>
      </c>
      <c r="E816" s="35" t="str">
        <f>NOVEMBRO!E37</f>
        <v>-</v>
      </c>
      <c r="F816" s="67">
        <f>NOVEMBRO!G37</f>
        <v>0</v>
      </c>
      <c r="G816" s="68">
        <f>NOVEMBRO!H37</f>
        <v>31</v>
      </c>
      <c r="H816" s="37">
        <f>NOVEMBRO!I37</f>
        <v>46327</v>
      </c>
      <c r="I816" s="34" t="str">
        <f>NOVEMBRO!O37</f>
        <v>RECEITAS</v>
      </c>
      <c r="J816">
        <f t="shared" si="85"/>
        <v>1</v>
      </c>
      <c r="K816">
        <f t="shared" si="86"/>
        <v>12</v>
      </c>
      <c r="L816" t="str">
        <f t="shared" si="87"/>
        <v>DEC</v>
      </c>
      <c r="M816">
        <f t="shared" si="88"/>
        <v>1</v>
      </c>
      <c r="N816">
        <f t="shared" si="89"/>
        <v>11</v>
      </c>
      <c r="O816" t="str">
        <f t="shared" si="91"/>
        <v>NOV</v>
      </c>
      <c r="P816" t="str">
        <f t="shared" si="90"/>
        <v>PAGO</v>
      </c>
    </row>
    <row r="817" spans="3:16" x14ac:dyDescent="0.25">
      <c r="C817" s="35">
        <f>NOVEMBRO!C38</f>
        <v>0</v>
      </c>
      <c r="D817" s="35" t="str">
        <f>NOVEMBRO!D38</f>
        <v>RECEITAS COM SERVIÇOS</v>
      </c>
      <c r="E817" s="35" t="str">
        <f>NOVEMBRO!E38</f>
        <v>-</v>
      </c>
      <c r="F817" s="67">
        <f>NOVEMBRO!G38</f>
        <v>0</v>
      </c>
      <c r="G817" s="68">
        <f>NOVEMBRO!H38</f>
        <v>0</v>
      </c>
      <c r="H817" s="37">
        <f>NOVEMBRO!I38</f>
        <v>46328</v>
      </c>
      <c r="I817" s="34" t="str">
        <f>NOVEMBRO!O38</f>
        <v>RECEITAS</v>
      </c>
      <c r="J817">
        <f t="shared" si="85"/>
        <v>0</v>
      </c>
      <c r="K817" t="str">
        <f t="shared" si="86"/>
        <v xml:space="preserve"> </v>
      </c>
      <c r="L817" t="str">
        <f t="shared" si="87"/>
        <v/>
      </c>
      <c r="M817">
        <f t="shared" si="88"/>
        <v>2</v>
      </c>
      <c r="N817">
        <f t="shared" si="89"/>
        <v>11</v>
      </c>
      <c r="O817" t="str">
        <f t="shared" si="91"/>
        <v>NOV</v>
      </c>
      <c r="P817" t="str">
        <f t="shared" si="90"/>
        <v>PAGO</v>
      </c>
    </row>
    <row r="818" spans="3:16" x14ac:dyDescent="0.25">
      <c r="C818" s="35">
        <f>NOVEMBRO!C39</f>
        <v>0</v>
      </c>
      <c r="D818" s="35" t="str">
        <f>NOVEMBRO!D39</f>
        <v>RECEITAS COM SERVIÇOS</v>
      </c>
      <c r="E818" s="35" t="str">
        <f>NOVEMBRO!E39</f>
        <v>-</v>
      </c>
      <c r="F818" s="67">
        <f>NOVEMBRO!G39</f>
        <v>0</v>
      </c>
      <c r="G818" s="68">
        <f>NOVEMBRO!H39</f>
        <v>0</v>
      </c>
      <c r="H818" s="37">
        <f>NOVEMBRO!I39</f>
        <v>46329</v>
      </c>
      <c r="I818" s="34" t="str">
        <f>NOVEMBRO!O39</f>
        <v>RECEITAS</v>
      </c>
      <c r="J818">
        <f t="shared" si="85"/>
        <v>0</v>
      </c>
      <c r="K818" t="str">
        <f t="shared" si="86"/>
        <v xml:space="preserve"> </v>
      </c>
      <c r="L818" t="str">
        <f t="shared" si="87"/>
        <v/>
      </c>
      <c r="M818">
        <f t="shared" si="88"/>
        <v>3</v>
      </c>
      <c r="N818">
        <f t="shared" si="89"/>
        <v>11</v>
      </c>
      <c r="O818" t="str">
        <f t="shared" si="91"/>
        <v>NOV</v>
      </c>
      <c r="P818" t="str">
        <f t="shared" si="90"/>
        <v>PAGO</v>
      </c>
    </row>
    <row r="819" spans="3:16" x14ac:dyDescent="0.25">
      <c r="C819" s="35">
        <f>NOVEMBRO!C40</f>
        <v>0</v>
      </c>
      <c r="D819" s="35" t="str">
        <f>NOVEMBRO!D40</f>
        <v>RECEITAS COM SERVIÇOS</v>
      </c>
      <c r="E819" s="35" t="str">
        <f>NOVEMBRO!E40</f>
        <v>-</v>
      </c>
      <c r="F819" s="67">
        <f>NOVEMBRO!G40</f>
        <v>0</v>
      </c>
      <c r="G819" s="68">
        <f>NOVEMBRO!H40</f>
        <v>0</v>
      </c>
      <c r="H819" s="37">
        <f>NOVEMBRO!I40</f>
        <v>46330</v>
      </c>
      <c r="I819" s="34" t="str">
        <f>NOVEMBRO!O40</f>
        <v>RECEITAS</v>
      </c>
      <c r="J819">
        <f t="shared" si="85"/>
        <v>0</v>
      </c>
      <c r="K819" t="str">
        <f t="shared" si="86"/>
        <v xml:space="preserve"> </v>
      </c>
      <c r="L819" t="str">
        <f t="shared" si="87"/>
        <v/>
      </c>
      <c r="M819">
        <f t="shared" si="88"/>
        <v>4</v>
      </c>
      <c r="N819">
        <f t="shared" si="89"/>
        <v>11</v>
      </c>
      <c r="O819" t="str">
        <f t="shared" si="91"/>
        <v>NOV</v>
      </c>
      <c r="P819" t="str">
        <f t="shared" si="90"/>
        <v>PAGO</v>
      </c>
    </row>
    <row r="820" spans="3:16" x14ac:dyDescent="0.25">
      <c r="C820" s="35">
        <f>NOVEMBRO!C41</f>
        <v>0</v>
      </c>
      <c r="D820" s="35" t="str">
        <f>NOVEMBRO!D41</f>
        <v>RECEITAS COM SERVIÇOS</v>
      </c>
      <c r="E820" s="35" t="str">
        <f>NOVEMBRO!E41</f>
        <v>-</v>
      </c>
      <c r="F820" s="67">
        <f>NOVEMBRO!G41</f>
        <v>0</v>
      </c>
      <c r="G820" s="68">
        <f>NOVEMBRO!H41</f>
        <v>0</v>
      </c>
      <c r="H820" s="37">
        <f>NOVEMBRO!I41</f>
        <v>46331</v>
      </c>
      <c r="I820" s="34" t="str">
        <f>NOVEMBRO!O41</f>
        <v>RECEITAS</v>
      </c>
      <c r="J820">
        <f t="shared" si="85"/>
        <v>0</v>
      </c>
      <c r="K820" t="str">
        <f t="shared" si="86"/>
        <v xml:space="preserve"> </v>
      </c>
      <c r="L820" t="str">
        <f t="shared" si="87"/>
        <v/>
      </c>
      <c r="M820">
        <f t="shared" si="88"/>
        <v>5</v>
      </c>
      <c r="N820">
        <f t="shared" si="89"/>
        <v>11</v>
      </c>
      <c r="O820" t="str">
        <f t="shared" si="91"/>
        <v>NOV</v>
      </c>
      <c r="P820" t="str">
        <f t="shared" si="90"/>
        <v>PAGO</v>
      </c>
    </row>
    <row r="821" spans="3:16" x14ac:dyDescent="0.25">
      <c r="C821" s="35">
        <f>NOVEMBRO!C42</f>
        <v>0</v>
      </c>
      <c r="D821" s="35" t="str">
        <f>NOVEMBRO!D42</f>
        <v>RECEITAS COM SERVIÇOS</v>
      </c>
      <c r="E821" s="35" t="str">
        <f>NOVEMBRO!E42</f>
        <v>-</v>
      </c>
      <c r="F821" s="67">
        <f>NOVEMBRO!G42</f>
        <v>0</v>
      </c>
      <c r="G821" s="68">
        <f>NOVEMBRO!H42</f>
        <v>0</v>
      </c>
      <c r="H821" s="37">
        <f>NOVEMBRO!I42</f>
        <v>46332</v>
      </c>
      <c r="I821" s="34" t="str">
        <f>NOVEMBRO!O42</f>
        <v>RECEITAS</v>
      </c>
      <c r="J821">
        <f t="shared" si="85"/>
        <v>0</v>
      </c>
      <c r="K821" t="str">
        <f t="shared" si="86"/>
        <v xml:space="preserve"> </v>
      </c>
      <c r="L821" t="str">
        <f t="shared" si="87"/>
        <v/>
      </c>
      <c r="M821">
        <f t="shared" si="88"/>
        <v>6</v>
      </c>
      <c r="N821">
        <f t="shared" si="89"/>
        <v>11</v>
      </c>
      <c r="O821" t="str">
        <f t="shared" si="91"/>
        <v>NOV</v>
      </c>
      <c r="P821" t="str">
        <f t="shared" si="90"/>
        <v>PAGO</v>
      </c>
    </row>
    <row r="822" spans="3:16" x14ac:dyDescent="0.25">
      <c r="C822" s="35">
        <f>NOVEMBRO!C43</f>
        <v>0</v>
      </c>
      <c r="D822" s="35" t="str">
        <f>NOVEMBRO!D43</f>
        <v>RECEITAS COM SERVIÇOS</v>
      </c>
      <c r="E822" s="35" t="str">
        <f>NOVEMBRO!E43</f>
        <v>-</v>
      </c>
      <c r="F822" s="67">
        <f>NOVEMBRO!G43</f>
        <v>0</v>
      </c>
      <c r="G822" s="68">
        <f>NOVEMBRO!H43</f>
        <v>0</v>
      </c>
      <c r="H822" s="37">
        <f>NOVEMBRO!I43</f>
        <v>46333</v>
      </c>
      <c r="I822" s="34" t="str">
        <f>NOVEMBRO!O43</f>
        <v>RECEITAS</v>
      </c>
      <c r="J822">
        <f t="shared" si="85"/>
        <v>0</v>
      </c>
      <c r="K822" t="str">
        <f t="shared" si="86"/>
        <v xml:space="preserve"> </v>
      </c>
      <c r="L822" t="str">
        <f t="shared" si="87"/>
        <v/>
      </c>
      <c r="M822">
        <f t="shared" si="88"/>
        <v>7</v>
      </c>
      <c r="N822">
        <f t="shared" si="89"/>
        <v>11</v>
      </c>
      <c r="O822" t="str">
        <f t="shared" si="91"/>
        <v>NOV</v>
      </c>
      <c r="P822" t="str">
        <f t="shared" si="90"/>
        <v>PAGO</v>
      </c>
    </row>
    <row r="823" spans="3:16" x14ac:dyDescent="0.25">
      <c r="C823" s="35">
        <f>NOVEMBRO!C44</f>
        <v>0</v>
      </c>
      <c r="D823" s="35" t="str">
        <f>NOVEMBRO!D44</f>
        <v>RECEITAS COM SERVIÇOS</v>
      </c>
      <c r="E823" s="35" t="str">
        <f>NOVEMBRO!E44</f>
        <v>-</v>
      </c>
      <c r="F823" s="67">
        <f>NOVEMBRO!G44</f>
        <v>0</v>
      </c>
      <c r="G823" s="68">
        <f>NOVEMBRO!H44</f>
        <v>0</v>
      </c>
      <c r="H823" s="37">
        <f>NOVEMBRO!I44</f>
        <v>46334</v>
      </c>
      <c r="I823" s="34" t="str">
        <f>NOVEMBRO!O44</f>
        <v>RECEITAS</v>
      </c>
      <c r="J823">
        <f t="shared" si="85"/>
        <v>0</v>
      </c>
      <c r="K823" t="str">
        <f t="shared" si="86"/>
        <v xml:space="preserve"> </v>
      </c>
      <c r="L823" t="str">
        <f t="shared" si="87"/>
        <v/>
      </c>
      <c r="M823">
        <f t="shared" si="88"/>
        <v>8</v>
      </c>
      <c r="N823">
        <f t="shared" si="89"/>
        <v>11</v>
      </c>
      <c r="O823" t="str">
        <f t="shared" si="91"/>
        <v>NOV</v>
      </c>
      <c r="P823" t="str">
        <f t="shared" si="90"/>
        <v>PAGO</v>
      </c>
    </row>
    <row r="824" spans="3:16" x14ac:dyDescent="0.25">
      <c r="C824" s="35">
        <f>NOVEMBRO!C45</f>
        <v>0</v>
      </c>
      <c r="D824" s="35" t="str">
        <f>NOVEMBRO!D45</f>
        <v>RECEITAS COM SERVIÇOS</v>
      </c>
      <c r="E824" s="35" t="str">
        <f>NOVEMBRO!E45</f>
        <v>-</v>
      </c>
      <c r="F824" s="67">
        <f>NOVEMBRO!G45</f>
        <v>0</v>
      </c>
      <c r="G824" s="68">
        <f>NOVEMBRO!H45</f>
        <v>0</v>
      </c>
      <c r="H824" s="37">
        <f>NOVEMBRO!I45</f>
        <v>46335</v>
      </c>
      <c r="I824" s="34" t="str">
        <f>NOVEMBRO!O45</f>
        <v>RECEITAS</v>
      </c>
      <c r="J824">
        <f t="shared" si="85"/>
        <v>0</v>
      </c>
      <c r="K824" t="str">
        <f t="shared" si="86"/>
        <v xml:space="preserve"> </v>
      </c>
      <c r="L824" t="str">
        <f t="shared" si="87"/>
        <v/>
      </c>
      <c r="M824">
        <f t="shared" si="88"/>
        <v>9</v>
      </c>
      <c r="N824">
        <f t="shared" si="89"/>
        <v>11</v>
      </c>
      <c r="O824" t="str">
        <f t="shared" si="91"/>
        <v>NOV</v>
      </c>
      <c r="P824" t="str">
        <f t="shared" si="90"/>
        <v>PAGO</v>
      </c>
    </row>
    <row r="825" spans="3:16" x14ac:dyDescent="0.25">
      <c r="C825" s="35">
        <f>NOVEMBRO!C46</f>
        <v>0</v>
      </c>
      <c r="D825" s="35" t="str">
        <f>NOVEMBRO!D46</f>
        <v>RECEITAS COM SERVIÇOS</v>
      </c>
      <c r="E825" s="35" t="str">
        <f>NOVEMBRO!E46</f>
        <v>-</v>
      </c>
      <c r="F825" s="67">
        <f>NOVEMBRO!G46</f>
        <v>0</v>
      </c>
      <c r="G825" s="68">
        <f>NOVEMBRO!H46</f>
        <v>0</v>
      </c>
      <c r="H825" s="37">
        <f>NOVEMBRO!I46</f>
        <v>46336</v>
      </c>
      <c r="I825" s="34" t="str">
        <f>NOVEMBRO!O46</f>
        <v>RECEITAS</v>
      </c>
      <c r="J825">
        <f t="shared" si="85"/>
        <v>0</v>
      </c>
      <c r="K825" t="str">
        <f t="shared" si="86"/>
        <v xml:space="preserve"> </v>
      </c>
      <c r="L825" t="str">
        <f t="shared" si="87"/>
        <v/>
      </c>
      <c r="M825">
        <f t="shared" si="88"/>
        <v>10</v>
      </c>
      <c r="N825">
        <f t="shared" si="89"/>
        <v>11</v>
      </c>
      <c r="O825" t="str">
        <f t="shared" si="91"/>
        <v>NOV</v>
      </c>
      <c r="P825" t="str">
        <f t="shared" si="90"/>
        <v>PAGO</v>
      </c>
    </row>
    <row r="826" spans="3:16" x14ac:dyDescent="0.25">
      <c r="C826" s="35">
        <f>NOVEMBRO!C47</f>
        <v>0</v>
      </c>
      <c r="D826" s="35" t="str">
        <f>NOVEMBRO!D47</f>
        <v>RECEITAS COM SERVIÇOS</v>
      </c>
      <c r="E826" s="35" t="str">
        <f>NOVEMBRO!E47</f>
        <v>-</v>
      </c>
      <c r="F826" s="67">
        <f>NOVEMBRO!G47</f>
        <v>0</v>
      </c>
      <c r="G826" s="68">
        <f>NOVEMBRO!H47</f>
        <v>0</v>
      </c>
      <c r="H826" s="37">
        <f>NOVEMBRO!I47</f>
        <v>46337</v>
      </c>
      <c r="I826" s="34" t="str">
        <f>NOVEMBRO!O47</f>
        <v>RECEITAS</v>
      </c>
      <c r="J826">
        <f t="shared" si="85"/>
        <v>0</v>
      </c>
      <c r="K826" t="str">
        <f t="shared" si="86"/>
        <v xml:space="preserve"> </v>
      </c>
      <c r="L826" t="str">
        <f t="shared" si="87"/>
        <v/>
      </c>
      <c r="M826">
        <f t="shared" si="88"/>
        <v>11</v>
      </c>
      <c r="N826">
        <f t="shared" si="89"/>
        <v>11</v>
      </c>
      <c r="O826" t="str">
        <f t="shared" si="91"/>
        <v>NOV</v>
      </c>
      <c r="P826" t="str">
        <f t="shared" si="90"/>
        <v>PAGO</v>
      </c>
    </row>
    <row r="827" spans="3:16" x14ac:dyDescent="0.25">
      <c r="C827" s="35">
        <f>NOVEMBRO!C48</f>
        <v>0</v>
      </c>
      <c r="D827" s="35" t="str">
        <f>NOVEMBRO!D48</f>
        <v>RECEITAS COM SERVIÇOS</v>
      </c>
      <c r="E827" s="35" t="str">
        <f>NOVEMBRO!E48</f>
        <v>-</v>
      </c>
      <c r="F827" s="67">
        <f>NOVEMBRO!G48</f>
        <v>0</v>
      </c>
      <c r="G827" s="68">
        <f>NOVEMBRO!H48</f>
        <v>0</v>
      </c>
      <c r="H827" s="37">
        <f>NOVEMBRO!I48</f>
        <v>46338</v>
      </c>
      <c r="I827" s="34" t="str">
        <f>NOVEMBRO!O48</f>
        <v>RECEITAS</v>
      </c>
      <c r="J827">
        <f t="shared" si="85"/>
        <v>0</v>
      </c>
      <c r="K827" t="str">
        <f t="shared" si="86"/>
        <v xml:space="preserve"> </v>
      </c>
      <c r="L827" t="str">
        <f t="shared" si="87"/>
        <v/>
      </c>
      <c r="M827">
        <f t="shared" si="88"/>
        <v>12</v>
      </c>
      <c r="N827">
        <f t="shared" si="89"/>
        <v>11</v>
      </c>
      <c r="O827" t="str">
        <f t="shared" si="91"/>
        <v>NOV</v>
      </c>
      <c r="P827" t="str">
        <f t="shared" si="90"/>
        <v>PAGO</v>
      </c>
    </row>
    <row r="828" spans="3:16" x14ac:dyDescent="0.25">
      <c r="C828" s="35">
        <f>NOVEMBRO!C49</f>
        <v>0</v>
      </c>
      <c r="D828" s="35" t="str">
        <f>NOVEMBRO!D49</f>
        <v>RECEITAS COM SERVIÇOS</v>
      </c>
      <c r="E828" s="35" t="str">
        <f>NOVEMBRO!E49</f>
        <v>-</v>
      </c>
      <c r="F828" s="67">
        <f>NOVEMBRO!G49</f>
        <v>0</v>
      </c>
      <c r="G828" s="68">
        <f>NOVEMBRO!H49</f>
        <v>0</v>
      </c>
      <c r="H828" s="37">
        <f>NOVEMBRO!I49</f>
        <v>46339</v>
      </c>
      <c r="I828" s="34" t="str">
        <f>NOVEMBRO!O49</f>
        <v>RECEITAS</v>
      </c>
      <c r="J828">
        <f t="shared" si="85"/>
        <v>0</v>
      </c>
      <c r="K828" t="str">
        <f t="shared" si="86"/>
        <v xml:space="preserve"> </v>
      </c>
      <c r="L828" t="str">
        <f t="shared" si="87"/>
        <v/>
      </c>
      <c r="M828">
        <f t="shared" si="88"/>
        <v>13</v>
      </c>
      <c r="N828">
        <f t="shared" si="89"/>
        <v>11</v>
      </c>
      <c r="O828" t="str">
        <f t="shared" si="91"/>
        <v>NOV</v>
      </c>
      <c r="P828" t="str">
        <f t="shared" si="90"/>
        <v>PAGO</v>
      </c>
    </row>
    <row r="829" spans="3:16" x14ac:dyDescent="0.25">
      <c r="C829" s="35">
        <f>NOVEMBRO!C50</f>
        <v>0</v>
      </c>
      <c r="D829" s="35" t="str">
        <f>NOVEMBRO!D50</f>
        <v>RECEITAS COM SERVIÇOS</v>
      </c>
      <c r="E829" s="35" t="str">
        <f>NOVEMBRO!E50</f>
        <v>-</v>
      </c>
      <c r="F829" s="67">
        <f>NOVEMBRO!G50</f>
        <v>0</v>
      </c>
      <c r="G829" s="68">
        <f>NOVEMBRO!H50</f>
        <v>0</v>
      </c>
      <c r="H829" s="37">
        <f>NOVEMBRO!I50</f>
        <v>46340</v>
      </c>
      <c r="I829" s="34" t="str">
        <f>NOVEMBRO!O50</f>
        <v>RECEITAS</v>
      </c>
      <c r="J829">
        <f t="shared" si="85"/>
        <v>0</v>
      </c>
      <c r="K829" t="str">
        <f t="shared" si="86"/>
        <v xml:space="preserve"> </v>
      </c>
      <c r="L829" t="str">
        <f t="shared" si="87"/>
        <v/>
      </c>
      <c r="M829">
        <f t="shared" si="88"/>
        <v>14</v>
      </c>
      <c r="N829">
        <f t="shared" si="89"/>
        <v>11</v>
      </c>
      <c r="O829" t="str">
        <f t="shared" si="91"/>
        <v>NOV</v>
      </c>
      <c r="P829" t="str">
        <f t="shared" si="90"/>
        <v>PAGO</v>
      </c>
    </row>
    <row r="830" spans="3:16" x14ac:dyDescent="0.25">
      <c r="C830" s="35">
        <f>NOVEMBRO!C51</f>
        <v>0</v>
      </c>
      <c r="D830" s="35" t="str">
        <f>NOVEMBRO!D51</f>
        <v>RECEITAS COM SERVIÇOS</v>
      </c>
      <c r="E830" s="35" t="str">
        <f>NOVEMBRO!E51</f>
        <v>-</v>
      </c>
      <c r="F830" s="67">
        <f>NOVEMBRO!G51</f>
        <v>0</v>
      </c>
      <c r="G830" s="68">
        <f>NOVEMBRO!H51</f>
        <v>0</v>
      </c>
      <c r="H830" s="37">
        <f>NOVEMBRO!I51</f>
        <v>46341</v>
      </c>
      <c r="I830" s="34" t="str">
        <f>NOVEMBRO!O51</f>
        <v>RECEITAS</v>
      </c>
      <c r="J830">
        <f t="shared" si="85"/>
        <v>0</v>
      </c>
      <c r="K830" t="str">
        <f t="shared" si="86"/>
        <v xml:space="preserve"> </v>
      </c>
      <c r="L830" t="str">
        <f t="shared" si="87"/>
        <v/>
      </c>
      <c r="M830">
        <f t="shared" si="88"/>
        <v>15</v>
      </c>
      <c r="N830">
        <f t="shared" si="89"/>
        <v>11</v>
      </c>
      <c r="O830" t="str">
        <f t="shared" si="91"/>
        <v>NOV</v>
      </c>
      <c r="P830" t="str">
        <f t="shared" si="90"/>
        <v>PAGO</v>
      </c>
    </row>
    <row r="831" spans="3:16" x14ac:dyDescent="0.25">
      <c r="C831" s="35">
        <f>NOVEMBRO!C52</f>
        <v>0</v>
      </c>
      <c r="D831" s="35" t="str">
        <f>NOVEMBRO!D52</f>
        <v>RECEITAS COM SERVIÇOS</v>
      </c>
      <c r="E831" s="35" t="str">
        <f>NOVEMBRO!E52</f>
        <v>-</v>
      </c>
      <c r="F831" s="67">
        <f>NOVEMBRO!G52</f>
        <v>0</v>
      </c>
      <c r="G831" s="68">
        <f>NOVEMBRO!H52</f>
        <v>0</v>
      </c>
      <c r="H831" s="37">
        <f>NOVEMBRO!I52</f>
        <v>46342</v>
      </c>
      <c r="I831" s="34" t="str">
        <f>NOVEMBRO!O52</f>
        <v>RECEITAS</v>
      </c>
      <c r="J831">
        <f t="shared" si="85"/>
        <v>0</v>
      </c>
      <c r="K831" t="str">
        <f t="shared" si="86"/>
        <v xml:space="preserve"> </v>
      </c>
      <c r="L831" t="str">
        <f t="shared" si="87"/>
        <v/>
      </c>
      <c r="M831">
        <f t="shared" si="88"/>
        <v>16</v>
      </c>
      <c r="N831">
        <f t="shared" si="89"/>
        <v>11</v>
      </c>
      <c r="O831" t="str">
        <f t="shared" si="91"/>
        <v>NOV</v>
      </c>
      <c r="P831" t="str">
        <f t="shared" si="90"/>
        <v>PAGO</v>
      </c>
    </row>
    <row r="832" spans="3:16" x14ac:dyDescent="0.25">
      <c r="C832" s="35">
        <f>NOVEMBRO!C53</f>
        <v>0</v>
      </c>
      <c r="D832" s="35" t="str">
        <f>NOVEMBRO!D53</f>
        <v>RECEITAS COM SERVIÇOS</v>
      </c>
      <c r="E832" s="35" t="str">
        <f>NOVEMBRO!E53</f>
        <v>-</v>
      </c>
      <c r="F832" s="67">
        <f>NOVEMBRO!G53</f>
        <v>0</v>
      </c>
      <c r="G832" s="68">
        <f>NOVEMBRO!H53</f>
        <v>0</v>
      </c>
      <c r="H832" s="37">
        <f>NOVEMBRO!I53</f>
        <v>46343</v>
      </c>
      <c r="I832" s="34" t="str">
        <f>NOVEMBRO!O53</f>
        <v>RECEITAS</v>
      </c>
      <c r="J832">
        <f t="shared" si="85"/>
        <v>0</v>
      </c>
      <c r="K832" t="str">
        <f t="shared" si="86"/>
        <v xml:space="preserve"> </v>
      </c>
      <c r="L832" t="str">
        <f t="shared" si="87"/>
        <v/>
      </c>
      <c r="M832">
        <f t="shared" si="88"/>
        <v>17</v>
      </c>
      <c r="N832">
        <f t="shared" si="89"/>
        <v>11</v>
      </c>
      <c r="O832" t="str">
        <f t="shared" si="91"/>
        <v>NOV</v>
      </c>
      <c r="P832" t="str">
        <f t="shared" si="90"/>
        <v>PAGO</v>
      </c>
    </row>
    <row r="833" spans="3:16" x14ac:dyDescent="0.25">
      <c r="C833" s="35">
        <f>NOVEMBRO!C54</f>
        <v>0</v>
      </c>
      <c r="D833" s="35" t="str">
        <f>NOVEMBRO!D54</f>
        <v>RECEITAS COM SERVIÇOS</v>
      </c>
      <c r="E833" s="35" t="str">
        <f>NOVEMBRO!E54</f>
        <v>-</v>
      </c>
      <c r="F833" s="67">
        <f>NOVEMBRO!G54</f>
        <v>0</v>
      </c>
      <c r="G833" s="68">
        <f>NOVEMBRO!H54</f>
        <v>0</v>
      </c>
      <c r="H833" s="37">
        <f>NOVEMBRO!I54</f>
        <v>46344</v>
      </c>
      <c r="I833" s="34" t="str">
        <f>NOVEMBRO!O54</f>
        <v>RECEITAS</v>
      </c>
      <c r="J833">
        <f t="shared" si="85"/>
        <v>0</v>
      </c>
      <c r="K833" t="str">
        <f t="shared" si="86"/>
        <v xml:space="preserve"> </v>
      </c>
      <c r="L833" t="str">
        <f t="shared" si="87"/>
        <v/>
      </c>
      <c r="M833">
        <f t="shared" si="88"/>
        <v>18</v>
      </c>
      <c r="N833">
        <f t="shared" si="89"/>
        <v>11</v>
      </c>
      <c r="O833" t="str">
        <f t="shared" si="91"/>
        <v>NOV</v>
      </c>
      <c r="P833" t="str">
        <f t="shared" si="90"/>
        <v>PAGO</v>
      </c>
    </row>
    <row r="834" spans="3:16" x14ac:dyDescent="0.25">
      <c r="C834" s="35">
        <f>NOVEMBRO!C55</f>
        <v>0</v>
      </c>
      <c r="D834" s="35" t="str">
        <f>NOVEMBRO!D55</f>
        <v>RECEITAS COM SERVIÇOS</v>
      </c>
      <c r="E834" s="35" t="str">
        <f>NOVEMBRO!E55</f>
        <v>-</v>
      </c>
      <c r="F834" s="67">
        <f>NOVEMBRO!G55</f>
        <v>0</v>
      </c>
      <c r="G834" s="68">
        <f>NOVEMBRO!H55</f>
        <v>0</v>
      </c>
      <c r="H834" s="37">
        <f>NOVEMBRO!I55</f>
        <v>46345</v>
      </c>
      <c r="I834" s="34" t="str">
        <f>NOVEMBRO!O55</f>
        <v>RECEITAS</v>
      </c>
      <c r="J834">
        <f t="shared" si="85"/>
        <v>0</v>
      </c>
      <c r="K834" t="str">
        <f t="shared" si="86"/>
        <v xml:space="preserve"> </v>
      </c>
      <c r="L834" t="str">
        <f t="shared" si="87"/>
        <v/>
      </c>
      <c r="M834">
        <f t="shared" si="88"/>
        <v>19</v>
      </c>
      <c r="N834">
        <f t="shared" si="89"/>
        <v>11</v>
      </c>
      <c r="O834" t="str">
        <f t="shared" si="91"/>
        <v>NOV</v>
      </c>
      <c r="P834" t="str">
        <f t="shared" si="90"/>
        <v>PAGO</v>
      </c>
    </row>
    <row r="835" spans="3:16" x14ac:dyDescent="0.25">
      <c r="C835" s="35">
        <f>NOVEMBRO!C56</f>
        <v>0</v>
      </c>
      <c r="D835" s="35" t="str">
        <f>NOVEMBRO!D56</f>
        <v>RECEITAS COM SERVIÇOS</v>
      </c>
      <c r="E835" s="35" t="str">
        <f>NOVEMBRO!E56</f>
        <v>-</v>
      </c>
      <c r="F835" s="67">
        <f>NOVEMBRO!G56</f>
        <v>0</v>
      </c>
      <c r="G835" s="68">
        <f>NOVEMBRO!H56</f>
        <v>0</v>
      </c>
      <c r="H835" s="37">
        <f>NOVEMBRO!I56</f>
        <v>46346</v>
      </c>
      <c r="I835" s="34" t="str">
        <f>NOVEMBRO!O56</f>
        <v>RECEITAS</v>
      </c>
      <c r="J835">
        <f t="shared" si="85"/>
        <v>0</v>
      </c>
      <c r="K835" t="str">
        <f t="shared" si="86"/>
        <v xml:space="preserve"> </v>
      </c>
      <c r="L835" t="str">
        <f t="shared" si="87"/>
        <v/>
      </c>
      <c r="M835">
        <f t="shared" si="88"/>
        <v>20</v>
      </c>
      <c r="N835">
        <f t="shared" si="89"/>
        <v>11</v>
      </c>
      <c r="O835" t="str">
        <f t="shared" si="91"/>
        <v>NOV</v>
      </c>
      <c r="P835" t="str">
        <f t="shared" si="90"/>
        <v>PAGO</v>
      </c>
    </row>
    <row r="836" spans="3:16" x14ac:dyDescent="0.25">
      <c r="C836" s="35">
        <f>NOVEMBRO!C57</f>
        <v>0</v>
      </c>
      <c r="D836" s="35" t="str">
        <f>NOVEMBRO!D57</f>
        <v>RECEITAS COM SERVIÇOS</v>
      </c>
      <c r="E836" s="35" t="str">
        <f>NOVEMBRO!E57</f>
        <v>-</v>
      </c>
      <c r="F836" s="67">
        <f>NOVEMBRO!G57</f>
        <v>0</v>
      </c>
      <c r="G836" s="68">
        <f>NOVEMBRO!H57</f>
        <v>0</v>
      </c>
      <c r="H836" s="37">
        <f>NOVEMBRO!I57</f>
        <v>46347</v>
      </c>
      <c r="I836" s="34" t="str">
        <f>NOVEMBRO!O57</f>
        <v>RECEITAS</v>
      </c>
      <c r="J836">
        <f t="shared" si="85"/>
        <v>0</v>
      </c>
      <c r="K836" t="str">
        <f t="shared" si="86"/>
        <v xml:space="preserve"> </v>
      </c>
      <c r="L836" t="str">
        <f t="shared" si="87"/>
        <v/>
      </c>
      <c r="M836">
        <f t="shared" si="88"/>
        <v>21</v>
      </c>
      <c r="N836">
        <f t="shared" si="89"/>
        <v>11</v>
      </c>
      <c r="O836" t="str">
        <f t="shared" si="91"/>
        <v>NOV</v>
      </c>
      <c r="P836" t="str">
        <f t="shared" si="90"/>
        <v>PAGO</v>
      </c>
    </row>
    <row r="837" spans="3:16" x14ac:dyDescent="0.25">
      <c r="C837" s="35">
        <f>NOVEMBRO!C58</f>
        <v>0</v>
      </c>
      <c r="D837" s="35" t="str">
        <f>NOVEMBRO!D58</f>
        <v>RECEITAS COM SERVIÇOS</v>
      </c>
      <c r="E837" s="35" t="str">
        <f>NOVEMBRO!E58</f>
        <v>-</v>
      </c>
      <c r="F837" s="67">
        <f>NOVEMBRO!G58</f>
        <v>0</v>
      </c>
      <c r="G837" s="68">
        <f>NOVEMBRO!H58</f>
        <v>0</v>
      </c>
      <c r="H837" s="37">
        <f>NOVEMBRO!I58</f>
        <v>46348</v>
      </c>
      <c r="I837" s="34" t="str">
        <f>NOVEMBRO!O58</f>
        <v>RECEITAS</v>
      </c>
      <c r="J837">
        <f t="shared" si="85"/>
        <v>0</v>
      </c>
      <c r="K837" t="str">
        <f t="shared" si="86"/>
        <v xml:space="preserve"> </v>
      </c>
      <c r="L837" t="str">
        <f t="shared" si="87"/>
        <v/>
      </c>
      <c r="M837">
        <f t="shared" si="88"/>
        <v>22</v>
      </c>
      <c r="N837">
        <f t="shared" si="89"/>
        <v>11</v>
      </c>
      <c r="O837" t="str">
        <f t="shared" si="91"/>
        <v>NOV</v>
      </c>
      <c r="P837" t="str">
        <f t="shared" si="90"/>
        <v>PAGO</v>
      </c>
    </row>
    <row r="838" spans="3:16" x14ac:dyDescent="0.25">
      <c r="C838" s="35">
        <f>NOVEMBRO!C59</f>
        <v>0</v>
      </c>
      <c r="D838" s="35" t="str">
        <f>NOVEMBRO!D59</f>
        <v>RECEITAS COM SERVIÇOS</v>
      </c>
      <c r="E838" s="35" t="str">
        <f>NOVEMBRO!E59</f>
        <v>-</v>
      </c>
      <c r="F838" s="67">
        <f>NOVEMBRO!G59</f>
        <v>0</v>
      </c>
      <c r="G838" s="68">
        <f>NOVEMBRO!H59</f>
        <v>0</v>
      </c>
      <c r="H838" s="37">
        <f>NOVEMBRO!I59</f>
        <v>46349</v>
      </c>
      <c r="I838" s="34" t="str">
        <f>NOVEMBRO!O59</f>
        <v>RECEITAS</v>
      </c>
      <c r="J838">
        <f t="shared" si="85"/>
        <v>0</v>
      </c>
      <c r="K838" t="str">
        <f t="shared" si="86"/>
        <v xml:space="preserve"> </v>
      </c>
      <c r="L838" t="str">
        <f t="shared" si="87"/>
        <v/>
      </c>
      <c r="M838">
        <f t="shared" si="88"/>
        <v>23</v>
      </c>
      <c r="N838">
        <f t="shared" si="89"/>
        <v>11</v>
      </c>
      <c r="O838" t="str">
        <f t="shared" si="91"/>
        <v>NOV</v>
      </c>
      <c r="P838" t="str">
        <f t="shared" si="90"/>
        <v>PAGO</v>
      </c>
    </row>
    <row r="839" spans="3:16" x14ac:dyDescent="0.25">
      <c r="C839" s="35">
        <f>NOVEMBRO!C60</f>
        <v>0</v>
      </c>
      <c r="D839" s="35" t="str">
        <f>NOVEMBRO!D60</f>
        <v>RECEITAS COM SERVIÇOS</v>
      </c>
      <c r="E839" s="35" t="str">
        <f>NOVEMBRO!E60</f>
        <v>-</v>
      </c>
      <c r="F839" s="67">
        <f>NOVEMBRO!G60</f>
        <v>0</v>
      </c>
      <c r="G839" s="68">
        <f>NOVEMBRO!H60</f>
        <v>0</v>
      </c>
      <c r="H839" s="37">
        <f>NOVEMBRO!I60</f>
        <v>46350</v>
      </c>
      <c r="I839" s="34" t="str">
        <f>NOVEMBRO!O60</f>
        <v>RECEITAS</v>
      </c>
      <c r="J839">
        <f t="shared" ref="J839:J902" si="92">DAY(C839)</f>
        <v>0</v>
      </c>
      <c r="K839" t="str">
        <f t="shared" ref="K839:K902" si="93">IF(C839 = 0, " ",MONTH(C839))</f>
        <v xml:space="preserve"> </v>
      </c>
      <c r="L839" t="str">
        <f t="shared" ref="L839:L902" si="94">IFERROR(VLOOKUP(K839,$R$6:$S$17,2),"")</f>
        <v/>
      </c>
      <c r="M839">
        <f t="shared" ref="M839:M902" si="95">DAY(H839)</f>
        <v>24</v>
      </c>
      <c r="N839">
        <f t="shared" ref="N839:N902" si="96">IF(H839 = 0, " ",MONTH(H839))</f>
        <v>11</v>
      </c>
      <c r="O839" t="str">
        <f t="shared" si="91"/>
        <v>NOV</v>
      </c>
      <c r="P839" t="str">
        <f t="shared" ref="P839:P902" si="97">IF(H839=0,"NAO PAGO","PAGO")</f>
        <v>PAGO</v>
      </c>
    </row>
    <row r="840" spans="3:16" x14ac:dyDescent="0.25">
      <c r="C840" s="35">
        <f>NOVEMBRO!C61</f>
        <v>0</v>
      </c>
      <c r="D840" s="35" t="str">
        <f>NOVEMBRO!D61</f>
        <v>RECEITAS COM SERVIÇOS</v>
      </c>
      <c r="E840" s="35" t="str">
        <f>NOVEMBRO!E61</f>
        <v>-</v>
      </c>
      <c r="F840" s="67">
        <f>NOVEMBRO!G61</f>
        <v>0</v>
      </c>
      <c r="G840" s="68">
        <f>NOVEMBRO!H61</f>
        <v>0</v>
      </c>
      <c r="H840" s="37">
        <f>NOVEMBRO!I61</f>
        <v>46351</v>
      </c>
      <c r="I840" s="34" t="str">
        <f>NOVEMBRO!O61</f>
        <v>RECEITAS</v>
      </c>
      <c r="J840">
        <f t="shared" si="92"/>
        <v>0</v>
      </c>
      <c r="K840" t="str">
        <f t="shared" si="93"/>
        <v xml:space="preserve"> </v>
      </c>
      <c r="L840" t="str">
        <f t="shared" si="94"/>
        <v/>
      </c>
      <c r="M840">
        <f t="shared" si="95"/>
        <v>25</v>
      </c>
      <c r="N840">
        <f t="shared" si="96"/>
        <v>11</v>
      </c>
      <c r="O840" t="str">
        <f t="shared" si="91"/>
        <v>NOV</v>
      </c>
      <c r="P840" t="str">
        <f t="shared" si="97"/>
        <v>PAGO</v>
      </c>
    </row>
    <row r="841" spans="3:16" x14ac:dyDescent="0.25">
      <c r="C841" s="35">
        <f>NOVEMBRO!C62</f>
        <v>0</v>
      </c>
      <c r="D841" s="35" t="str">
        <f>NOVEMBRO!D62</f>
        <v>RECEITAS COM SERVIÇOS</v>
      </c>
      <c r="E841" s="35" t="str">
        <f>NOVEMBRO!E62</f>
        <v>-</v>
      </c>
      <c r="F841" s="67">
        <f>NOVEMBRO!G62</f>
        <v>0</v>
      </c>
      <c r="G841" s="68">
        <f>NOVEMBRO!H62</f>
        <v>0</v>
      </c>
      <c r="H841" s="37">
        <f>NOVEMBRO!I62</f>
        <v>46352</v>
      </c>
      <c r="I841" s="34" t="str">
        <f>NOVEMBRO!O62</f>
        <v>RECEITAS</v>
      </c>
      <c r="J841">
        <f t="shared" si="92"/>
        <v>0</v>
      </c>
      <c r="K841" t="str">
        <f t="shared" si="93"/>
        <v xml:space="preserve"> </v>
      </c>
      <c r="L841" t="str">
        <f t="shared" si="94"/>
        <v/>
      </c>
      <c r="M841">
        <f t="shared" si="95"/>
        <v>26</v>
      </c>
      <c r="N841">
        <f t="shared" si="96"/>
        <v>11</v>
      </c>
      <c r="O841" t="str">
        <f t="shared" si="91"/>
        <v>NOV</v>
      </c>
      <c r="P841" t="str">
        <f t="shared" si="97"/>
        <v>PAGO</v>
      </c>
    </row>
    <row r="842" spans="3:16" x14ac:dyDescent="0.25">
      <c r="C842" s="35">
        <f>NOVEMBRO!C63</f>
        <v>0</v>
      </c>
      <c r="D842" s="35" t="str">
        <f>NOVEMBRO!D63</f>
        <v>RECEITAS COM SERVIÇOS</v>
      </c>
      <c r="E842" s="35" t="str">
        <f>NOVEMBRO!E63</f>
        <v>-</v>
      </c>
      <c r="F842" s="67">
        <f>NOVEMBRO!G63</f>
        <v>0</v>
      </c>
      <c r="G842" s="68">
        <f>NOVEMBRO!H63</f>
        <v>0</v>
      </c>
      <c r="H842" s="37">
        <f>NOVEMBRO!I63</f>
        <v>46353</v>
      </c>
      <c r="I842" s="34" t="str">
        <f>NOVEMBRO!O63</f>
        <v>RECEITAS</v>
      </c>
      <c r="J842">
        <f t="shared" si="92"/>
        <v>0</v>
      </c>
      <c r="K842" t="str">
        <f t="shared" si="93"/>
        <v xml:space="preserve"> </v>
      </c>
      <c r="L842" t="str">
        <f t="shared" si="94"/>
        <v/>
      </c>
      <c r="M842">
        <f t="shared" si="95"/>
        <v>27</v>
      </c>
      <c r="N842">
        <f t="shared" si="96"/>
        <v>11</v>
      </c>
      <c r="O842" t="str">
        <f t="shared" si="91"/>
        <v>NOV</v>
      </c>
      <c r="P842" t="str">
        <f t="shared" si="97"/>
        <v>PAGO</v>
      </c>
    </row>
    <row r="843" spans="3:16" x14ac:dyDescent="0.25">
      <c r="C843" s="35">
        <f>NOVEMBRO!C64</f>
        <v>0</v>
      </c>
      <c r="D843" s="35" t="str">
        <f>NOVEMBRO!D64</f>
        <v>RECEITAS COM SERVIÇOS</v>
      </c>
      <c r="E843" s="35" t="str">
        <f>NOVEMBRO!E64</f>
        <v>-</v>
      </c>
      <c r="F843" s="67">
        <f>NOVEMBRO!G64</f>
        <v>0</v>
      </c>
      <c r="G843" s="68">
        <f>NOVEMBRO!H64</f>
        <v>0</v>
      </c>
      <c r="H843" s="37">
        <f>NOVEMBRO!I64</f>
        <v>46354</v>
      </c>
      <c r="I843" s="34" t="str">
        <f>NOVEMBRO!O64</f>
        <v>RECEITAS</v>
      </c>
      <c r="J843">
        <f t="shared" si="92"/>
        <v>0</v>
      </c>
      <c r="K843" t="str">
        <f t="shared" si="93"/>
        <v xml:space="preserve"> </v>
      </c>
      <c r="L843" t="str">
        <f t="shared" si="94"/>
        <v/>
      </c>
      <c r="M843">
        <f t="shared" si="95"/>
        <v>28</v>
      </c>
      <c r="N843">
        <f t="shared" si="96"/>
        <v>11</v>
      </c>
      <c r="O843" t="str">
        <f t="shared" si="91"/>
        <v>NOV</v>
      </c>
      <c r="P843" t="str">
        <f t="shared" si="97"/>
        <v>PAGO</v>
      </c>
    </row>
    <row r="844" spans="3:16" x14ac:dyDescent="0.25">
      <c r="C844" s="35">
        <f>NOVEMBRO!C65</f>
        <v>0</v>
      </c>
      <c r="D844" s="35" t="str">
        <f>NOVEMBRO!D65</f>
        <v>RECEITAS COM SERVIÇOS</v>
      </c>
      <c r="E844" s="35" t="str">
        <f>NOVEMBRO!E65</f>
        <v>-</v>
      </c>
      <c r="F844" s="67">
        <f>NOVEMBRO!G65</f>
        <v>0</v>
      </c>
      <c r="G844" s="68">
        <f>NOVEMBRO!H65</f>
        <v>0</v>
      </c>
      <c r="H844" s="37">
        <f>NOVEMBRO!I65</f>
        <v>46355</v>
      </c>
      <c r="I844" s="34" t="str">
        <f>NOVEMBRO!O65</f>
        <v>RECEITAS</v>
      </c>
      <c r="J844">
        <f t="shared" si="92"/>
        <v>0</v>
      </c>
      <c r="K844" t="str">
        <f t="shared" si="93"/>
        <v xml:space="preserve"> </v>
      </c>
      <c r="L844" t="str">
        <f t="shared" si="94"/>
        <v/>
      </c>
      <c r="M844">
        <f t="shared" si="95"/>
        <v>29</v>
      </c>
      <c r="N844">
        <f t="shared" si="96"/>
        <v>11</v>
      </c>
      <c r="O844" t="str">
        <f t="shared" si="91"/>
        <v>NOV</v>
      </c>
      <c r="P844" t="str">
        <f t="shared" si="97"/>
        <v>PAGO</v>
      </c>
    </row>
    <row r="845" spans="3:16" x14ac:dyDescent="0.25">
      <c r="C845" s="35">
        <f>NOVEMBRO!C66</f>
        <v>0</v>
      </c>
      <c r="D845" s="35" t="str">
        <f>NOVEMBRO!D66</f>
        <v>RECEITAS COM SERVIÇOS</v>
      </c>
      <c r="E845" s="35" t="str">
        <f>NOVEMBRO!E66</f>
        <v>-</v>
      </c>
      <c r="F845" s="67">
        <f>NOVEMBRO!G66</f>
        <v>0</v>
      </c>
      <c r="G845" s="68">
        <f>NOVEMBRO!H66</f>
        <v>0</v>
      </c>
      <c r="H845" s="37">
        <f>NOVEMBRO!I66</f>
        <v>46356</v>
      </c>
      <c r="I845" s="34" t="str">
        <f>NOVEMBRO!O66</f>
        <v>RECEITAS</v>
      </c>
      <c r="J845">
        <f t="shared" si="92"/>
        <v>0</v>
      </c>
      <c r="K845" t="str">
        <f t="shared" si="93"/>
        <v xml:space="preserve"> </v>
      </c>
      <c r="L845" t="str">
        <f t="shared" si="94"/>
        <v/>
      </c>
      <c r="M845">
        <f t="shared" si="95"/>
        <v>30</v>
      </c>
      <c r="N845">
        <f t="shared" si="96"/>
        <v>11</v>
      </c>
      <c r="O845" t="str">
        <f t="shared" si="91"/>
        <v>NOV</v>
      </c>
      <c r="P845" t="str">
        <f t="shared" si="97"/>
        <v>PAGO</v>
      </c>
    </row>
    <row r="846" spans="3:16" x14ac:dyDescent="0.25">
      <c r="C846" s="35">
        <f>NOVEMBRO!C67</f>
        <v>0</v>
      </c>
      <c r="D846" s="35" t="str">
        <f>NOVEMBRO!D67</f>
        <v>RECEITAS COM SERVIÇOS</v>
      </c>
      <c r="E846" s="35" t="str">
        <f>NOVEMBRO!E67</f>
        <v>-</v>
      </c>
      <c r="F846" s="67">
        <f>NOVEMBRO!G67</f>
        <v>0</v>
      </c>
      <c r="G846" s="68">
        <f>NOVEMBRO!H67</f>
        <v>0</v>
      </c>
      <c r="H846" s="37">
        <f>NOVEMBRO!I67</f>
        <v>46357</v>
      </c>
      <c r="I846" s="34" t="str">
        <f>NOVEMBRO!O67</f>
        <v>RECEITAS</v>
      </c>
      <c r="J846">
        <f t="shared" si="92"/>
        <v>0</v>
      </c>
      <c r="K846" t="str">
        <f t="shared" si="93"/>
        <v xml:space="preserve"> </v>
      </c>
      <c r="L846" t="str">
        <f t="shared" si="94"/>
        <v/>
      </c>
      <c r="M846">
        <f t="shared" si="95"/>
        <v>1</v>
      </c>
      <c r="N846">
        <f t="shared" si="96"/>
        <v>12</v>
      </c>
      <c r="O846" t="str">
        <f t="shared" si="91"/>
        <v>DEC</v>
      </c>
      <c r="P846" t="str">
        <f t="shared" si="97"/>
        <v>PAGO</v>
      </c>
    </row>
    <row r="847" spans="3:16" x14ac:dyDescent="0.25">
      <c r="C847" s="35">
        <f>NOVEMBRO!C68</f>
        <v>0</v>
      </c>
      <c r="D847" s="35" t="str">
        <f>NOVEMBRO!D68</f>
        <v>RECEITAS COM SERVIÇOS</v>
      </c>
      <c r="E847" s="35" t="str">
        <f>NOVEMBRO!E68</f>
        <v>-</v>
      </c>
      <c r="F847" s="67">
        <f>NOVEMBRO!G68</f>
        <v>0</v>
      </c>
      <c r="G847" s="68">
        <f>NOVEMBRO!H68</f>
        <v>0</v>
      </c>
      <c r="H847" s="37">
        <f>NOVEMBRO!I68</f>
        <v>46358</v>
      </c>
      <c r="I847" s="34" t="str">
        <f>NOVEMBRO!O68</f>
        <v>RECEITAS</v>
      </c>
      <c r="J847">
        <f t="shared" si="92"/>
        <v>0</v>
      </c>
      <c r="K847" t="str">
        <f t="shared" si="93"/>
        <v xml:space="preserve"> </v>
      </c>
      <c r="L847" t="str">
        <f t="shared" si="94"/>
        <v/>
      </c>
      <c r="M847">
        <f t="shared" si="95"/>
        <v>2</v>
      </c>
      <c r="N847">
        <f t="shared" si="96"/>
        <v>12</v>
      </c>
      <c r="O847" t="str">
        <f t="shared" si="91"/>
        <v>DEC</v>
      </c>
      <c r="P847" t="str">
        <f t="shared" si="97"/>
        <v>PAGO</v>
      </c>
    </row>
    <row r="848" spans="3:16" x14ac:dyDescent="0.25">
      <c r="C848" s="35">
        <f>NOVEMBRO!C69</f>
        <v>0</v>
      </c>
      <c r="D848" s="35" t="str">
        <f>NOVEMBRO!D69</f>
        <v>RECEITAS COM SERVIÇOS</v>
      </c>
      <c r="E848" s="35" t="str">
        <f>NOVEMBRO!E69</f>
        <v>-</v>
      </c>
      <c r="F848" s="67">
        <f>NOVEMBRO!G69</f>
        <v>0</v>
      </c>
      <c r="G848" s="68">
        <f>NOVEMBRO!H69</f>
        <v>0</v>
      </c>
      <c r="H848" s="37">
        <f>NOVEMBRO!I69</f>
        <v>46359</v>
      </c>
      <c r="I848" s="34" t="str">
        <f>NOVEMBRO!O69</f>
        <v>RECEITAS</v>
      </c>
      <c r="J848">
        <f t="shared" si="92"/>
        <v>0</v>
      </c>
      <c r="K848" t="str">
        <f t="shared" si="93"/>
        <v xml:space="preserve"> </v>
      </c>
      <c r="L848" t="str">
        <f t="shared" si="94"/>
        <v/>
      </c>
      <c r="M848">
        <f t="shared" si="95"/>
        <v>3</v>
      </c>
      <c r="N848">
        <f t="shared" si="96"/>
        <v>12</v>
      </c>
      <c r="O848" t="str">
        <f t="shared" si="91"/>
        <v>DEC</v>
      </c>
      <c r="P848" t="str">
        <f t="shared" si="97"/>
        <v>PAGO</v>
      </c>
    </row>
    <row r="849" spans="2:16" x14ac:dyDescent="0.25">
      <c r="C849" s="35">
        <f>NOVEMBRO!C70</f>
        <v>0</v>
      </c>
      <c r="D849" s="35" t="str">
        <f>NOVEMBRO!D70</f>
        <v>RECEITAS COM SERVIÇOS</v>
      </c>
      <c r="E849" s="35" t="str">
        <f>NOVEMBRO!E70</f>
        <v>-</v>
      </c>
      <c r="F849" s="67">
        <f>NOVEMBRO!G70</f>
        <v>0</v>
      </c>
      <c r="G849" s="68">
        <f>NOVEMBRO!H70</f>
        <v>0</v>
      </c>
      <c r="H849" s="37">
        <f>NOVEMBRO!I70</f>
        <v>46360</v>
      </c>
      <c r="I849" s="34" t="str">
        <f>NOVEMBRO!O70</f>
        <v>RECEITAS</v>
      </c>
      <c r="J849">
        <f t="shared" si="92"/>
        <v>0</v>
      </c>
      <c r="K849" t="str">
        <f t="shared" si="93"/>
        <v xml:space="preserve"> </v>
      </c>
      <c r="L849" t="str">
        <f t="shared" si="94"/>
        <v/>
      </c>
      <c r="M849">
        <f t="shared" si="95"/>
        <v>4</v>
      </c>
      <c r="N849">
        <f t="shared" si="96"/>
        <v>12</v>
      </c>
      <c r="O849" t="str">
        <f t="shared" si="91"/>
        <v>DEC</v>
      </c>
      <c r="P849" t="str">
        <f t="shared" si="97"/>
        <v>PAGO</v>
      </c>
    </row>
    <row r="850" spans="2:16" x14ac:dyDescent="0.25">
      <c r="C850" s="35">
        <f>NOVEMBRO!C71</f>
        <v>0</v>
      </c>
      <c r="D850" s="35" t="str">
        <f>NOVEMBRO!D71</f>
        <v>RECEITAS COM SERVIÇOS</v>
      </c>
      <c r="E850" s="35" t="str">
        <f>NOVEMBRO!E71</f>
        <v>-</v>
      </c>
      <c r="F850" s="67">
        <f>NOVEMBRO!G71</f>
        <v>0</v>
      </c>
      <c r="G850" s="68">
        <f>NOVEMBRO!H71</f>
        <v>0</v>
      </c>
      <c r="H850" s="37">
        <f>NOVEMBRO!I71</f>
        <v>46361</v>
      </c>
      <c r="I850" s="34" t="str">
        <f>NOVEMBRO!O71</f>
        <v>RECEITAS</v>
      </c>
      <c r="J850">
        <f t="shared" si="92"/>
        <v>0</v>
      </c>
      <c r="K850" t="str">
        <f t="shared" si="93"/>
        <v xml:space="preserve"> </v>
      </c>
      <c r="L850" t="str">
        <f t="shared" si="94"/>
        <v/>
      </c>
      <c r="M850">
        <f t="shared" si="95"/>
        <v>5</v>
      </c>
      <c r="N850">
        <f t="shared" si="96"/>
        <v>12</v>
      </c>
      <c r="O850" t="str">
        <f t="shared" si="91"/>
        <v>DEC</v>
      </c>
      <c r="P850" t="str">
        <f t="shared" si="97"/>
        <v>PAGO</v>
      </c>
    </row>
    <row r="851" spans="2:16" x14ac:dyDescent="0.25">
      <c r="C851" s="35">
        <f>NOVEMBRO!C72</f>
        <v>0</v>
      </c>
      <c r="D851" s="35" t="str">
        <f>NOVEMBRO!D72</f>
        <v>RECEITAS COM SERVIÇOS</v>
      </c>
      <c r="E851" s="35" t="str">
        <f>NOVEMBRO!E72</f>
        <v>-</v>
      </c>
      <c r="F851" s="67">
        <f>NOVEMBRO!G72</f>
        <v>0</v>
      </c>
      <c r="G851" s="68">
        <f>NOVEMBRO!H72</f>
        <v>0</v>
      </c>
      <c r="H851" s="37">
        <f>NOVEMBRO!I72</f>
        <v>46362</v>
      </c>
      <c r="I851" s="34" t="str">
        <f>NOVEMBRO!O72</f>
        <v>RECEITAS</v>
      </c>
      <c r="J851">
        <f t="shared" si="92"/>
        <v>0</v>
      </c>
      <c r="K851" t="str">
        <f t="shared" si="93"/>
        <v xml:space="preserve"> </v>
      </c>
      <c r="L851" t="str">
        <f t="shared" si="94"/>
        <v/>
      </c>
      <c r="M851">
        <f t="shared" si="95"/>
        <v>6</v>
      </c>
      <c r="N851">
        <f t="shared" si="96"/>
        <v>12</v>
      </c>
      <c r="O851" t="str">
        <f t="shared" si="91"/>
        <v>DEC</v>
      </c>
      <c r="P851" t="str">
        <f t="shared" si="97"/>
        <v>PAGO</v>
      </c>
    </row>
    <row r="852" spans="2:16" x14ac:dyDescent="0.25">
      <c r="C852" s="35">
        <f>NOVEMBRO!C73</f>
        <v>0</v>
      </c>
      <c r="D852" s="35" t="str">
        <f>NOVEMBRO!D73</f>
        <v>RECEITAS COM SERVIÇOS</v>
      </c>
      <c r="E852" s="35" t="str">
        <f>NOVEMBRO!E73</f>
        <v>-</v>
      </c>
      <c r="F852" s="67">
        <f>NOVEMBRO!G73</f>
        <v>0</v>
      </c>
      <c r="G852" s="68">
        <f>NOVEMBRO!H73</f>
        <v>0</v>
      </c>
      <c r="H852" s="37">
        <f>NOVEMBRO!I73</f>
        <v>46363</v>
      </c>
      <c r="I852" s="34" t="str">
        <f>NOVEMBRO!O73</f>
        <v>RECEITAS</v>
      </c>
      <c r="J852">
        <f t="shared" si="92"/>
        <v>0</v>
      </c>
      <c r="K852" t="str">
        <f t="shared" si="93"/>
        <v xml:space="preserve"> </v>
      </c>
      <c r="L852" t="str">
        <f t="shared" si="94"/>
        <v/>
      </c>
      <c r="M852">
        <f t="shared" si="95"/>
        <v>7</v>
      </c>
      <c r="N852">
        <f t="shared" si="96"/>
        <v>12</v>
      </c>
      <c r="O852" t="str">
        <f t="shared" si="91"/>
        <v>DEC</v>
      </c>
      <c r="P852" t="str">
        <f t="shared" si="97"/>
        <v>PAGO</v>
      </c>
    </row>
    <row r="853" spans="2:16" x14ac:dyDescent="0.25">
      <c r="C853" s="35">
        <f>NOVEMBRO!C74</f>
        <v>0</v>
      </c>
      <c r="D853" s="35" t="str">
        <f>NOVEMBRO!D74</f>
        <v>RECEITAS COM SERVIÇOS</v>
      </c>
      <c r="E853" s="35" t="str">
        <f>NOVEMBRO!E74</f>
        <v>-</v>
      </c>
      <c r="F853" s="67">
        <f>NOVEMBRO!G74</f>
        <v>0</v>
      </c>
      <c r="G853" s="68">
        <f>NOVEMBRO!H74</f>
        <v>0</v>
      </c>
      <c r="H853" s="37">
        <f>NOVEMBRO!I74</f>
        <v>46364</v>
      </c>
      <c r="I853" s="34" t="str">
        <f>NOVEMBRO!O74</f>
        <v>RECEITAS</v>
      </c>
      <c r="J853">
        <f t="shared" si="92"/>
        <v>0</v>
      </c>
      <c r="K853" t="str">
        <f t="shared" si="93"/>
        <v xml:space="preserve"> </v>
      </c>
      <c r="L853" t="str">
        <f t="shared" si="94"/>
        <v/>
      </c>
      <c r="M853">
        <f t="shared" si="95"/>
        <v>8</v>
      </c>
      <c r="N853">
        <f t="shared" si="96"/>
        <v>12</v>
      </c>
      <c r="O853" t="str">
        <f t="shared" si="91"/>
        <v>DEC</v>
      </c>
      <c r="P853" t="str">
        <f t="shared" si="97"/>
        <v>PAGO</v>
      </c>
    </row>
    <row r="854" spans="2:16" x14ac:dyDescent="0.25">
      <c r="C854" s="35">
        <f>NOVEMBRO!C75</f>
        <v>0</v>
      </c>
      <c r="D854" s="35" t="str">
        <f>NOVEMBRO!D75</f>
        <v>RECEITAS COM SERVIÇOS</v>
      </c>
      <c r="E854" s="35" t="str">
        <f>NOVEMBRO!E75</f>
        <v>-</v>
      </c>
      <c r="F854" s="67">
        <f>NOVEMBRO!G75</f>
        <v>0</v>
      </c>
      <c r="G854" s="68">
        <f>NOVEMBRO!H75</f>
        <v>0</v>
      </c>
      <c r="H854" s="37">
        <f>NOVEMBRO!I75</f>
        <v>46365</v>
      </c>
      <c r="I854" s="34" t="str">
        <f>NOVEMBRO!O75</f>
        <v>RECEITAS</v>
      </c>
      <c r="J854">
        <f t="shared" si="92"/>
        <v>0</v>
      </c>
      <c r="K854" t="str">
        <f t="shared" si="93"/>
        <v xml:space="preserve"> </v>
      </c>
      <c r="L854" t="str">
        <f t="shared" si="94"/>
        <v/>
      </c>
      <c r="M854">
        <f t="shared" si="95"/>
        <v>9</v>
      </c>
      <c r="N854">
        <f t="shared" si="96"/>
        <v>12</v>
      </c>
      <c r="O854" t="str">
        <f t="shared" si="91"/>
        <v>DEC</v>
      </c>
      <c r="P854" t="str">
        <f t="shared" si="97"/>
        <v>PAGO</v>
      </c>
    </row>
    <row r="855" spans="2:16" x14ac:dyDescent="0.25">
      <c r="C855" s="35">
        <f>NOVEMBRO!C76</f>
        <v>0</v>
      </c>
      <c r="D855" s="35" t="str">
        <f>NOVEMBRO!D76</f>
        <v>RECEITAS COM SERVIÇOS</v>
      </c>
      <c r="E855" s="35" t="str">
        <f>NOVEMBRO!E76</f>
        <v>-</v>
      </c>
      <c r="F855" s="67">
        <f>NOVEMBRO!G76</f>
        <v>0</v>
      </c>
      <c r="G855" s="68">
        <f>NOVEMBRO!H76</f>
        <v>0</v>
      </c>
      <c r="H855" s="37">
        <f>NOVEMBRO!I76</f>
        <v>46366</v>
      </c>
      <c r="I855" s="34" t="str">
        <f>NOVEMBRO!O76</f>
        <v>RECEITAS</v>
      </c>
      <c r="J855">
        <f t="shared" si="92"/>
        <v>0</v>
      </c>
      <c r="K855" t="str">
        <f t="shared" si="93"/>
        <v xml:space="preserve"> </v>
      </c>
      <c r="L855" t="str">
        <f t="shared" si="94"/>
        <v/>
      </c>
      <c r="M855">
        <f t="shared" si="95"/>
        <v>10</v>
      </c>
      <c r="N855">
        <f t="shared" si="96"/>
        <v>12</v>
      </c>
      <c r="O855" t="str">
        <f t="shared" ref="O855:O918" si="98">IFERROR(VLOOKUP(N855,$R$6:$S$17,2),"")</f>
        <v>DEC</v>
      </c>
      <c r="P855" t="str">
        <f t="shared" si="97"/>
        <v>PAGO</v>
      </c>
    </row>
    <row r="856" spans="2:16" x14ac:dyDescent="0.25">
      <c r="C856" s="35">
        <f>NOVEMBRO!C77</f>
        <v>0</v>
      </c>
      <c r="D856" s="35" t="str">
        <f>NOVEMBRO!D77</f>
        <v>RECEITAS COM SERVIÇOS</v>
      </c>
      <c r="E856" s="35" t="str">
        <f>NOVEMBRO!E77</f>
        <v>-</v>
      </c>
      <c r="F856" s="67">
        <f>NOVEMBRO!G77</f>
        <v>0</v>
      </c>
      <c r="G856" s="68">
        <f>NOVEMBRO!H77</f>
        <v>0</v>
      </c>
      <c r="H856" s="37">
        <f>NOVEMBRO!I77</f>
        <v>46367</v>
      </c>
      <c r="I856" s="34" t="str">
        <f>NOVEMBRO!O77</f>
        <v>RECEITAS</v>
      </c>
      <c r="J856">
        <f t="shared" si="92"/>
        <v>0</v>
      </c>
      <c r="K856" t="str">
        <f t="shared" si="93"/>
        <v xml:space="preserve"> </v>
      </c>
      <c r="L856" t="str">
        <f t="shared" si="94"/>
        <v/>
      </c>
      <c r="M856">
        <f t="shared" si="95"/>
        <v>11</v>
      </c>
      <c r="N856">
        <f t="shared" si="96"/>
        <v>12</v>
      </c>
      <c r="O856" t="str">
        <f t="shared" si="98"/>
        <v>DEC</v>
      </c>
      <c r="P856" t="str">
        <f t="shared" si="97"/>
        <v>PAGO</v>
      </c>
    </row>
    <row r="857" spans="2:16" x14ac:dyDescent="0.25">
      <c r="C857" s="35">
        <f>NOVEMBRO!C78</f>
        <v>0</v>
      </c>
      <c r="D857" s="35" t="str">
        <f>NOVEMBRO!D78</f>
        <v>RECEITAS COM SERVIÇOS</v>
      </c>
      <c r="E857" s="35" t="str">
        <f>NOVEMBRO!E78</f>
        <v>-</v>
      </c>
      <c r="F857" s="67">
        <f>NOVEMBRO!G78</f>
        <v>0</v>
      </c>
      <c r="G857" s="68">
        <f>NOVEMBRO!H78</f>
        <v>0</v>
      </c>
      <c r="H857" s="37">
        <f>NOVEMBRO!I78</f>
        <v>46368</v>
      </c>
      <c r="I857" s="34" t="str">
        <f>NOVEMBRO!O78</f>
        <v>RECEITAS</v>
      </c>
      <c r="J857">
        <f t="shared" si="92"/>
        <v>0</v>
      </c>
      <c r="K857" t="str">
        <f t="shared" si="93"/>
        <v xml:space="preserve"> </v>
      </c>
      <c r="L857" t="str">
        <f t="shared" si="94"/>
        <v/>
      </c>
      <c r="M857">
        <f t="shared" si="95"/>
        <v>12</v>
      </c>
      <c r="N857">
        <f t="shared" si="96"/>
        <v>12</v>
      </c>
      <c r="O857" t="str">
        <f t="shared" si="98"/>
        <v>DEC</v>
      </c>
      <c r="P857" t="str">
        <f t="shared" si="97"/>
        <v>PAGO</v>
      </c>
    </row>
    <row r="858" spans="2:16" x14ac:dyDescent="0.25">
      <c r="C858" s="35">
        <f>NOVEMBRO!C79</f>
        <v>0</v>
      </c>
      <c r="D858" s="35" t="str">
        <f>NOVEMBRO!D79</f>
        <v>RECEITAS COM SERVIÇOS</v>
      </c>
      <c r="E858" s="35" t="str">
        <f>NOVEMBRO!E79</f>
        <v>-</v>
      </c>
      <c r="F858" s="67">
        <f>NOVEMBRO!G79</f>
        <v>0</v>
      </c>
      <c r="G858" s="68">
        <f>NOVEMBRO!H79</f>
        <v>0</v>
      </c>
      <c r="H858" s="37">
        <f>NOVEMBRO!I79</f>
        <v>46369</v>
      </c>
      <c r="I858" s="34" t="str">
        <f>NOVEMBRO!O79</f>
        <v>RECEITAS</v>
      </c>
      <c r="J858">
        <f t="shared" si="92"/>
        <v>0</v>
      </c>
      <c r="K858" t="str">
        <f t="shared" si="93"/>
        <v xml:space="preserve"> </v>
      </c>
      <c r="L858" t="str">
        <f t="shared" si="94"/>
        <v/>
      </c>
      <c r="M858">
        <f t="shared" si="95"/>
        <v>13</v>
      </c>
      <c r="N858">
        <f t="shared" si="96"/>
        <v>12</v>
      </c>
      <c r="O858" t="str">
        <f t="shared" si="98"/>
        <v>DEC</v>
      </c>
      <c r="P858" t="str">
        <f t="shared" si="97"/>
        <v>PAGO</v>
      </c>
    </row>
    <row r="859" spans="2:16" x14ac:dyDescent="0.25">
      <c r="C859" s="35">
        <f>NOVEMBRO!C80</f>
        <v>0</v>
      </c>
      <c r="D859" s="35" t="str">
        <f>NOVEMBRO!D80</f>
        <v>RECEITAS COM SERVIÇOS</v>
      </c>
      <c r="E859" s="35" t="str">
        <f>NOVEMBRO!E80</f>
        <v>-</v>
      </c>
      <c r="F859" s="67" t="str">
        <f>NOVEMBRO!G80</f>
        <v>BENFICA</v>
      </c>
      <c r="G859" s="68">
        <f>NOVEMBRO!H80</f>
        <v>0</v>
      </c>
      <c r="H859" s="37">
        <f>NOVEMBRO!I80</f>
        <v>46370</v>
      </c>
      <c r="I859" s="34" t="str">
        <f>NOVEMBRO!O80</f>
        <v>RECEITAS</v>
      </c>
      <c r="J859">
        <f t="shared" si="92"/>
        <v>0</v>
      </c>
      <c r="K859" t="str">
        <f t="shared" si="93"/>
        <v xml:space="preserve"> </v>
      </c>
      <c r="L859" t="str">
        <f t="shared" si="94"/>
        <v/>
      </c>
      <c r="M859">
        <f t="shared" si="95"/>
        <v>14</v>
      </c>
      <c r="N859">
        <f t="shared" si="96"/>
        <v>12</v>
      </c>
      <c r="O859" t="str">
        <f t="shared" si="98"/>
        <v>DEC</v>
      </c>
      <c r="P859" t="str">
        <f t="shared" si="97"/>
        <v>PAGO</v>
      </c>
    </row>
    <row r="860" spans="2:16" x14ac:dyDescent="0.25">
      <c r="C860" s="35">
        <f>NOVEMBRO!C81</f>
        <v>0</v>
      </c>
      <c r="D860" s="35" t="str">
        <f>NOVEMBRO!D81</f>
        <v>RECEITAS COM SERVIÇOS</v>
      </c>
      <c r="E860" s="35" t="str">
        <f>NOVEMBRO!E81</f>
        <v>-</v>
      </c>
      <c r="F860" s="67">
        <f>NOVEMBRO!G81</f>
        <v>0</v>
      </c>
      <c r="G860" s="68">
        <f>NOVEMBRO!H81</f>
        <v>0</v>
      </c>
      <c r="H860" s="37">
        <f>NOVEMBRO!I81</f>
        <v>46371</v>
      </c>
      <c r="I860" s="34" t="str">
        <f>NOVEMBRO!O81</f>
        <v>RECEITAS</v>
      </c>
      <c r="J860">
        <f t="shared" si="92"/>
        <v>0</v>
      </c>
      <c r="K860" t="str">
        <f t="shared" si="93"/>
        <v xml:space="preserve"> </v>
      </c>
      <c r="L860" t="str">
        <f t="shared" si="94"/>
        <v/>
      </c>
      <c r="M860">
        <f t="shared" si="95"/>
        <v>15</v>
      </c>
      <c r="N860">
        <f t="shared" si="96"/>
        <v>12</v>
      </c>
      <c r="O860" t="str">
        <f t="shared" si="98"/>
        <v>DEC</v>
      </c>
      <c r="P860" t="str">
        <f t="shared" si="97"/>
        <v>PAGO</v>
      </c>
    </row>
    <row r="861" spans="2:16" x14ac:dyDescent="0.25">
      <c r="C861" s="35">
        <f>NOVEMBRO!C82</f>
        <v>0</v>
      </c>
      <c r="D861" s="35" t="str">
        <f>NOVEMBRO!D82</f>
        <v>RECEITAS COM SERVIÇOS</v>
      </c>
      <c r="E861" s="35" t="str">
        <f>NOVEMBRO!E82</f>
        <v>-</v>
      </c>
      <c r="F861" s="67">
        <f>NOVEMBRO!G82</f>
        <v>0</v>
      </c>
      <c r="G861" s="68">
        <f>NOVEMBRO!H82</f>
        <v>0</v>
      </c>
      <c r="H861" s="37">
        <f>NOVEMBRO!I82</f>
        <v>46372</v>
      </c>
      <c r="I861" s="34" t="str">
        <f>NOVEMBRO!O82</f>
        <v>RECEITAS</v>
      </c>
      <c r="J861">
        <f t="shared" si="92"/>
        <v>0</v>
      </c>
      <c r="K861" t="str">
        <f t="shared" si="93"/>
        <v xml:space="preserve"> </v>
      </c>
      <c r="L861" t="str">
        <f t="shared" si="94"/>
        <v/>
      </c>
      <c r="M861">
        <f t="shared" si="95"/>
        <v>16</v>
      </c>
      <c r="N861">
        <f t="shared" si="96"/>
        <v>12</v>
      </c>
      <c r="O861" t="str">
        <f t="shared" si="98"/>
        <v>DEC</v>
      </c>
      <c r="P861" t="str">
        <f t="shared" si="97"/>
        <v>PAGO</v>
      </c>
    </row>
    <row r="862" spans="2:16" x14ac:dyDescent="0.25">
      <c r="C862" s="35">
        <f>NOVEMBRO!C83</f>
        <v>0</v>
      </c>
      <c r="D862" s="35" t="str">
        <f>NOVEMBRO!D83</f>
        <v>RECEITAS COM SERVIÇOS</v>
      </c>
      <c r="E862" s="35" t="str">
        <f>NOVEMBRO!E83</f>
        <v>-</v>
      </c>
      <c r="F862" s="67">
        <f>NOVEMBRO!G83</f>
        <v>0</v>
      </c>
      <c r="G862" s="68">
        <f>NOVEMBRO!H83</f>
        <v>0</v>
      </c>
      <c r="H862" s="37">
        <f>NOVEMBRO!I83</f>
        <v>46373</v>
      </c>
      <c r="I862" s="34" t="str">
        <f>NOVEMBRO!O83</f>
        <v>RECEITAS</v>
      </c>
      <c r="J862">
        <f t="shared" si="92"/>
        <v>0</v>
      </c>
      <c r="K862" t="str">
        <f t="shared" si="93"/>
        <v xml:space="preserve"> </v>
      </c>
      <c r="L862" t="str">
        <f t="shared" si="94"/>
        <v/>
      </c>
      <c r="M862">
        <f t="shared" si="95"/>
        <v>17</v>
      </c>
      <c r="N862">
        <f t="shared" si="96"/>
        <v>12</v>
      </c>
      <c r="O862" t="str">
        <f t="shared" si="98"/>
        <v>DEC</v>
      </c>
      <c r="P862" t="str">
        <f t="shared" si="97"/>
        <v>PAGO</v>
      </c>
    </row>
    <row r="863" spans="2:16" x14ac:dyDescent="0.25">
      <c r="C863" s="35">
        <f>NOVEMBRO!C84</f>
        <v>0</v>
      </c>
      <c r="D863" s="35" t="str">
        <f>NOVEMBRO!D84</f>
        <v>RECEITAS COM SERVIÇOS</v>
      </c>
      <c r="E863" s="35" t="str">
        <f>NOVEMBRO!E84</f>
        <v>-</v>
      </c>
      <c r="F863" s="67">
        <f>NOVEMBRO!G84</f>
        <v>0</v>
      </c>
      <c r="G863" s="68">
        <f>NOVEMBRO!H84</f>
        <v>0</v>
      </c>
      <c r="H863" s="37">
        <f>NOVEMBRO!I84</f>
        <v>46374</v>
      </c>
      <c r="I863" s="34" t="str">
        <f>NOVEMBRO!O84</f>
        <v>RECEITAS</v>
      </c>
      <c r="J863">
        <f t="shared" si="92"/>
        <v>0</v>
      </c>
      <c r="K863" t="str">
        <f t="shared" si="93"/>
        <v xml:space="preserve"> </v>
      </c>
      <c r="L863" t="str">
        <f t="shared" si="94"/>
        <v/>
      </c>
      <c r="M863">
        <f t="shared" si="95"/>
        <v>18</v>
      </c>
      <c r="N863">
        <f t="shared" si="96"/>
        <v>12</v>
      </c>
      <c r="O863" t="str">
        <f t="shared" si="98"/>
        <v>DEC</v>
      </c>
      <c r="P863" t="str">
        <f t="shared" si="97"/>
        <v>PAGO</v>
      </c>
    </row>
    <row r="864" spans="2:16" x14ac:dyDescent="0.25">
      <c r="B864" s="44" t="s">
        <v>98</v>
      </c>
      <c r="C864" s="35">
        <f>DEZEMBRO!C7</f>
        <v>46357</v>
      </c>
      <c r="D864" s="35" t="str">
        <f>DEZEMBRO!D7</f>
        <v>DESPESAS COM RH</v>
      </c>
      <c r="E864" s="35" t="str">
        <f>DEZEMBRO!E7</f>
        <v>SALARIO</v>
      </c>
      <c r="F864" s="67" t="str">
        <f>DEZEMBRO!G7</f>
        <v>VILA DE VIANA</v>
      </c>
      <c r="G864" s="68">
        <f>DEZEMBRO!H7</f>
        <v>10000</v>
      </c>
      <c r="H864" s="37">
        <f>DEZEMBRO!I7</f>
        <v>46357</v>
      </c>
      <c r="I864" s="34" t="str">
        <f>DEZEMBRO!O7</f>
        <v>DESPESAS</v>
      </c>
      <c r="J864">
        <f t="shared" si="92"/>
        <v>1</v>
      </c>
      <c r="K864">
        <f t="shared" si="93"/>
        <v>12</v>
      </c>
      <c r="L864" t="str">
        <f t="shared" si="94"/>
        <v>DEC</v>
      </c>
      <c r="M864">
        <f t="shared" si="95"/>
        <v>1</v>
      </c>
      <c r="N864">
        <f t="shared" si="96"/>
        <v>12</v>
      </c>
      <c r="O864" t="str">
        <f t="shared" si="98"/>
        <v>DEC</v>
      </c>
      <c r="P864" t="str">
        <f t="shared" si="97"/>
        <v>PAGO</v>
      </c>
    </row>
    <row r="865" spans="3:16" ht="30" x14ac:dyDescent="0.25">
      <c r="C865" s="35">
        <f>DEZEMBRO!C8</f>
        <v>46358</v>
      </c>
      <c r="D865" s="35" t="str">
        <f>DEZEMBRO!D8</f>
        <v>RECEITAS COM PRODUTOS</v>
      </c>
      <c r="E865" s="35" t="str">
        <f>DEZEMBRO!E8</f>
        <v>OUTRAS RECEITAS COM PROD</v>
      </c>
      <c r="F865" s="67" t="str">
        <f>DEZEMBRO!G8</f>
        <v>VILA DE VIANA</v>
      </c>
      <c r="G865" s="68">
        <f>DEZEMBRO!H8</f>
        <v>1</v>
      </c>
      <c r="H865" s="37">
        <f>DEZEMBRO!I8</f>
        <v>46358</v>
      </c>
      <c r="I865" s="34" t="str">
        <f>DEZEMBRO!O8</f>
        <v>RECEITAS</v>
      </c>
      <c r="J865">
        <f t="shared" si="92"/>
        <v>2</v>
      </c>
      <c r="K865">
        <f t="shared" si="93"/>
        <v>12</v>
      </c>
      <c r="L865" t="str">
        <f t="shared" si="94"/>
        <v>DEC</v>
      </c>
      <c r="M865">
        <f t="shared" si="95"/>
        <v>2</v>
      </c>
      <c r="N865">
        <f t="shared" si="96"/>
        <v>12</v>
      </c>
      <c r="O865" t="str">
        <f t="shared" si="98"/>
        <v>DEC</v>
      </c>
      <c r="P865" t="str">
        <f t="shared" si="97"/>
        <v>PAGO</v>
      </c>
    </row>
    <row r="866" spans="3:16" x14ac:dyDescent="0.25">
      <c r="C866" s="35">
        <f>DEZEMBRO!C9</f>
        <v>46359</v>
      </c>
      <c r="D866" s="35" t="str">
        <f>DEZEMBRO!D9</f>
        <v>RECEITAS COM SERVIÇOS</v>
      </c>
      <c r="E866" s="35" t="str">
        <f>DEZEMBRO!E9</f>
        <v>CONSULTORIA</v>
      </c>
      <c r="F866" s="67" t="str">
        <f>DEZEMBRO!G9</f>
        <v>VILA DE VIANA</v>
      </c>
      <c r="G866" s="68">
        <f>DEZEMBRO!H9</f>
        <v>2000</v>
      </c>
      <c r="H866" s="37">
        <f>DEZEMBRO!I9</f>
        <v>46359</v>
      </c>
      <c r="I866" s="34" t="str">
        <f>DEZEMBRO!O9</f>
        <v>RECEITAS</v>
      </c>
      <c r="J866">
        <f t="shared" si="92"/>
        <v>3</v>
      </c>
      <c r="K866">
        <f t="shared" si="93"/>
        <v>12</v>
      </c>
      <c r="L866" t="str">
        <f t="shared" si="94"/>
        <v>DEC</v>
      </c>
      <c r="M866">
        <f t="shared" si="95"/>
        <v>3</v>
      </c>
      <c r="N866">
        <f t="shared" si="96"/>
        <v>12</v>
      </c>
      <c r="O866" t="str">
        <f t="shared" si="98"/>
        <v>DEC</v>
      </c>
      <c r="P866" t="str">
        <f t="shared" si="97"/>
        <v>PAGO</v>
      </c>
    </row>
    <row r="867" spans="3:16" ht="30" x14ac:dyDescent="0.25">
      <c r="C867" s="35">
        <f>DEZEMBRO!C10</f>
        <v>46360</v>
      </c>
      <c r="D867" s="35" t="str">
        <f>DEZEMBRO!D10</f>
        <v>DESPESAS OPERACIONAIS</v>
      </c>
      <c r="E867" s="35" t="str">
        <f>DEZEMBRO!E10</f>
        <v>ALUGUEL</v>
      </c>
      <c r="F867" s="67" t="str">
        <f>DEZEMBRO!G10</f>
        <v>VILA DE VIANA</v>
      </c>
      <c r="G867" s="68">
        <f>DEZEMBRO!H10</f>
        <v>3</v>
      </c>
      <c r="H867" s="37">
        <f>DEZEMBRO!I10</f>
        <v>46360</v>
      </c>
      <c r="I867" s="34" t="str">
        <f>DEZEMBRO!O10</f>
        <v>DESPESAS</v>
      </c>
      <c r="J867">
        <f t="shared" si="92"/>
        <v>4</v>
      </c>
      <c r="K867">
        <f t="shared" si="93"/>
        <v>12</v>
      </c>
      <c r="L867" t="str">
        <f t="shared" si="94"/>
        <v>DEC</v>
      </c>
      <c r="M867">
        <f t="shared" si="95"/>
        <v>4</v>
      </c>
      <c r="N867">
        <f t="shared" si="96"/>
        <v>12</v>
      </c>
      <c r="O867" t="str">
        <f t="shared" si="98"/>
        <v>DEC</v>
      </c>
      <c r="P867" t="str">
        <f t="shared" si="97"/>
        <v>PAGO</v>
      </c>
    </row>
    <row r="868" spans="3:16" ht="30" x14ac:dyDescent="0.25">
      <c r="C868" s="35">
        <f>DEZEMBRO!C11</f>
        <v>46361</v>
      </c>
      <c r="D868" s="35" t="str">
        <f>DEZEMBRO!D11</f>
        <v>DESPESAS COM PRODUTOS</v>
      </c>
      <c r="E868" s="35" t="str">
        <f>DEZEMBRO!E11</f>
        <v>-</v>
      </c>
      <c r="F868" s="67" t="str">
        <f>DEZEMBRO!G11</f>
        <v>VILA DE VIANA</v>
      </c>
      <c r="G868" s="68">
        <f>DEZEMBRO!H11</f>
        <v>1100</v>
      </c>
      <c r="H868" s="37">
        <f>DEZEMBRO!I11</f>
        <v>46361</v>
      </c>
      <c r="I868" s="34" t="str">
        <f>DEZEMBRO!O11</f>
        <v>DESPESAS</v>
      </c>
      <c r="J868">
        <f t="shared" si="92"/>
        <v>5</v>
      </c>
      <c r="K868">
        <f t="shared" si="93"/>
        <v>12</v>
      </c>
      <c r="L868" t="str">
        <f t="shared" si="94"/>
        <v>DEC</v>
      </c>
      <c r="M868">
        <f t="shared" si="95"/>
        <v>5</v>
      </c>
      <c r="N868">
        <f t="shared" si="96"/>
        <v>12</v>
      </c>
      <c r="O868" t="str">
        <f t="shared" si="98"/>
        <v>DEC</v>
      </c>
      <c r="P868" t="str">
        <f t="shared" si="97"/>
        <v>PAGO</v>
      </c>
    </row>
    <row r="869" spans="3:16" ht="30" x14ac:dyDescent="0.25">
      <c r="C869" s="35">
        <f>DEZEMBRO!C12</f>
        <v>46362</v>
      </c>
      <c r="D869" s="35" t="str">
        <f>DEZEMBRO!D12</f>
        <v>DESPESAS COM PRODUTOS</v>
      </c>
      <c r="E869" s="35" t="str">
        <f>DEZEMBRO!E12</f>
        <v>ALUGUEL</v>
      </c>
      <c r="F869" s="67" t="str">
        <f>DEZEMBRO!G12</f>
        <v>BENFICA</v>
      </c>
      <c r="G869" s="68">
        <f>DEZEMBRO!H12</f>
        <v>5</v>
      </c>
      <c r="H869" s="37">
        <f>DEZEMBRO!I12</f>
        <v>46362</v>
      </c>
      <c r="I869" s="34" t="str">
        <f>DEZEMBRO!O12</f>
        <v>DESPESAS</v>
      </c>
      <c r="J869">
        <f t="shared" si="92"/>
        <v>6</v>
      </c>
      <c r="K869">
        <f t="shared" si="93"/>
        <v>12</v>
      </c>
      <c r="L869" t="str">
        <f t="shared" si="94"/>
        <v>DEC</v>
      </c>
      <c r="M869">
        <f t="shared" si="95"/>
        <v>6</v>
      </c>
      <c r="N869">
        <f t="shared" si="96"/>
        <v>12</v>
      </c>
      <c r="O869" t="str">
        <f t="shared" si="98"/>
        <v>DEC</v>
      </c>
      <c r="P869" t="str">
        <f t="shared" si="97"/>
        <v>PAGO</v>
      </c>
    </row>
    <row r="870" spans="3:16" ht="30" x14ac:dyDescent="0.25">
      <c r="C870" s="35">
        <f>DEZEMBRO!C13</f>
        <v>46363</v>
      </c>
      <c r="D870" s="35" t="str">
        <f>DEZEMBRO!D13</f>
        <v>RECEITAS COM PRODUTOS</v>
      </c>
      <c r="E870" s="35" t="str">
        <f>DEZEMBRO!E13</f>
        <v>OUTRAS RECEITAS COM PROD</v>
      </c>
      <c r="F870" s="67" t="str">
        <f>DEZEMBRO!G13</f>
        <v>ZANGO 3</v>
      </c>
      <c r="G870" s="68">
        <f>DEZEMBRO!H13</f>
        <v>6000</v>
      </c>
      <c r="H870" s="37">
        <f>DEZEMBRO!I13</f>
        <v>46363</v>
      </c>
      <c r="I870" s="34" t="str">
        <f>DEZEMBRO!O13</f>
        <v>RECEITAS</v>
      </c>
      <c r="J870">
        <f t="shared" si="92"/>
        <v>7</v>
      </c>
      <c r="K870">
        <f t="shared" si="93"/>
        <v>12</v>
      </c>
      <c r="L870" t="str">
        <f t="shared" si="94"/>
        <v>DEC</v>
      </c>
      <c r="M870">
        <f t="shared" si="95"/>
        <v>7</v>
      </c>
      <c r="N870">
        <f t="shared" si="96"/>
        <v>12</v>
      </c>
      <c r="O870" t="str">
        <f t="shared" si="98"/>
        <v>DEC</v>
      </c>
      <c r="P870" t="str">
        <f t="shared" si="97"/>
        <v>PAGO</v>
      </c>
    </row>
    <row r="871" spans="3:16" x14ac:dyDescent="0.25">
      <c r="C871" s="35">
        <f>DEZEMBRO!C14</f>
        <v>46364</v>
      </c>
      <c r="D871" s="35" t="str">
        <f>DEZEMBRO!D14</f>
        <v>DESPESAS COM RH</v>
      </c>
      <c r="E871" s="35" t="str">
        <f>DEZEMBRO!E14</f>
        <v>ACTUALIZAÇÕES</v>
      </c>
      <c r="F871" s="67">
        <f>DEZEMBRO!G14</f>
        <v>0</v>
      </c>
      <c r="G871" s="68">
        <f>DEZEMBRO!H14</f>
        <v>7</v>
      </c>
      <c r="H871" s="37">
        <f>DEZEMBRO!I14</f>
        <v>46364</v>
      </c>
      <c r="I871" s="34" t="str">
        <f>DEZEMBRO!O14</f>
        <v>DESPESAS</v>
      </c>
      <c r="J871">
        <f t="shared" si="92"/>
        <v>8</v>
      </c>
      <c r="K871">
        <f t="shared" si="93"/>
        <v>12</v>
      </c>
      <c r="L871" t="str">
        <f t="shared" si="94"/>
        <v>DEC</v>
      </c>
      <c r="M871">
        <f t="shared" si="95"/>
        <v>8</v>
      </c>
      <c r="N871">
        <f t="shared" si="96"/>
        <v>12</v>
      </c>
      <c r="O871" t="str">
        <f t="shared" si="98"/>
        <v>DEC</v>
      </c>
      <c r="P871" t="str">
        <f t="shared" si="97"/>
        <v>PAGO</v>
      </c>
    </row>
    <row r="872" spans="3:16" x14ac:dyDescent="0.25">
      <c r="C872" s="35">
        <f>DEZEMBRO!C15</f>
        <v>46365</v>
      </c>
      <c r="D872" s="35" t="str">
        <f>DEZEMBRO!D15</f>
        <v>RECEITAS COM SERVIÇOS</v>
      </c>
      <c r="E872" s="35" t="str">
        <f>DEZEMBRO!E15</f>
        <v>-</v>
      </c>
      <c r="F872" s="67">
        <f>DEZEMBRO!G15</f>
        <v>0</v>
      </c>
      <c r="G872" s="68">
        <f>DEZEMBRO!H15</f>
        <v>8</v>
      </c>
      <c r="H872" s="37">
        <f>DEZEMBRO!I15</f>
        <v>46365</v>
      </c>
      <c r="I872" s="34" t="str">
        <f>DEZEMBRO!O15</f>
        <v>RECEITAS</v>
      </c>
      <c r="J872">
        <f t="shared" si="92"/>
        <v>9</v>
      </c>
      <c r="K872">
        <f t="shared" si="93"/>
        <v>12</v>
      </c>
      <c r="L872" t="str">
        <f t="shared" si="94"/>
        <v>DEC</v>
      </c>
      <c r="M872">
        <f t="shared" si="95"/>
        <v>9</v>
      </c>
      <c r="N872">
        <f t="shared" si="96"/>
        <v>12</v>
      </c>
      <c r="O872" t="str">
        <f t="shared" si="98"/>
        <v>DEC</v>
      </c>
      <c r="P872" t="str">
        <f t="shared" si="97"/>
        <v>PAGO</v>
      </c>
    </row>
    <row r="873" spans="3:16" x14ac:dyDescent="0.25">
      <c r="C873" s="35">
        <f>DEZEMBRO!C16</f>
        <v>46366</v>
      </c>
      <c r="D873" s="35" t="str">
        <f>DEZEMBRO!D16</f>
        <v>RECEITAS COM SERVIÇOS</v>
      </c>
      <c r="E873" s="35" t="str">
        <f>DEZEMBRO!E16</f>
        <v>-</v>
      </c>
      <c r="F873" s="67">
        <f>DEZEMBRO!G16</f>
        <v>0</v>
      </c>
      <c r="G873" s="68">
        <f>DEZEMBRO!H16</f>
        <v>9</v>
      </c>
      <c r="H873" s="37">
        <f>DEZEMBRO!I16</f>
        <v>46366</v>
      </c>
      <c r="I873" s="34" t="str">
        <f>DEZEMBRO!O16</f>
        <v>RECEITAS</v>
      </c>
      <c r="J873">
        <f t="shared" si="92"/>
        <v>10</v>
      </c>
      <c r="K873">
        <f t="shared" si="93"/>
        <v>12</v>
      </c>
      <c r="L873" t="str">
        <f t="shared" si="94"/>
        <v>DEC</v>
      </c>
      <c r="M873">
        <f t="shared" si="95"/>
        <v>10</v>
      </c>
      <c r="N873">
        <f t="shared" si="96"/>
        <v>12</v>
      </c>
      <c r="O873" t="str">
        <f t="shared" si="98"/>
        <v>DEC</v>
      </c>
      <c r="P873" t="str">
        <f t="shared" si="97"/>
        <v>PAGO</v>
      </c>
    </row>
    <row r="874" spans="3:16" ht="30" x14ac:dyDescent="0.25">
      <c r="C874" s="35">
        <f>DEZEMBRO!C17</f>
        <v>46367</v>
      </c>
      <c r="D874" s="35" t="str">
        <f>DEZEMBRO!D17</f>
        <v>DESPESAS OPERACIONAIS</v>
      </c>
      <c r="E874" s="35" t="str">
        <f>DEZEMBRO!E17</f>
        <v>ESTUDIOS GRAVAÇÃO</v>
      </c>
      <c r="F874" s="67">
        <f>DEZEMBRO!G17</f>
        <v>0</v>
      </c>
      <c r="G874" s="68">
        <f>DEZEMBRO!H17</f>
        <v>10</v>
      </c>
      <c r="H874" s="37">
        <f>DEZEMBRO!I17</f>
        <v>46367</v>
      </c>
      <c r="I874" s="34" t="str">
        <f>DEZEMBRO!O17</f>
        <v>DESPESAS</v>
      </c>
      <c r="J874">
        <f t="shared" si="92"/>
        <v>11</v>
      </c>
      <c r="K874">
        <f t="shared" si="93"/>
        <v>12</v>
      </c>
      <c r="L874" t="str">
        <f t="shared" si="94"/>
        <v>DEC</v>
      </c>
      <c r="M874">
        <f t="shared" si="95"/>
        <v>11</v>
      </c>
      <c r="N874">
        <f t="shared" si="96"/>
        <v>12</v>
      </c>
      <c r="O874" t="str">
        <f t="shared" si="98"/>
        <v>DEC</v>
      </c>
      <c r="P874" t="str">
        <f t="shared" si="97"/>
        <v>PAGO</v>
      </c>
    </row>
    <row r="875" spans="3:16" ht="30" x14ac:dyDescent="0.25">
      <c r="C875" s="35">
        <f>DEZEMBRO!C18</f>
        <v>46368</v>
      </c>
      <c r="D875" s="35" t="str">
        <f>DEZEMBRO!D18</f>
        <v>DESPESAS COM PRODUTOS</v>
      </c>
      <c r="E875" s="35" t="str">
        <f>DEZEMBRO!E18</f>
        <v>-</v>
      </c>
      <c r="F875" s="67" t="str">
        <f>DEZEMBRO!G18</f>
        <v>CALEMBA 2</v>
      </c>
      <c r="G875" s="68">
        <f>DEZEMBRO!H18</f>
        <v>11</v>
      </c>
      <c r="H875" s="37">
        <f>DEZEMBRO!I18</f>
        <v>46368</v>
      </c>
      <c r="I875" s="34" t="str">
        <f>DEZEMBRO!O18</f>
        <v>DESPESAS</v>
      </c>
      <c r="J875">
        <f t="shared" si="92"/>
        <v>12</v>
      </c>
      <c r="K875">
        <f t="shared" si="93"/>
        <v>12</v>
      </c>
      <c r="L875" t="str">
        <f t="shared" si="94"/>
        <v>DEC</v>
      </c>
      <c r="M875">
        <f t="shared" si="95"/>
        <v>12</v>
      </c>
      <c r="N875">
        <f t="shared" si="96"/>
        <v>12</v>
      </c>
      <c r="O875" t="str">
        <f t="shared" si="98"/>
        <v>DEC</v>
      </c>
      <c r="P875" t="str">
        <f t="shared" si="97"/>
        <v>PAGO</v>
      </c>
    </row>
    <row r="876" spans="3:16" ht="30" x14ac:dyDescent="0.25">
      <c r="C876" s="35">
        <f>DEZEMBRO!C19</f>
        <v>46369</v>
      </c>
      <c r="D876" s="35" t="str">
        <f>DEZEMBRO!D19</f>
        <v>DESPESAS COM PRODUTOS</v>
      </c>
      <c r="E876" s="35" t="str">
        <f>DEZEMBRO!E19</f>
        <v>-</v>
      </c>
      <c r="F876" s="67">
        <f>DEZEMBRO!G19</f>
        <v>0</v>
      </c>
      <c r="G876" s="68">
        <f>DEZEMBRO!H19</f>
        <v>12</v>
      </c>
      <c r="H876" s="37">
        <f>DEZEMBRO!I19</f>
        <v>46369</v>
      </c>
      <c r="I876" s="34" t="str">
        <f>DEZEMBRO!O19</f>
        <v>DESPESAS</v>
      </c>
      <c r="J876">
        <f t="shared" si="92"/>
        <v>13</v>
      </c>
      <c r="K876">
        <f t="shared" si="93"/>
        <v>12</v>
      </c>
      <c r="L876" t="str">
        <f t="shared" si="94"/>
        <v>DEC</v>
      </c>
      <c r="M876">
        <f t="shared" si="95"/>
        <v>13</v>
      </c>
      <c r="N876">
        <f t="shared" si="96"/>
        <v>12</v>
      </c>
      <c r="O876" t="str">
        <f t="shared" si="98"/>
        <v>DEC</v>
      </c>
      <c r="P876" t="str">
        <f t="shared" si="97"/>
        <v>PAGO</v>
      </c>
    </row>
    <row r="877" spans="3:16" ht="30" x14ac:dyDescent="0.25">
      <c r="C877" s="35">
        <f>DEZEMBRO!C20</f>
        <v>46370</v>
      </c>
      <c r="D877" s="35" t="str">
        <f>DEZEMBRO!D20</f>
        <v>DESPESAS COM PRODUTOS</v>
      </c>
      <c r="E877" s="35" t="str">
        <f>DEZEMBRO!E20</f>
        <v>-</v>
      </c>
      <c r="F877" s="67">
        <f>DEZEMBRO!G20</f>
        <v>0</v>
      </c>
      <c r="G877" s="68">
        <f>DEZEMBRO!H20</f>
        <v>13</v>
      </c>
      <c r="H877" s="37">
        <f>DEZEMBRO!I20</f>
        <v>46370</v>
      </c>
      <c r="I877" s="34" t="str">
        <f>DEZEMBRO!O20</f>
        <v>DESPESAS</v>
      </c>
      <c r="J877">
        <f t="shared" si="92"/>
        <v>14</v>
      </c>
      <c r="K877">
        <f t="shared" si="93"/>
        <v>12</v>
      </c>
      <c r="L877" t="str">
        <f t="shared" si="94"/>
        <v>DEC</v>
      </c>
      <c r="M877">
        <f t="shared" si="95"/>
        <v>14</v>
      </c>
      <c r="N877">
        <f t="shared" si="96"/>
        <v>12</v>
      </c>
      <c r="O877" t="str">
        <f t="shared" si="98"/>
        <v>DEC</v>
      </c>
      <c r="P877" t="str">
        <f t="shared" si="97"/>
        <v>PAGO</v>
      </c>
    </row>
    <row r="878" spans="3:16" ht="30" x14ac:dyDescent="0.25">
      <c r="C878" s="35">
        <f>DEZEMBRO!C21</f>
        <v>46371</v>
      </c>
      <c r="D878" s="35" t="str">
        <f>DEZEMBRO!D21</f>
        <v>DESPESAS COM PRODUTOS</v>
      </c>
      <c r="E878" s="35" t="str">
        <f>DEZEMBRO!E21</f>
        <v>-</v>
      </c>
      <c r="F878" s="67">
        <f>DEZEMBRO!G21</f>
        <v>0</v>
      </c>
      <c r="G878" s="68">
        <f>DEZEMBRO!H21</f>
        <v>14</v>
      </c>
      <c r="H878" s="37">
        <f>DEZEMBRO!I21</f>
        <v>46371</v>
      </c>
      <c r="I878" s="34" t="str">
        <f>DEZEMBRO!O21</f>
        <v>DESPESAS</v>
      </c>
      <c r="J878">
        <f t="shared" si="92"/>
        <v>15</v>
      </c>
      <c r="K878">
        <f t="shared" si="93"/>
        <v>12</v>
      </c>
      <c r="L878" t="str">
        <f t="shared" si="94"/>
        <v>DEC</v>
      </c>
      <c r="M878">
        <f t="shared" si="95"/>
        <v>15</v>
      </c>
      <c r="N878">
        <f t="shared" si="96"/>
        <v>12</v>
      </c>
      <c r="O878" t="str">
        <f t="shared" si="98"/>
        <v>DEC</v>
      </c>
      <c r="P878" t="str">
        <f t="shared" si="97"/>
        <v>PAGO</v>
      </c>
    </row>
    <row r="879" spans="3:16" ht="30" x14ac:dyDescent="0.25">
      <c r="C879" s="35">
        <f>DEZEMBRO!C22</f>
        <v>46372</v>
      </c>
      <c r="D879" s="35" t="str">
        <f>DEZEMBRO!D22</f>
        <v>DESPESAS COM PRODUTOS</v>
      </c>
      <c r="E879" s="35" t="str">
        <f>DEZEMBRO!E22</f>
        <v>-</v>
      </c>
      <c r="F879" s="67">
        <f>DEZEMBRO!G22</f>
        <v>0</v>
      </c>
      <c r="G879" s="68">
        <f>DEZEMBRO!H22</f>
        <v>15</v>
      </c>
      <c r="H879" s="37">
        <f>DEZEMBRO!I22</f>
        <v>46372</v>
      </c>
      <c r="I879" s="34" t="str">
        <f>DEZEMBRO!O22</f>
        <v>DESPESAS</v>
      </c>
      <c r="J879">
        <f t="shared" si="92"/>
        <v>16</v>
      </c>
      <c r="K879">
        <f t="shared" si="93"/>
        <v>12</v>
      </c>
      <c r="L879" t="str">
        <f t="shared" si="94"/>
        <v>DEC</v>
      </c>
      <c r="M879">
        <f t="shared" si="95"/>
        <v>16</v>
      </c>
      <c r="N879">
        <f t="shared" si="96"/>
        <v>12</v>
      </c>
      <c r="O879" t="str">
        <f t="shared" si="98"/>
        <v>DEC</v>
      </c>
      <c r="P879" t="str">
        <f t="shared" si="97"/>
        <v>PAGO</v>
      </c>
    </row>
    <row r="880" spans="3:16" ht="30" x14ac:dyDescent="0.25">
      <c r="C880" s="35">
        <f>DEZEMBRO!C23</f>
        <v>46373</v>
      </c>
      <c r="D880" s="35" t="str">
        <f>DEZEMBRO!D23</f>
        <v>DESPESAS COM PRODUTOS</v>
      </c>
      <c r="E880" s="35" t="str">
        <f>DEZEMBRO!E23</f>
        <v>-</v>
      </c>
      <c r="F880" s="67">
        <f>DEZEMBRO!G23</f>
        <v>0</v>
      </c>
      <c r="G880" s="68">
        <f>DEZEMBRO!H23</f>
        <v>16</v>
      </c>
      <c r="H880" s="37">
        <f>DEZEMBRO!I23</f>
        <v>46373</v>
      </c>
      <c r="I880" s="34" t="str">
        <f>DEZEMBRO!O23</f>
        <v>DESPESAS</v>
      </c>
      <c r="J880">
        <f t="shared" si="92"/>
        <v>17</v>
      </c>
      <c r="K880">
        <f t="shared" si="93"/>
        <v>12</v>
      </c>
      <c r="L880" t="str">
        <f t="shared" si="94"/>
        <v>DEC</v>
      </c>
      <c r="M880">
        <f t="shared" si="95"/>
        <v>17</v>
      </c>
      <c r="N880">
        <f t="shared" si="96"/>
        <v>12</v>
      </c>
      <c r="O880" t="str">
        <f t="shared" si="98"/>
        <v>DEC</v>
      </c>
      <c r="P880" t="str">
        <f t="shared" si="97"/>
        <v>PAGO</v>
      </c>
    </row>
    <row r="881" spans="3:16" ht="30" x14ac:dyDescent="0.25">
      <c r="C881" s="35">
        <f>DEZEMBRO!C24</f>
        <v>46374</v>
      </c>
      <c r="D881" s="35" t="str">
        <f>DEZEMBRO!D24</f>
        <v>DESPESAS COM PRODUTOS</v>
      </c>
      <c r="E881" s="35" t="str">
        <f>DEZEMBRO!E24</f>
        <v>-</v>
      </c>
      <c r="F881" s="67">
        <f>DEZEMBRO!G24</f>
        <v>0</v>
      </c>
      <c r="G881" s="68">
        <f>DEZEMBRO!H24</f>
        <v>17</v>
      </c>
      <c r="H881" s="37">
        <f>DEZEMBRO!I24</f>
        <v>46374</v>
      </c>
      <c r="I881" s="34" t="str">
        <f>DEZEMBRO!O24</f>
        <v>DESPESAS</v>
      </c>
      <c r="J881">
        <f t="shared" si="92"/>
        <v>18</v>
      </c>
      <c r="K881">
        <f t="shared" si="93"/>
        <v>12</v>
      </c>
      <c r="L881" t="str">
        <f t="shared" si="94"/>
        <v>DEC</v>
      </c>
      <c r="M881">
        <f t="shared" si="95"/>
        <v>18</v>
      </c>
      <c r="N881">
        <f t="shared" si="96"/>
        <v>12</v>
      </c>
      <c r="O881" t="str">
        <f t="shared" si="98"/>
        <v>DEC</v>
      </c>
      <c r="P881" t="str">
        <f t="shared" si="97"/>
        <v>PAGO</v>
      </c>
    </row>
    <row r="882" spans="3:16" ht="30" x14ac:dyDescent="0.25">
      <c r="C882" s="35">
        <f>DEZEMBRO!C25</f>
        <v>46375</v>
      </c>
      <c r="D882" s="35" t="str">
        <f>DEZEMBRO!D25</f>
        <v>DESPESAS COM PRODUTOS</v>
      </c>
      <c r="E882" s="35" t="str">
        <f>DEZEMBRO!E25</f>
        <v>-</v>
      </c>
      <c r="F882" s="67">
        <f>DEZEMBRO!G25</f>
        <v>0</v>
      </c>
      <c r="G882" s="68">
        <f>DEZEMBRO!H25</f>
        <v>18</v>
      </c>
      <c r="H882" s="37">
        <f>DEZEMBRO!I25</f>
        <v>46375</v>
      </c>
      <c r="I882" s="34" t="str">
        <f>DEZEMBRO!O25</f>
        <v>DESPESAS</v>
      </c>
      <c r="J882">
        <f t="shared" si="92"/>
        <v>19</v>
      </c>
      <c r="K882">
        <f t="shared" si="93"/>
        <v>12</v>
      </c>
      <c r="L882" t="str">
        <f t="shared" si="94"/>
        <v>DEC</v>
      </c>
      <c r="M882">
        <f t="shared" si="95"/>
        <v>19</v>
      </c>
      <c r="N882">
        <f t="shared" si="96"/>
        <v>12</v>
      </c>
      <c r="O882" t="str">
        <f t="shared" si="98"/>
        <v>DEC</v>
      </c>
      <c r="P882" t="str">
        <f t="shared" si="97"/>
        <v>PAGO</v>
      </c>
    </row>
    <row r="883" spans="3:16" ht="30" x14ac:dyDescent="0.25">
      <c r="C883" s="35">
        <f>DEZEMBRO!C26</f>
        <v>46376</v>
      </c>
      <c r="D883" s="35" t="str">
        <f>DEZEMBRO!D26</f>
        <v>DESPESAS COM PRODUTOS</v>
      </c>
      <c r="E883" s="35" t="str">
        <f>DEZEMBRO!E26</f>
        <v>-</v>
      </c>
      <c r="F883" s="67" t="str">
        <f>DEZEMBRO!G26</f>
        <v>GOLF 2</v>
      </c>
      <c r="G883" s="68">
        <f>DEZEMBRO!H26</f>
        <v>19</v>
      </c>
      <c r="H883" s="37">
        <f>DEZEMBRO!I26</f>
        <v>46376</v>
      </c>
      <c r="I883" s="34" t="str">
        <f>DEZEMBRO!O26</f>
        <v>DESPESAS</v>
      </c>
      <c r="J883">
        <f t="shared" si="92"/>
        <v>20</v>
      </c>
      <c r="K883">
        <f t="shared" si="93"/>
        <v>12</v>
      </c>
      <c r="L883" t="str">
        <f t="shared" si="94"/>
        <v>DEC</v>
      </c>
      <c r="M883">
        <f t="shared" si="95"/>
        <v>20</v>
      </c>
      <c r="N883">
        <f t="shared" si="96"/>
        <v>12</v>
      </c>
      <c r="O883" t="str">
        <f t="shared" si="98"/>
        <v>DEC</v>
      </c>
      <c r="P883" t="str">
        <f t="shared" si="97"/>
        <v>PAGO</v>
      </c>
    </row>
    <row r="884" spans="3:16" ht="30" x14ac:dyDescent="0.25">
      <c r="C884" s="35">
        <f>DEZEMBRO!C27</f>
        <v>46377</v>
      </c>
      <c r="D884" s="35" t="str">
        <f>DEZEMBRO!D27</f>
        <v>DESPESAS COM PRODUTOS</v>
      </c>
      <c r="E884" s="35" t="str">
        <f>DEZEMBRO!E27</f>
        <v>-</v>
      </c>
      <c r="F884" s="67" t="str">
        <f>DEZEMBRO!G27</f>
        <v>GOLF 3</v>
      </c>
      <c r="G884" s="68">
        <f>DEZEMBRO!H27</f>
        <v>20</v>
      </c>
      <c r="H884" s="37">
        <f>DEZEMBRO!I27</f>
        <v>46377</v>
      </c>
      <c r="I884" s="34" t="str">
        <f>DEZEMBRO!O27</f>
        <v>DESPESAS</v>
      </c>
      <c r="J884">
        <f t="shared" si="92"/>
        <v>21</v>
      </c>
      <c r="K884">
        <f t="shared" si="93"/>
        <v>12</v>
      </c>
      <c r="L884" t="str">
        <f t="shared" si="94"/>
        <v>DEC</v>
      </c>
      <c r="M884">
        <f t="shared" si="95"/>
        <v>21</v>
      </c>
      <c r="N884">
        <f t="shared" si="96"/>
        <v>12</v>
      </c>
      <c r="O884" t="str">
        <f t="shared" si="98"/>
        <v>DEC</v>
      </c>
      <c r="P884" t="str">
        <f t="shared" si="97"/>
        <v>PAGO</v>
      </c>
    </row>
    <row r="885" spans="3:16" ht="30" x14ac:dyDescent="0.25">
      <c r="C885" s="35">
        <f>DEZEMBRO!C28</f>
        <v>46378</v>
      </c>
      <c r="D885" s="35" t="str">
        <f>DEZEMBRO!D28</f>
        <v>DESPESAS COM PRODUTOS</v>
      </c>
      <c r="E885" s="35" t="str">
        <f>DEZEMBRO!E28</f>
        <v>-</v>
      </c>
      <c r="F885" s="67" t="str">
        <f>DEZEMBRO!G28</f>
        <v>GOLF 4</v>
      </c>
      <c r="G885" s="68">
        <f>DEZEMBRO!H28</f>
        <v>21</v>
      </c>
      <c r="H885" s="37">
        <f>DEZEMBRO!I28</f>
        <v>46378</v>
      </c>
      <c r="I885" s="34" t="str">
        <f>DEZEMBRO!O28</f>
        <v>DESPESAS</v>
      </c>
      <c r="J885">
        <f t="shared" si="92"/>
        <v>22</v>
      </c>
      <c r="K885">
        <f t="shared" si="93"/>
        <v>12</v>
      </c>
      <c r="L885" t="str">
        <f t="shared" si="94"/>
        <v>DEC</v>
      </c>
      <c r="M885">
        <f t="shared" si="95"/>
        <v>22</v>
      </c>
      <c r="N885">
        <f t="shared" si="96"/>
        <v>12</v>
      </c>
      <c r="O885" t="str">
        <f t="shared" si="98"/>
        <v>DEC</v>
      </c>
      <c r="P885" t="str">
        <f t="shared" si="97"/>
        <v>PAGO</v>
      </c>
    </row>
    <row r="886" spans="3:16" ht="30" x14ac:dyDescent="0.25">
      <c r="C886" s="35">
        <f>DEZEMBRO!C29</f>
        <v>46379</v>
      </c>
      <c r="D886" s="35" t="str">
        <f>DEZEMBRO!D29</f>
        <v>DESPESAS COM PRODUTOS</v>
      </c>
      <c r="E886" s="35" t="str">
        <f>DEZEMBRO!E29</f>
        <v>-</v>
      </c>
      <c r="F886" s="67" t="str">
        <f>DEZEMBRO!G29</f>
        <v>GOLF 5</v>
      </c>
      <c r="G886" s="68">
        <f>DEZEMBRO!H29</f>
        <v>22</v>
      </c>
      <c r="H886" s="37">
        <f>DEZEMBRO!I29</f>
        <v>46379</v>
      </c>
      <c r="I886" s="34" t="str">
        <f>DEZEMBRO!O29</f>
        <v>DESPESAS</v>
      </c>
      <c r="J886">
        <f t="shared" si="92"/>
        <v>23</v>
      </c>
      <c r="K886">
        <f t="shared" si="93"/>
        <v>12</v>
      </c>
      <c r="L886" t="str">
        <f t="shared" si="94"/>
        <v>DEC</v>
      </c>
      <c r="M886">
        <f t="shared" si="95"/>
        <v>23</v>
      </c>
      <c r="N886">
        <f t="shared" si="96"/>
        <v>12</v>
      </c>
      <c r="O886" t="str">
        <f t="shared" si="98"/>
        <v>DEC</v>
      </c>
      <c r="P886" t="str">
        <f t="shared" si="97"/>
        <v>PAGO</v>
      </c>
    </row>
    <row r="887" spans="3:16" ht="30" x14ac:dyDescent="0.25">
      <c r="C887" s="35">
        <f>DEZEMBRO!C30</f>
        <v>46380</v>
      </c>
      <c r="D887" s="35" t="str">
        <f>DEZEMBRO!D30</f>
        <v>DESPESAS COM PRODUTOS</v>
      </c>
      <c r="E887" s="35" t="str">
        <f>DEZEMBRO!E30</f>
        <v>-</v>
      </c>
      <c r="F887" s="67" t="str">
        <f>DEZEMBRO!G30</f>
        <v>GOLF 6</v>
      </c>
      <c r="G887" s="68">
        <f>DEZEMBRO!H30</f>
        <v>23</v>
      </c>
      <c r="H887" s="37">
        <f>DEZEMBRO!I30</f>
        <v>46380</v>
      </c>
      <c r="I887" s="34" t="str">
        <f>DEZEMBRO!O30</f>
        <v>DESPESAS</v>
      </c>
      <c r="J887">
        <f t="shared" si="92"/>
        <v>24</v>
      </c>
      <c r="K887">
        <f t="shared" si="93"/>
        <v>12</v>
      </c>
      <c r="L887" t="str">
        <f t="shared" si="94"/>
        <v>DEC</v>
      </c>
      <c r="M887">
        <f t="shared" si="95"/>
        <v>24</v>
      </c>
      <c r="N887">
        <f t="shared" si="96"/>
        <v>12</v>
      </c>
      <c r="O887" t="str">
        <f t="shared" si="98"/>
        <v>DEC</v>
      </c>
      <c r="P887" t="str">
        <f t="shared" si="97"/>
        <v>PAGO</v>
      </c>
    </row>
    <row r="888" spans="3:16" ht="30" x14ac:dyDescent="0.25">
      <c r="C888" s="35">
        <f>DEZEMBRO!C31</f>
        <v>46381</v>
      </c>
      <c r="D888" s="35" t="str">
        <f>DEZEMBRO!D31</f>
        <v>DESPESAS COM PRODUTOS</v>
      </c>
      <c r="E888" s="35" t="str">
        <f>DEZEMBRO!E31</f>
        <v>-</v>
      </c>
      <c r="F888" s="67" t="str">
        <f>DEZEMBRO!G31</f>
        <v>GOLF 7</v>
      </c>
      <c r="G888" s="68">
        <f>DEZEMBRO!H31</f>
        <v>24</v>
      </c>
      <c r="H888" s="37">
        <f>DEZEMBRO!I31</f>
        <v>46381</v>
      </c>
      <c r="I888" s="34" t="str">
        <f>DEZEMBRO!O31</f>
        <v>DESPESAS</v>
      </c>
      <c r="J888">
        <f t="shared" si="92"/>
        <v>25</v>
      </c>
      <c r="K888">
        <f t="shared" si="93"/>
        <v>12</v>
      </c>
      <c r="L888" t="str">
        <f t="shared" si="94"/>
        <v>DEC</v>
      </c>
      <c r="M888">
        <f t="shared" si="95"/>
        <v>25</v>
      </c>
      <c r="N888">
        <f t="shared" si="96"/>
        <v>12</v>
      </c>
      <c r="O888" t="str">
        <f t="shared" si="98"/>
        <v>DEC</v>
      </c>
      <c r="P888" t="str">
        <f t="shared" si="97"/>
        <v>PAGO</v>
      </c>
    </row>
    <row r="889" spans="3:16" ht="30" x14ac:dyDescent="0.25">
      <c r="C889" s="35">
        <f>DEZEMBRO!C32</f>
        <v>46382</v>
      </c>
      <c r="D889" s="35" t="str">
        <f>DEZEMBRO!D32</f>
        <v>DESPESAS COM PRODUTOS</v>
      </c>
      <c r="E889" s="35" t="str">
        <f>DEZEMBRO!E32</f>
        <v>-</v>
      </c>
      <c r="F889" s="67" t="str">
        <f>DEZEMBRO!G32</f>
        <v>GOLF 8</v>
      </c>
      <c r="G889" s="68">
        <f>DEZEMBRO!H32</f>
        <v>25</v>
      </c>
      <c r="H889" s="37">
        <f>DEZEMBRO!I32</f>
        <v>46382</v>
      </c>
      <c r="I889" s="34" t="str">
        <f>DEZEMBRO!O32</f>
        <v>DESPESAS</v>
      </c>
      <c r="J889">
        <f t="shared" si="92"/>
        <v>26</v>
      </c>
      <c r="K889">
        <f t="shared" si="93"/>
        <v>12</v>
      </c>
      <c r="L889" t="str">
        <f t="shared" si="94"/>
        <v>DEC</v>
      </c>
      <c r="M889">
        <f t="shared" si="95"/>
        <v>26</v>
      </c>
      <c r="N889">
        <f t="shared" si="96"/>
        <v>12</v>
      </c>
      <c r="O889" t="str">
        <f t="shared" si="98"/>
        <v>DEC</v>
      </c>
      <c r="P889" t="str">
        <f t="shared" si="97"/>
        <v>PAGO</v>
      </c>
    </row>
    <row r="890" spans="3:16" ht="30" x14ac:dyDescent="0.25">
      <c r="C890" s="35">
        <f>DEZEMBRO!C33</f>
        <v>46383</v>
      </c>
      <c r="D890" s="35" t="str">
        <f>DEZEMBRO!D33</f>
        <v>DESPESAS COM PRODUTOS</v>
      </c>
      <c r="E890" s="35" t="str">
        <f>DEZEMBRO!E33</f>
        <v>-</v>
      </c>
      <c r="F890" s="67" t="str">
        <f>DEZEMBRO!G33</f>
        <v>GOLF 9</v>
      </c>
      <c r="G890" s="68">
        <f>DEZEMBRO!H33</f>
        <v>26</v>
      </c>
      <c r="H890" s="37">
        <f>DEZEMBRO!I33</f>
        <v>46383</v>
      </c>
      <c r="I890" s="34" t="str">
        <f>DEZEMBRO!O33</f>
        <v>DESPESAS</v>
      </c>
      <c r="J890">
        <f t="shared" si="92"/>
        <v>27</v>
      </c>
      <c r="K890">
        <f t="shared" si="93"/>
        <v>12</v>
      </c>
      <c r="L890" t="str">
        <f t="shared" si="94"/>
        <v>DEC</v>
      </c>
      <c r="M890">
        <f t="shared" si="95"/>
        <v>27</v>
      </c>
      <c r="N890">
        <f t="shared" si="96"/>
        <v>12</v>
      </c>
      <c r="O890" t="str">
        <f t="shared" si="98"/>
        <v>DEC</v>
      </c>
      <c r="P890" t="str">
        <f t="shared" si="97"/>
        <v>PAGO</v>
      </c>
    </row>
    <row r="891" spans="3:16" ht="30" x14ac:dyDescent="0.25">
      <c r="C891" s="35">
        <f>DEZEMBRO!C34</f>
        <v>46384</v>
      </c>
      <c r="D891" s="35" t="str">
        <f>DEZEMBRO!D34</f>
        <v>DESPESAS COM PRODUTOS</v>
      </c>
      <c r="E891" s="35" t="str">
        <f>DEZEMBRO!E34</f>
        <v>-</v>
      </c>
      <c r="F891" s="67" t="str">
        <f>DEZEMBRO!G34</f>
        <v>GOLF 10</v>
      </c>
      <c r="G891" s="68">
        <f>DEZEMBRO!H34</f>
        <v>27</v>
      </c>
      <c r="H891" s="37">
        <f>DEZEMBRO!I34</f>
        <v>46384</v>
      </c>
      <c r="I891" s="34" t="str">
        <f>DEZEMBRO!O34</f>
        <v>DESPESAS</v>
      </c>
      <c r="J891">
        <f t="shared" si="92"/>
        <v>28</v>
      </c>
      <c r="K891">
        <f t="shared" si="93"/>
        <v>12</v>
      </c>
      <c r="L891" t="str">
        <f t="shared" si="94"/>
        <v>DEC</v>
      </c>
      <c r="M891">
        <f t="shared" si="95"/>
        <v>28</v>
      </c>
      <c r="N891">
        <f t="shared" si="96"/>
        <v>12</v>
      </c>
      <c r="O891" t="str">
        <f t="shared" si="98"/>
        <v>DEC</v>
      </c>
      <c r="P891" t="str">
        <f t="shared" si="97"/>
        <v>PAGO</v>
      </c>
    </row>
    <row r="892" spans="3:16" ht="30" x14ac:dyDescent="0.25">
      <c r="C892" s="35">
        <f>DEZEMBRO!C35</f>
        <v>46385</v>
      </c>
      <c r="D892" s="35" t="str">
        <f>DEZEMBRO!D35</f>
        <v>DESPESAS COM PRODUTOS</v>
      </c>
      <c r="E892" s="35" t="str">
        <f>DEZEMBRO!E35</f>
        <v>-</v>
      </c>
      <c r="F892" s="67" t="str">
        <f>DEZEMBRO!G35</f>
        <v>GOLF 11</v>
      </c>
      <c r="G892" s="68">
        <f>DEZEMBRO!H35</f>
        <v>28</v>
      </c>
      <c r="H892" s="37">
        <f>DEZEMBRO!I35</f>
        <v>46385</v>
      </c>
      <c r="I892" s="34" t="str">
        <f>DEZEMBRO!O35</f>
        <v>DESPESAS</v>
      </c>
      <c r="J892">
        <f t="shared" si="92"/>
        <v>29</v>
      </c>
      <c r="K892">
        <f t="shared" si="93"/>
        <v>12</v>
      </c>
      <c r="L892" t="str">
        <f t="shared" si="94"/>
        <v>DEC</v>
      </c>
      <c r="M892">
        <f t="shared" si="95"/>
        <v>29</v>
      </c>
      <c r="N892">
        <f t="shared" si="96"/>
        <v>12</v>
      </c>
      <c r="O892" t="str">
        <f t="shared" si="98"/>
        <v>DEC</v>
      </c>
      <c r="P892" t="str">
        <f t="shared" si="97"/>
        <v>PAGO</v>
      </c>
    </row>
    <row r="893" spans="3:16" ht="30" x14ac:dyDescent="0.25">
      <c r="C893" s="35">
        <f>DEZEMBRO!C36</f>
        <v>46386</v>
      </c>
      <c r="D893" s="35" t="str">
        <f>DEZEMBRO!D36</f>
        <v>DESPESAS COM PRODUTOS</v>
      </c>
      <c r="E893" s="35" t="str">
        <f>DEZEMBRO!E36</f>
        <v>-</v>
      </c>
      <c r="F893" s="67" t="str">
        <f>DEZEMBRO!G36</f>
        <v>GOLF 12</v>
      </c>
      <c r="G893" s="68">
        <f>DEZEMBRO!H36</f>
        <v>29</v>
      </c>
      <c r="H893" s="37">
        <f>DEZEMBRO!I36</f>
        <v>46386</v>
      </c>
      <c r="I893" s="34" t="str">
        <f>DEZEMBRO!O36</f>
        <v>DESPESAS</v>
      </c>
      <c r="J893">
        <f t="shared" si="92"/>
        <v>30</v>
      </c>
      <c r="K893">
        <f t="shared" si="93"/>
        <v>12</v>
      </c>
      <c r="L893" t="str">
        <f t="shared" si="94"/>
        <v>DEC</v>
      </c>
      <c r="M893">
        <f t="shared" si="95"/>
        <v>30</v>
      </c>
      <c r="N893">
        <f t="shared" si="96"/>
        <v>12</v>
      </c>
      <c r="O893" t="str">
        <f t="shared" si="98"/>
        <v>DEC</v>
      </c>
      <c r="P893" t="str">
        <f t="shared" si="97"/>
        <v>PAGO</v>
      </c>
    </row>
    <row r="894" spans="3:16" ht="30" x14ac:dyDescent="0.25">
      <c r="C894" s="35">
        <f>DEZEMBRO!C37</f>
        <v>46387</v>
      </c>
      <c r="D894" s="35" t="str">
        <f>DEZEMBRO!D37</f>
        <v>DESPESAS COM PRODUTOS</v>
      </c>
      <c r="E894" s="35" t="str">
        <f>DEZEMBRO!E37</f>
        <v>-</v>
      </c>
      <c r="F894" s="67" t="str">
        <f>DEZEMBRO!G37</f>
        <v>GOLF 13</v>
      </c>
      <c r="G894" s="68">
        <f>DEZEMBRO!H37</f>
        <v>30</v>
      </c>
      <c r="H894" s="37">
        <f>DEZEMBRO!I37</f>
        <v>46357</v>
      </c>
      <c r="I894" s="34" t="str">
        <f>DEZEMBRO!O37</f>
        <v>DESPESAS</v>
      </c>
      <c r="J894">
        <f t="shared" si="92"/>
        <v>31</v>
      </c>
      <c r="K894">
        <f t="shared" si="93"/>
        <v>12</v>
      </c>
      <c r="L894" t="str">
        <f t="shared" si="94"/>
        <v>DEC</v>
      </c>
      <c r="M894">
        <f t="shared" si="95"/>
        <v>1</v>
      </c>
      <c r="N894">
        <f t="shared" si="96"/>
        <v>12</v>
      </c>
      <c r="O894" t="str">
        <f t="shared" si="98"/>
        <v>DEC</v>
      </c>
      <c r="P894" t="str">
        <f t="shared" si="97"/>
        <v>PAGO</v>
      </c>
    </row>
    <row r="895" spans="3:16" ht="30" x14ac:dyDescent="0.25">
      <c r="C895" s="35">
        <f>DEZEMBRO!C38</f>
        <v>46357</v>
      </c>
      <c r="D895" s="35" t="str">
        <f>DEZEMBRO!D38</f>
        <v>DESPESAS COM PRODUTOS</v>
      </c>
      <c r="E895" s="35" t="str">
        <f>DEZEMBRO!E38</f>
        <v>-</v>
      </c>
      <c r="F895" s="67" t="str">
        <f>DEZEMBRO!G38</f>
        <v>GOLF 14</v>
      </c>
      <c r="G895" s="68">
        <f>DEZEMBRO!H38</f>
        <v>0</v>
      </c>
      <c r="H895" s="37">
        <f>DEZEMBRO!I38</f>
        <v>46358</v>
      </c>
      <c r="I895" s="34" t="str">
        <f>DEZEMBRO!O38</f>
        <v>DESPESAS</v>
      </c>
      <c r="J895">
        <f t="shared" si="92"/>
        <v>1</v>
      </c>
      <c r="K895">
        <f t="shared" si="93"/>
        <v>12</v>
      </c>
      <c r="L895" t="str">
        <f t="shared" si="94"/>
        <v>DEC</v>
      </c>
      <c r="M895">
        <f t="shared" si="95"/>
        <v>2</v>
      </c>
      <c r="N895">
        <f t="shared" si="96"/>
        <v>12</v>
      </c>
      <c r="O895" t="str">
        <f t="shared" si="98"/>
        <v>DEC</v>
      </c>
      <c r="P895" t="str">
        <f t="shared" si="97"/>
        <v>PAGO</v>
      </c>
    </row>
    <row r="896" spans="3:16" ht="30" x14ac:dyDescent="0.25">
      <c r="C896" s="35">
        <f>DEZEMBRO!C39</f>
        <v>46358</v>
      </c>
      <c r="D896" s="35" t="str">
        <f>DEZEMBRO!D39</f>
        <v>DESPESAS COM PRODUTOS</v>
      </c>
      <c r="E896" s="35" t="str">
        <f>DEZEMBRO!E39</f>
        <v>-</v>
      </c>
      <c r="F896" s="67" t="str">
        <f>DEZEMBRO!G39</f>
        <v>GOLF 15</v>
      </c>
      <c r="G896" s="68">
        <f>DEZEMBRO!H39</f>
        <v>0</v>
      </c>
      <c r="H896" s="37">
        <f>DEZEMBRO!I39</f>
        <v>46359</v>
      </c>
      <c r="I896" s="34" t="str">
        <f>DEZEMBRO!O39</f>
        <v>DESPESAS</v>
      </c>
      <c r="J896">
        <f t="shared" si="92"/>
        <v>2</v>
      </c>
      <c r="K896">
        <f t="shared" si="93"/>
        <v>12</v>
      </c>
      <c r="L896" t="str">
        <f t="shared" si="94"/>
        <v>DEC</v>
      </c>
      <c r="M896">
        <f t="shared" si="95"/>
        <v>3</v>
      </c>
      <c r="N896">
        <f t="shared" si="96"/>
        <v>12</v>
      </c>
      <c r="O896" t="str">
        <f t="shared" si="98"/>
        <v>DEC</v>
      </c>
      <c r="P896" t="str">
        <f t="shared" si="97"/>
        <v>PAGO</v>
      </c>
    </row>
    <row r="897" spans="3:16" ht="30" x14ac:dyDescent="0.25">
      <c r="C897" s="35">
        <f>DEZEMBRO!C40</f>
        <v>46359</v>
      </c>
      <c r="D897" s="35" t="str">
        <f>DEZEMBRO!D40</f>
        <v>DESPESAS COM PRODUTOS</v>
      </c>
      <c r="E897" s="35" t="str">
        <f>DEZEMBRO!E40</f>
        <v>-</v>
      </c>
      <c r="F897" s="67" t="str">
        <f>DEZEMBRO!G40</f>
        <v>GOLF 16</v>
      </c>
      <c r="G897" s="68">
        <f>DEZEMBRO!H40</f>
        <v>0</v>
      </c>
      <c r="H897" s="37">
        <f>DEZEMBRO!I40</f>
        <v>46360</v>
      </c>
      <c r="I897" s="34" t="str">
        <f>DEZEMBRO!O40</f>
        <v>DESPESAS</v>
      </c>
      <c r="J897">
        <f t="shared" si="92"/>
        <v>3</v>
      </c>
      <c r="K897">
        <f t="shared" si="93"/>
        <v>12</v>
      </c>
      <c r="L897" t="str">
        <f t="shared" si="94"/>
        <v>DEC</v>
      </c>
      <c r="M897">
        <f t="shared" si="95"/>
        <v>4</v>
      </c>
      <c r="N897">
        <f t="shared" si="96"/>
        <v>12</v>
      </c>
      <c r="O897" t="str">
        <f t="shared" si="98"/>
        <v>DEC</v>
      </c>
      <c r="P897" t="str">
        <f t="shared" si="97"/>
        <v>PAGO</v>
      </c>
    </row>
    <row r="898" spans="3:16" ht="30" x14ac:dyDescent="0.25">
      <c r="C898" s="35">
        <f>DEZEMBRO!C41</f>
        <v>46360</v>
      </c>
      <c r="D898" s="35" t="str">
        <f>DEZEMBRO!D41</f>
        <v>DESPESAS COM PRODUTOS</v>
      </c>
      <c r="E898" s="35" t="str">
        <f>DEZEMBRO!E41</f>
        <v>-</v>
      </c>
      <c r="F898" s="67" t="str">
        <f>DEZEMBRO!G41</f>
        <v>GOLF 17</v>
      </c>
      <c r="G898" s="68">
        <f>DEZEMBRO!H41</f>
        <v>0</v>
      </c>
      <c r="H898" s="37">
        <f>DEZEMBRO!I41</f>
        <v>46361</v>
      </c>
      <c r="I898" s="34" t="str">
        <f>DEZEMBRO!O41</f>
        <v>DESPESAS</v>
      </c>
      <c r="J898">
        <f t="shared" si="92"/>
        <v>4</v>
      </c>
      <c r="K898">
        <f t="shared" si="93"/>
        <v>12</v>
      </c>
      <c r="L898" t="str">
        <f t="shared" si="94"/>
        <v>DEC</v>
      </c>
      <c r="M898">
        <f t="shared" si="95"/>
        <v>5</v>
      </c>
      <c r="N898">
        <f t="shared" si="96"/>
        <v>12</v>
      </c>
      <c r="O898" t="str">
        <f t="shared" si="98"/>
        <v>DEC</v>
      </c>
      <c r="P898" t="str">
        <f t="shared" si="97"/>
        <v>PAGO</v>
      </c>
    </row>
    <row r="899" spans="3:16" ht="30" x14ac:dyDescent="0.25">
      <c r="C899" s="35">
        <f>DEZEMBRO!C42</f>
        <v>46361</v>
      </c>
      <c r="D899" s="35" t="str">
        <f>DEZEMBRO!D42</f>
        <v>DESPESAS COM PRODUTOS</v>
      </c>
      <c r="E899" s="35" t="str">
        <f>DEZEMBRO!E42</f>
        <v>-</v>
      </c>
      <c r="F899" s="67" t="str">
        <f>DEZEMBRO!G42</f>
        <v>GOLF 18</v>
      </c>
      <c r="G899" s="68">
        <f>DEZEMBRO!H42</f>
        <v>0</v>
      </c>
      <c r="H899" s="37">
        <f>DEZEMBRO!I42</f>
        <v>46362</v>
      </c>
      <c r="I899" s="34" t="str">
        <f>DEZEMBRO!O42</f>
        <v>DESPESAS</v>
      </c>
      <c r="J899">
        <f t="shared" si="92"/>
        <v>5</v>
      </c>
      <c r="K899">
        <f t="shared" si="93"/>
        <v>12</v>
      </c>
      <c r="L899" t="str">
        <f t="shared" si="94"/>
        <v>DEC</v>
      </c>
      <c r="M899">
        <f t="shared" si="95"/>
        <v>6</v>
      </c>
      <c r="N899">
        <f t="shared" si="96"/>
        <v>12</v>
      </c>
      <c r="O899" t="str">
        <f t="shared" si="98"/>
        <v>DEC</v>
      </c>
      <c r="P899" t="str">
        <f t="shared" si="97"/>
        <v>PAGO</v>
      </c>
    </row>
    <row r="900" spans="3:16" ht="30" x14ac:dyDescent="0.25">
      <c r="C900" s="35">
        <f>DEZEMBRO!C43</f>
        <v>46362</v>
      </c>
      <c r="D900" s="35" t="str">
        <f>DEZEMBRO!D43</f>
        <v>DESPESAS COM PRODUTOS</v>
      </c>
      <c r="E900" s="35" t="str">
        <f>DEZEMBRO!E43</f>
        <v>-</v>
      </c>
      <c r="F900" s="67" t="str">
        <f>DEZEMBRO!G43</f>
        <v>GOLF 19</v>
      </c>
      <c r="G900" s="68">
        <f>DEZEMBRO!H43</f>
        <v>0</v>
      </c>
      <c r="H900" s="37">
        <f>DEZEMBRO!I43</f>
        <v>46363</v>
      </c>
      <c r="I900" s="34" t="str">
        <f>DEZEMBRO!O43</f>
        <v>DESPESAS</v>
      </c>
      <c r="J900">
        <f t="shared" si="92"/>
        <v>6</v>
      </c>
      <c r="K900">
        <f t="shared" si="93"/>
        <v>12</v>
      </c>
      <c r="L900" t="str">
        <f t="shared" si="94"/>
        <v>DEC</v>
      </c>
      <c r="M900">
        <f t="shared" si="95"/>
        <v>7</v>
      </c>
      <c r="N900">
        <f t="shared" si="96"/>
        <v>12</v>
      </c>
      <c r="O900" t="str">
        <f t="shared" si="98"/>
        <v>DEC</v>
      </c>
      <c r="P900" t="str">
        <f t="shared" si="97"/>
        <v>PAGO</v>
      </c>
    </row>
    <row r="901" spans="3:16" ht="30" x14ac:dyDescent="0.25">
      <c r="C901" s="35">
        <f>DEZEMBRO!C44</f>
        <v>46363</v>
      </c>
      <c r="D901" s="35" t="str">
        <f>DEZEMBRO!D44</f>
        <v>DESPESAS COM PRODUTOS</v>
      </c>
      <c r="E901" s="35" t="str">
        <f>DEZEMBRO!E44</f>
        <v>-</v>
      </c>
      <c r="F901" s="67" t="str">
        <f>DEZEMBRO!G44</f>
        <v>GOLF 20</v>
      </c>
      <c r="G901" s="68">
        <f>DEZEMBRO!H44</f>
        <v>0</v>
      </c>
      <c r="H901" s="37">
        <f>DEZEMBRO!I44</f>
        <v>46364</v>
      </c>
      <c r="I901" s="34" t="str">
        <f>DEZEMBRO!O44</f>
        <v>DESPESAS</v>
      </c>
      <c r="J901">
        <f t="shared" si="92"/>
        <v>7</v>
      </c>
      <c r="K901">
        <f t="shared" si="93"/>
        <v>12</v>
      </c>
      <c r="L901" t="str">
        <f t="shared" si="94"/>
        <v>DEC</v>
      </c>
      <c r="M901">
        <f t="shared" si="95"/>
        <v>8</v>
      </c>
      <c r="N901">
        <f t="shared" si="96"/>
        <v>12</v>
      </c>
      <c r="O901" t="str">
        <f t="shared" si="98"/>
        <v>DEC</v>
      </c>
      <c r="P901" t="str">
        <f t="shared" si="97"/>
        <v>PAGO</v>
      </c>
    </row>
    <row r="902" spans="3:16" ht="30" x14ac:dyDescent="0.25">
      <c r="C902" s="35">
        <f>DEZEMBRO!C45</f>
        <v>46364</v>
      </c>
      <c r="D902" s="35" t="str">
        <f>DEZEMBRO!D45</f>
        <v>DESPESAS COM PRODUTOS</v>
      </c>
      <c r="E902" s="35" t="str">
        <f>DEZEMBRO!E45</f>
        <v>-</v>
      </c>
      <c r="F902" s="67" t="str">
        <f>DEZEMBRO!G45</f>
        <v>GOLF 21</v>
      </c>
      <c r="G902" s="68">
        <f>DEZEMBRO!H45</f>
        <v>0</v>
      </c>
      <c r="H902" s="37">
        <f>DEZEMBRO!I45</f>
        <v>46365</v>
      </c>
      <c r="I902" s="34" t="str">
        <f>DEZEMBRO!O45</f>
        <v>DESPESAS</v>
      </c>
      <c r="J902">
        <f t="shared" si="92"/>
        <v>8</v>
      </c>
      <c r="K902">
        <f t="shared" si="93"/>
        <v>12</v>
      </c>
      <c r="L902" t="str">
        <f t="shared" si="94"/>
        <v>DEC</v>
      </c>
      <c r="M902">
        <f t="shared" si="95"/>
        <v>9</v>
      </c>
      <c r="N902">
        <f t="shared" si="96"/>
        <v>12</v>
      </c>
      <c r="O902" t="str">
        <f t="shared" si="98"/>
        <v>DEC</v>
      </c>
      <c r="P902" t="str">
        <f t="shared" si="97"/>
        <v>PAGO</v>
      </c>
    </row>
    <row r="903" spans="3:16" ht="30" x14ac:dyDescent="0.25">
      <c r="C903" s="35">
        <f>DEZEMBRO!C46</f>
        <v>46365</v>
      </c>
      <c r="D903" s="35" t="str">
        <f>DEZEMBRO!D46</f>
        <v>DESPESAS COM PRODUTOS</v>
      </c>
      <c r="E903" s="35" t="str">
        <f>DEZEMBRO!E46</f>
        <v>-</v>
      </c>
      <c r="F903" s="67" t="str">
        <f>DEZEMBRO!G46</f>
        <v>GOLF 22</v>
      </c>
      <c r="G903" s="68">
        <f>DEZEMBRO!H46</f>
        <v>0</v>
      </c>
      <c r="H903" s="37">
        <f>DEZEMBRO!I46</f>
        <v>46366</v>
      </c>
      <c r="I903" s="34" t="str">
        <f>DEZEMBRO!O46</f>
        <v>DESPESAS</v>
      </c>
      <c r="J903">
        <f t="shared" ref="J903:J941" si="99">DAY(C903)</f>
        <v>9</v>
      </c>
      <c r="K903">
        <f t="shared" ref="K903:K941" si="100">IF(C903 = 0, " ",MONTH(C903))</f>
        <v>12</v>
      </c>
      <c r="L903" t="str">
        <f t="shared" ref="L903:L941" si="101">IFERROR(VLOOKUP(K903,$R$6:$S$17,2),"")</f>
        <v>DEC</v>
      </c>
      <c r="M903">
        <f t="shared" ref="M903:M941" si="102">DAY(H903)</f>
        <v>10</v>
      </c>
      <c r="N903">
        <f t="shared" ref="N903:N941" si="103">IF(H903 = 0, " ",MONTH(H903))</f>
        <v>12</v>
      </c>
      <c r="O903" t="str">
        <f t="shared" si="98"/>
        <v>DEC</v>
      </c>
      <c r="P903" t="str">
        <f t="shared" ref="P903:P941" si="104">IF(H903=0,"NAO PAGO","PAGO")</f>
        <v>PAGO</v>
      </c>
    </row>
    <row r="904" spans="3:16" ht="30" x14ac:dyDescent="0.25">
      <c r="C904" s="35">
        <f>DEZEMBRO!C47</f>
        <v>46366</v>
      </c>
      <c r="D904" s="35" t="str">
        <f>DEZEMBRO!D47</f>
        <v>DESPESAS COM PRODUTOS</v>
      </c>
      <c r="E904" s="35" t="str">
        <f>DEZEMBRO!E47</f>
        <v>-</v>
      </c>
      <c r="F904" s="67" t="str">
        <f>DEZEMBRO!G47</f>
        <v>GOLF 23</v>
      </c>
      <c r="G904" s="68">
        <f>DEZEMBRO!H47</f>
        <v>0</v>
      </c>
      <c r="H904" s="37">
        <f>DEZEMBRO!I47</f>
        <v>46367</v>
      </c>
      <c r="I904" s="34" t="str">
        <f>DEZEMBRO!O47</f>
        <v>DESPESAS</v>
      </c>
      <c r="J904">
        <f t="shared" si="99"/>
        <v>10</v>
      </c>
      <c r="K904">
        <f t="shared" si="100"/>
        <v>12</v>
      </c>
      <c r="L904" t="str">
        <f t="shared" si="101"/>
        <v>DEC</v>
      </c>
      <c r="M904">
        <f t="shared" si="102"/>
        <v>11</v>
      </c>
      <c r="N904">
        <f t="shared" si="103"/>
        <v>12</v>
      </c>
      <c r="O904" t="str">
        <f t="shared" si="98"/>
        <v>DEC</v>
      </c>
      <c r="P904" t="str">
        <f t="shared" si="104"/>
        <v>PAGO</v>
      </c>
    </row>
    <row r="905" spans="3:16" ht="30" x14ac:dyDescent="0.25">
      <c r="C905" s="35">
        <f>DEZEMBRO!C48</f>
        <v>46367</v>
      </c>
      <c r="D905" s="35" t="str">
        <f>DEZEMBRO!D48</f>
        <v>DESPESAS COM PRODUTOS</v>
      </c>
      <c r="E905" s="35" t="str">
        <f>DEZEMBRO!E48</f>
        <v>-</v>
      </c>
      <c r="F905" s="67" t="str">
        <f>DEZEMBRO!G48</f>
        <v>GOLF 24</v>
      </c>
      <c r="G905" s="68">
        <f>DEZEMBRO!H48</f>
        <v>0</v>
      </c>
      <c r="H905" s="37">
        <f>DEZEMBRO!I48</f>
        <v>46368</v>
      </c>
      <c r="I905" s="34" t="str">
        <f>DEZEMBRO!O48</f>
        <v>DESPESAS</v>
      </c>
      <c r="J905">
        <f t="shared" si="99"/>
        <v>11</v>
      </c>
      <c r="K905">
        <f t="shared" si="100"/>
        <v>12</v>
      </c>
      <c r="L905" t="str">
        <f t="shared" si="101"/>
        <v>DEC</v>
      </c>
      <c r="M905">
        <f t="shared" si="102"/>
        <v>12</v>
      </c>
      <c r="N905">
        <f t="shared" si="103"/>
        <v>12</v>
      </c>
      <c r="O905" t="str">
        <f t="shared" si="98"/>
        <v>DEC</v>
      </c>
      <c r="P905" t="str">
        <f t="shared" si="104"/>
        <v>PAGO</v>
      </c>
    </row>
    <row r="906" spans="3:16" ht="30" x14ac:dyDescent="0.25">
      <c r="C906" s="35">
        <f>DEZEMBRO!C49</f>
        <v>46368</v>
      </c>
      <c r="D906" s="35" t="str">
        <f>DEZEMBRO!D49</f>
        <v>DESPESAS COM PRODUTOS</v>
      </c>
      <c r="E906" s="35" t="str">
        <f>DEZEMBRO!E49</f>
        <v>-</v>
      </c>
      <c r="F906" s="67" t="str">
        <f>DEZEMBRO!G49</f>
        <v>GOLF 25</v>
      </c>
      <c r="G906" s="68">
        <f>DEZEMBRO!H49</f>
        <v>0</v>
      </c>
      <c r="H906" s="37">
        <f>DEZEMBRO!I49</f>
        <v>46369</v>
      </c>
      <c r="I906" s="34" t="str">
        <f>DEZEMBRO!O49</f>
        <v>DESPESAS</v>
      </c>
      <c r="J906">
        <f t="shared" si="99"/>
        <v>12</v>
      </c>
      <c r="K906">
        <f t="shared" si="100"/>
        <v>12</v>
      </c>
      <c r="L906" t="str">
        <f t="shared" si="101"/>
        <v>DEC</v>
      </c>
      <c r="M906">
        <f t="shared" si="102"/>
        <v>13</v>
      </c>
      <c r="N906">
        <f t="shared" si="103"/>
        <v>12</v>
      </c>
      <c r="O906" t="str">
        <f t="shared" si="98"/>
        <v>DEC</v>
      </c>
      <c r="P906" t="str">
        <f t="shared" si="104"/>
        <v>PAGO</v>
      </c>
    </row>
    <row r="907" spans="3:16" ht="30" x14ac:dyDescent="0.25">
      <c r="C907" s="35">
        <f>DEZEMBRO!C50</f>
        <v>46369</v>
      </c>
      <c r="D907" s="35" t="str">
        <f>DEZEMBRO!D50</f>
        <v>DESPESAS COM PRODUTOS</v>
      </c>
      <c r="E907" s="35" t="str">
        <f>DEZEMBRO!E50</f>
        <v>-</v>
      </c>
      <c r="F907" s="67" t="str">
        <f>DEZEMBRO!G50</f>
        <v>GOLF 26</v>
      </c>
      <c r="G907" s="68">
        <f>DEZEMBRO!H50</f>
        <v>0</v>
      </c>
      <c r="H907" s="37">
        <f>DEZEMBRO!I50</f>
        <v>46370</v>
      </c>
      <c r="I907" s="34" t="str">
        <f>DEZEMBRO!O50</f>
        <v>DESPESAS</v>
      </c>
      <c r="J907">
        <f t="shared" si="99"/>
        <v>13</v>
      </c>
      <c r="K907">
        <f t="shared" si="100"/>
        <v>12</v>
      </c>
      <c r="L907" t="str">
        <f t="shared" si="101"/>
        <v>DEC</v>
      </c>
      <c r="M907">
        <f t="shared" si="102"/>
        <v>14</v>
      </c>
      <c r="N907">
        <f t="shared" si="103"/>
        <v>12</v>
      </c>
      <c r="O907" t="str">
        <f t="shared" si="98"/>
        <v>DEC</v>
      </c>
      <c r="P907" t="str">
        <f t="shared" si="104"/>
        <v>PAGO</v>
      </c>
    </row>
    <row r="908" spans="3:16" ht="30" x14ac:dyDescent="0.25">
      <c r="C908" s="35">
        <f>DEZEMBRO!C51</f>
        <v>46370</v>
      </c>
      <c r="D908" s="35" t="str">
        <f>DEZEMBRO!D51</f>
        <v>DESPESAS COM PRODUTOS</v>
      </c>
      <c r="E908" s="35" t="str">
        <f>DEZEMBRO!E51</f>
        <v>-</v>
      </c>
      <c r="F908" s="67" t="str">
        <f>DEZEMBRO!G51</f>
        <v>GOLF 27</v>
      </c>
      <c r="G908" s="68">
        <f>DEZEMBRO!H51</f>
        <v>0</v>
      </c>
      <c r="H908" s="37">
        <f>DEZEMBRO!I51</f>
        <v>46371</v>
      </c>
      <c r="I908" s="34" t="str">
        <f>DEZEMBRO!O51</f>
        <v>DESPESAS</v>
      </c>
      <c r="J908">
        <f t="shared" si="99"/>
        <v>14</v>
      </c>
      <c r="K908">
        <f t="shared" si="100"/>
        <v>12</v>
      </c>
      <c r="L908" t="str">
        <f t="shared" si="101"/>
        <v>DEC</v>
      </c>
      <c r="M908">
        <f t="shared" si="102"/>
        <v>15</v>
      </c>
      <c r="N908">
        <f t="shared" si="103"/>
        <v>12</v>
      </c>
      <c r="O908" t="str">
        <f t="shared" si="98"/>
        <v>DEC</v>
      </c>
      <c r="P908" t="str">
        <f t="shared" si="104"/>
        <v>PAGO</v>
      </c>
    </row>
    <row r="909" spans="3:16" ht="30" x14ac:dyDescent="0.25">
      <c r="C909" s="35">
        <f>DEZEMBRO!C52</f>
        <v>46371</v>
      </c>
      <c r="D909" s="35" t="str">
        <f>DEZEMBRO!D52</f>
        <v>DESPESAS COM PRODUTOS</v>
      </c>
      <c r="E909" s="35" t="str">
        <f>DEZEMBRO!E52</f>
        <v>-</v>
      </c>
      <c r="F909" s="67" t="str">
        <f>DEZEMBRO!G52</f>
        <v>GOLF 28</v>
      </c>
      <c r="G909" s="68">
        <f>DEZEMBRO!H52</f>
        <v>0</v>
      </c>
      <c r="H909" s="37">
        <f>DEZEMBRO!I52</f>
        <v>46372</v>
      </c>
      <c r="I909" s="34" t="str">
        <f>DEZEMBRO!O52</f>
        <v>DESPESAS</v>
      </c>
      <c r="J909">
        <f t="shared" si="99"/>
        <v>15</v>
      </c>
      <c r="K909">
        <f t="shared" si="100"/>
        <v>12</v>
      </c>
      <c r="L909" t="str">
        <f t="shared" si="101"/>
        <v>DEC</v>
      </c>
      <c r="M909">
        <f t="shared" si="102"/>
        <v>16</v>
      </c>
      <c r="N909">
        <f t="shared" si="103"/>
        <v>12</v>
      </c>
      <c r="O909" t="str">
        <f t="shared" si="98"/>
        <v>DEC</v>
      </c>
      <c r="P909" t="str">
        <f t="shared" si="104"/>
        <v>PAGO</v>
      </c>
    </row>
    <row r="910" spans="3:16" ht="30" x14ac:dyDescent="0.25">
      <c r="C910" s="35">
        <f>DEZEMBRO!C53</f>
        <v>46372</v>
      </c>
      <c r="D910" s="35" t="str">
        <f>DEZEMBRO!D53</f>
        <v>DESPESAS COM PRODUTOS</v>
      </c>
      <c r="E910" s="35" t="str">
        <f>DEZEMBRO!E53</f>
        <v>-</v>
      </c>
      <c r="F910" s="67" t="str">
        <f>DEZEMBRO!G53</f>
        <v>GOLF 29</v>
      </c>
      <c r="G910" s="68">
        <f>DEZEMBRO!H53</f>
        <v>0</v>
      </c>
      <c r="H910" s="37">
        <f>DEZEMBRO!I53</f>
        <v>46373</v>
      </c>
      <c r="I910" s="34" t="str">
        <f>DEZEMBRO!O53</f>
        <v>DESPESAS</v>
      </c>
      <c r="J910">
        <f t="shared" si="99"/>
        <v>16</v>
      </c>
      <c r="K910">
        <f t="shared" si="100"/>
        <v>12</v>
      </c>
      <c r="L910" t="str">
        <f t="shared" si="101"/>
        <v>DEC</v>
      </c>
      <c r="M910">
        <f t="shared" si="102"/>
        <v>17</v>
      </c>
      <c r="N910">
        <f t="shared" si="103"/>
        <v>12</v>
      </c>
      <c r="O910" t="str">
        <f t="shared" si="98"/>
        <v>DEC</v>
      </c>
      <c r="P910" t="str">
        <f t="shared" si="104"/>
        <v>PAGO</v>
      </c>
    </row>
    <row r="911" spans="3:16" ht="30" x14ac:dyDescent="0.25">
      <c r="C911" s="35">
        <f>DEZEMBRO!C54</f>
        <v>46373</v>
      </c>
      <c r="D911" s="35" t="str">
        <f>DEZEMBRO!D54</f>
        <v>DESPESAS COM PRODUTOS</v>
      </c>
      <c r="E911" s="35" t="str">
        <f>DEZEMBRO!E54</f>
        <v>-</v>
      </c>
      <c r="F911" s="67" t="str">
        <f>DEZEMBRO!G54</f>
        <v>GOLF 30</v>
      </c>
      <c r="G911" s="68">
        <f>DEZEMBRO!H54</f>
        <v>0</v>
      </c>
      <c r="H911" s="37">
        <f>DEZEMBRO!I54</f>
        <v>46374</v>
      </c>
      <c r="I911" s="34" t="str">
        <f>DEZEMBRO!O54</f>
        <v>DESPESAS</v>
      </c>
      <c r="J911">
        <f t="shared" si="99"/>
        <v>17</v>
      </c>
      <c r="K911">
        <f t="shared" si="100"/>
        <v>12</v>
      </c>
      <c r="L911" t="str">
        <f t="shared" si="101"/>
        <v>DEC</v>
      </c>
      <c r="M911">
        <f t="shared" si="102"/>
        <v>18</v>
      </c>
      <c r="N911">
        <f t="shared" si="103"/>
        <v>12</v>
      </c>
      <c r="O911" t="str">
        <f t="shared" si="98"/>
        <v>DEC</v>
      </c>
      <c r="P911" t="str">
        <f t="shared" si="104"/>
        <v>PAGO</v>
      </c>
    </row>
    <row r="912" spans="3:16" ht="30" x14ac:dyDescent="0.25">
      <c r="C912" s="35">
        <f>DEZEMBRO!C55</f>
        <v>46374</v>
      </c>
      <c r="D912" s="35" t="str">
        <f>DEZEMBRO!D55</f>
        <v>DESPESAS COM PRODUTOS</v>
      </c>
      <c r="E912" s="35" t="str">
        <f>DEZEMBRO!E55</f>
        <v>-</v>
      </c>
      <c r="F912" s="67" t="str">
        <f>DEZEMBRO!G55</f>
        <v>GOLF 31</v>
      </c>
      <c r="G912" s="68">
        <f>DEZEMBRO!H55</f>
        <v>0</v>
      </c>
      <c r="H912" s="37">
        <f>DEZEMBRO!I55</f>
        <v>46375</v>
      </c>
      <c r="I912" s="34" t="str">
        <f>DEZEMBRO!O55</f>
        <v>DESPESAS</v>
      </c>
      <c r="J912">
        <f t="shared" si="99"/>
        <v>18</v>
      </c>
      <c r="K912">
        <f t="shared" si="100"/>
        <v>12</v>
      </c>
      <c r="L912" t="str">
        <f t="shared" si="101"/>
        <v>DEC</v>
      </c>
      <c r="M912">
        <f t="shared" si="102"/>
        <v>19</v>
      </c>
      <c r="N912">
        <f t="shared" si="103"/>
        <v>12</v>
      </c>
      <c r="O912" t="str">
        <f t="shared" si="98"/>
        <v>DEC</v>
      </c>
      <c r="P912" t="str">
        <f t="shared" si="104"/>
        <v>PAGO</v>
      </c>
    </row>
    <row r="913" spans="3:16" ht="30" x14ac:dyDescent="0.25">
      <c r="C913" s="35">
        <f>DEZEMBRO!C56</f>
        <v>46375</v>
      </c>
      <c r="D913" s="35" t="str">
        <f>DEZEMBRO!D56</f>
        <v>DESPESAS COM PRODUTOS</v>
      </c>
      <c r="E913" s="35" t="str">
        <f>DEZEMBRO!E56</f>
        <v>-</v>
      </c>
      <c r="F913" s="67" t="str">
        <f>DEZEMBRO!G56</f>
        <v>GOLF 32</v>
      </c>
      <c r="G913" s="68">
        <f>DEZEMBRO!H56</f>
        <v>0</v>
      </c>
      <c r="H913" s="37">
        <f>DEZEMBRO!I56</f>
        <v>46376</v>
      </c>
      <c r="I913" s="34" t="str">
        <f>DEZEMBRO!O56</f>
        <v>DESPESAS</v>
      </c>
      <c r="J913">
        <f t="shared" si="99"/>
        <v>19</v>
      </c>
      <c r="K913">
        <f t="shared" si="100"/>
        <v>12</v>
      </c>
      <c r="L913" t="str">
        <f t="shared" si="101"/>
        <v>DEC</v>
      </c>
      <c r="M913">
        <f t="shared" si="102"/>
        <v>20</v>
      </c>
      <c r="N913">
        <f t="shared" si="103"/>
        <v>12</v>
      </c>
      <c r="O913" t="str">
        <f t="shared" si="98"/>
        <v>DEC</v>
      </c>
      <c r="P913" t="str">
        <f t="shared" si="104"/>
        <v>PAGO</v>
      </c>
    </row>
    <row r="914" spans="3:16" ht="30" x14ac:dyDescent="0.25">
      <c r="C914" s="35">
        <f>DEZEMBRO!C57</f>
        <v>46376</v>
      </c>
      <c r="D914" s="35" t="str">
        <f>DEZEMBRO!D57</f>
        <v>DESPESAS COM PRODUTOS</v>
      </c>
      <c r="E914" s="35" t="str">
        <f>DEZEMBRO!E57</f>
        <v>-</v>
      </c>
      <c r="F914" s="67" t="str">
        <f>DEZEMBRO!G57</f>
        <v>GOLF 33</v>
      </c>
      <c r="G914" s="68">
        <f>DEZEMBRO!H57</f>
        <v>0</v>
      </c>
      <c r="H914" s="37">
        <f>DEZEMBRO!I57</f>
        <v>46377</v>
      </c>
      <c r="I914" s="34" t="str">
        <f>DEZEMBRO!O57</f>
        <v>DESPESAS</v>
      </c>
      <c r="J914">
        <f t="shared" si="99"/>
        <v>20</v>
      </c>
      <c r="K914">
        <f t="shared" si="100"/>
        <v>12</v>
      </c>
      <c r="L914" t="str">
        <f t="shared" si="101"/>
        <v>DEC</v>
      </c>
      <c r="M914">
        <f t="shared" si="102"/>
        <v>21</v>
      </c>
      <c r="N914">
        <f t="shared" si="103"/>
        <v>12</v>
      </c>
      <c r="O914" t="str">
        <f t="shared" si="98"/>
        <v>DEC</v>
      </c>
      <c r="P914" t="str">
        <f t="shared" si="104"/>
        <v>PAGO</v>
      </c>
    </row>
    <row r="915" spans="3:16" ht="30" x14ac:dyDescent="0.25">
      <c r="C915" s="35">
        <f>DEZEMBRO!C58</f>
        <v>46377</v>
      </c>
      <c r="D915" s="35" t="str">
        <f>DEZEMBRO!D58</f>
        <v>DESPESAS COM PRODUTOS</v>
      </c>
      <c r="E915" s="35" t="str">
        <f>DEZEMBRO!E58</f>
        <v>-</v>
      </c>
      <c r="F915" s="67" t="str">
        <f>DEZEMBRO!G58</f>
        <v>GOLF 34</v>
      </c>
      <c r="G915" s="68">
        <f>DEZEMBRO!H58</f>
        <v>0</v>
      </c>
      <c r="H915" s="37">
        <f>DEZEMBRO!I58</f>
        <v>46378</v>
      </c>
      <c r="I915" s="34" t="str">
        <f>DEZEMBRO!O58</f>
        <v>DESPESAS</v>
      </c>
      <c r="J915">
        <f t="shared" si="99"/>
        <v>21</v>
      </c>
      <c r="K915">
        <f t="shared" si="100"/>
        <v>12</v>
      </c>
      <c r="L915" t="str">
        <f t="shared" si="101"/>
        <v>DEC</v>
      </c>
      <c r="M915">
        <f t="shared" si="102"/>
        <v>22</v>
      </c>
      <c r="N915">
        <f t="shared" si="103"/>
        <v>12</v>
      </c>
      <c r="O915" t="str">
        <f t="shared" si="98"/>
        <v>DEC</v>
      </c>
      <c r="P915" t="str">
        <f t="shared" si="104"/>
        <v>PAGO</v>
      </c>
    </row>
    <row r="916" spans="3:16" ht="30" x14ac:dyDescent="0.25">
      <c r="C916" s="35">
        <f>DEZEMBRO!C59</f>
        <v>46378</v>
      </c>
      <c r="D916" s="35" t="str">
        <f>DEZEMBRO!D59</f>
        <v>DESPESAS COM PRODUTOS</v>
      </c>
      <c r="E916" s="35" t="str">
        <f>DEZEMBRO!E59</f>
        <v>-</v>
      </c>
      <c r="F916" s="67" t="str">
        <f>DEZEMBRO!G59</f>
        <v>GOLF 35</v>
      </c>
      <c r="G916" s="68">
        <f>DEZEMBRO!H59</f>
        <v>0</v>
      </c>
      <c r="H916" s="37">
        <f>DEZEMBRO!I59</f>
        <v>46379</v>
      </c>
      <c r="I916" s="34" t="str">
        <f>DEZEMBRO!O59</f>
        <v>DESPESAS</v>
      </c>
      <c r="J916">
        <f t="shared" si="99"/>
        <v>22</v>
      </c>
      <c r="K916">
        <f t="shared" si="100"/>
        <v>12</v>
      </c>
      <c r="L916" t="str">
        <f t="shared" si="101"/>
        <v>DEC</v>
      </c>
      <c r="M916">
        <f t="shared" si="102"/>
        <v>23</v>
      </c>
      <c r="N916">
        <f t="shared" si="103"/>
        <v>12</v>
      </c>
      <c r="O916" t="str">
        <f t="shared" si="98"/>
        <v>DEC</v>
      </c>
      <c r="P916" t="str">
        <f t="shared" si="104"/>
        <v>PAGO</v>
      </c>
    </row>
    <row r="917" spans="3:16" ht="30" x14ac:dyDescent="0.25">
      <c r="C917" s="35">
        <f>DEZEMBRO!C60</f>
        <v>46379</v>
      </c>
      <c r="D917" s="35" t="str">
        <f>DEZEMBRO!D60</f>
        <v>DESPESAS COM PRODUTOS</v>
      </c>
      <c r="E917" s="35" t="str">
        <f>DEZEMBRO!E60</f>
        <v>-</v>
      </c>
      <c r="F917" s="67" t="str">
        <f>DEZEMBRO!G60</f>
        <v>GOLF 36</v>
      </c>
      <c r="G917" s="68">
        <f>DEZEMBRO!H60</f>
        <v>0</v>
      </c>
      <c r="H917" s="37">
        <f>DEZEMBRO!I60</f>
        <v>46380</v>
      </c>
      <c r="I917" s="34" t="str">
        <f>DEZEMBRO!O60</f>
        <v>DESPESAS</v>
      </c>
      <c r="J917">
        <f t="shared" si="99"/>
        <v>23</v>
      </c>
      <c r="K917">
        <f t="shared" si="100"/>
        <v>12</v>
      </c>
      <c r="L917" t="str">
        <f t="shared" si="101"/>
        <v>DEC</v>
      </c>
      <c r="M917">
        <f t="shared" si="102"/>
        <v>24</v>
      </c>
      <c r="N917">
        <f t="shared" si="103"/>
        <v>12</v>
      </c>
      <c r="O917" t="str">
        <f t="shared" si="98"/>
        <v>DEC</v>
      </c>
      <c r="P917" t="str">
        <f t="shared" si="104"/>
        <v>PAGO</v>
      </c>
    </row>
    <row r="918" spans="3:16" ht="30" x14ac:dyDescent="0.25">
      <c r="C918" s="35">
        <f>DEZEMBRO!C61</f>
        <v>46380</v>
      </c>
      <c r="D918" s="35" t="str">
        <f>DEZEMBRO!D61</f>
        <v>DESPESAS COM PRODUTOS</v>
      </c>
      <c r="E918" s="35" t="str">
        <f>DEZEMBRO!E61</f>
        <v>-</v>
      </c>
      <c r="F918" s="67" t="str">
        <f>DEZEMBRO!G61</f>
        <v>GOLF 37</v>
      </c>
      <c r="G918" s="68">
        <f>DEZEMBRO!H61</f>
        <v>0</v>
      </c>
      <c r="H918" s="37">
        <f>DEZEMBRO!I61</f>
        <v>46381</v>
      </c>
      <c r="I918" s="34" t="str">
        <f>DEZEMBRO!O61</f>
        <v>DESPESAS</v>
      </c>
      <c r="J918">
        <f t="shared" si="99"/>
        <v>24</v>
      </c>
      <c r="K918">
        <f t="shared" si="100"/>
        <v>12</v>
      </c>
      <c r="L918" t="str">
        <f t="shared" si="101"/>
        <v>DEC</v>
      </c>
      <c r="M918">
        <f t="shared" si="102"/>
        <v>25</v>
      </c>
      <c r="N918">
        <f t="shared" si="103"/>
        <v>12</v>
      </c>
      <c r="O918" t="str">
        <f t="shared" si="98"/>
        <v>DEC</v>
      </c>
      <c r="P918" t="str">
        <f t="shared" si="104"/>
        <v>PAGO</v>
      </c>
    </row>
    <row r="919" spans="3:16" ht="30" x14ac:dyDescent="0.25">
      <c r="C919" s="35">
        <f>DEZEMBRO!C62</f>
        <v>46381</v>
      </c>
      <c r="D919" s="35" t="str">
        <f>DEZEMBRO!D62</f>
        <v>DESPESAS COM PRODUTOS</v>
      </c>
      <c r="E919" s="35" t="str">
        <f>DEZEMBRO!E62</f>
        <v>-</v>
      </c>
      <c r="F919" s="67" t="str">
        <f>DEZEMBRO!G62</f>
        <v>GOLF 38</v>
      </c>
      <c r="G919" s="68">
        <f>DEZEMBRO!H62</f>
        <v>0</v>
      </c>
      <c r="H919" s="37">
        <f>DEZEMBRO!I62</f>
        <v>46382</v>
      </c>
      <c r="I919" s="34" t="str">
        <f>DEZEMBRO!O62</f>
        <v>DESPESAS</v>
      </c>
      <c r="J919">
        <f t="shared" si="99"/>
        <v>25</v>
      </c>
      <c r="K919">
        <f t="shared" si="100"/>
        <v>12</v>
      </c>
      <c r="L919" t="str">
        <f t="shared" si="101"/>
        <v>DEC</v>
      </c>
      <c r="M919">
        <f t="shared" si="102"/>
        <v>26</v>
      </c>
      <c r="N919">
        <f t="shared" si="103"/>
        <v>12</v>
      </c>
      <c r="O919" t="str">
        <f t="shared" ref="O919:O941" si="105">IFERROR(VLOOKUP(N919,$R$6:$S$17,2),"")</f>
        <v>DEC</v>
      </c>
      <c r="P919" t="str">
        <f t="shared" si="104"/>
        <v>PAGO</v>
      </c>
    </row>
    <row r="920" spans="3:16" ht="30" x14ac:dyDescent="0.25">
      <c r="C920" s="35">
        <f>DEZEMBRO!C63</f>
        <v>46382</v>
      </c>
      <c r="D920" s="35" t="str">
        <f>DEZEMBRO!D63</f>
        <v>DESPESAS COM PRODUTOS</v>
      </c>
      <c r="E920" s="35" t="str">
        <f>DEZEMBRO!E63</f>
        <v>-</v>
      </c>
      <c r="F920" s="67" t="str">
        <f>DEZEMBRO!G63</f>
        <v>GOLF 39</v>
      </c>
      <c r="G920" s="68">
        <f>DEZEMBRO!H63</f>
        <v>0</v>
      </c>
      <c r="H920" s="37">
        <f>DEZEMBRO!I63</f>
        <v>46383</v>
      </c>
      <c r="I920" s="34" t="str">
        <f>DEZEMBRO!O63</f>
        <v>DESPESAS</v>
      </c>
      <c r="J920">
        <f t="shared" si="99"/>
        <v>26</v>
      </c>
      <c r="K920">
        <f t="shared" si="100"/>
        <v>12</v>
      </c>
      <c r="L920" t="str">
        <f t="shared" si="101"/>
        <v>DEC</v>
      </c>
      <c r="M920">
        <f t="shared" si="102"/>
        <v>27</v>
      </c>
      <c r="N920">
        <f t="shared" si="103"/>
        <v>12</v>
      </c>
      <c r="O920" t="str">
        <f t="shared" si="105"/>
        <v>DEC</v>
      </c>
      <c r="P920" t="str">
        <f t="shared" si="104"/>
        <v>PAGO</v>
      </c>
    </row>
    <row r="921" spans="3:16" ht="30" x14ac:dyDescent="0.25">
      <c r="C921" s="35">
        <f>DEZEMBRO!C64</f>
        <v>46383</v>
      </c>
      <c r="D921" s="35" t="str">
        <f>DEZEMBRO!D64</f>
        <v>DESPESAS COM PRODUTOS</v>
      </c>
      <c r="E921" s="35" t="str">
        <f>DEZEMBRO!E64</f>
        <v>-</v>
      </c>
      <c r="F921" s="67" t="str">
        <f>DEZEMBRO!G64</f>
        <v>GOLF 40</v>
      </c>
      <c r="G921" s="68">
        <f>DEZEMBRO!H64</f>
        <v>0</v>
      </c>
      <c r="H921" s="37">
        <f>DEZEMBRO!I64</f>
        <v>46384</v>
      </c>
      <c r="I921" s="34" t="str">
        <f>DEZEMBRO!O64</f>
        <v>DESPESAS</v>
      </c>
      <c r="J921">
        <f t="shared" si="99"/>
        <v>27</v>
      </c>
      <c r="K921">
        <f t="shared" si="100"/>
        <v>12</v>
      </c>
      <c r="L921" t="str">
        <f t="shared" si="101"/>
        <v>DEC</v>
      </c>
      <c r="M921">
        <f t="shared" si="102"/>
        <v>28</v>
      </c>
      <c r="N921">
        <f t="shared" si="103"/>
        <v>12</v>
      </c>
      <c r="O921" t="str">
        <f t="shared" si="105"/>
        <v>DEC</v>
      </c>
      <c r="P921" t="str">
        <f t="shared" si="104"/>
        <v>PAGO</v>
      </c>
    </row>
    <row r="922" spans="3:16" ht="30" x14ac:dyDescent="0.25">
      <c r="C922" s="35">
        <f>DEZEMBRO!C65</f>
        <v>46384</v>
      </c>
      <c r="D922" s="35" t="str">
        <f>DEZEMBRO!D65</f>
        <v>DESPESAS COM PRODUTOS</v>
      </c>
      <c r="E922" s="35" t="str">
        <f>DEZEMBRO!E65</f>
        <v>-</v>
      </c>
      <c r="F922" s="67" t="str">
        <f>DEZEMBRO!G65</f>
        <v>GOLF 41</v>
      </c>
      <c r="G922" s="68">
        <f>DEZEMBRO!H65</f>
        <v>0</v>
      </c>
      <c r="H922" s="37">
        <f>DEZEMBRO!I65</f>
        <v>46385</v>
      </c>
      <c r="I922" s="34" t="str">
        <f>DEZEMBRO!O65</f>
        <v>DESPESAS</v>
      </c>
      <c r="J922">
        <f t="shared" si="99"/>
        <v>28</v>
      </c>
      <c r="K922">
        <f t="shared" si="100"/>
        <v>12</v>
      </c>
      <c r="L922" t="str">
        <f t="shared" si="101"/>
        <v>DEC</v>
      </c>
      <c r="M922">
        <f t="shared" si="102"/>
        <v>29</v>
      </c>
      <c r="N922">
        <f t="shared" si="103"/>
        <v>12</v>
      </c>
      <c r="O922" t="str">
        <f t="shared" si="105"/>
        <v>DEC</v>
      </c>
      <c r="P922" t="str">
        <f t="shared" si="104"/>
        <v>PAGO</v>
      </c>
    </row>
    <row r="923" spans="3:16" ht="30" x14ac:dyDescent="0.25">
      <c r="C923" s="35">
        <f>DEZEMBRO!C66</f>
        <v>46385</v>
      </c>
      <c r="D923" s="35" t="str">
        <f>DEZEMBRO!D66</f>
        <v>DESPESAS COM PRODUTOS</v>
      </c>
      <c r="E923" s="35" t="str">
        <f>DEZEMBRO!E66</f>
        <v>-</v>
      </c>
      <c r="F923" s="67" t="str">
        <f>DEZEMBRO!G66</f>
        <v>GOLF 42</v>
      </c>
      <c r="G923" s="68">
        <f>DEZEMBRO!H66</f>
        <v>0</v>
      </c>
      <c r="H923" s="37">
        <f>DEZEMBRO!I66</f>
        <v>46356</v>
      </c>
      <c r="I923" s="34" t="str">
        <f>DEZEMBRO!O66</f>
        <v>DESPESAS</v>
      </c>
      <c r="J923">
        <f t="shared" si="99"/>
        <v>29</v>
      </c>
      <c r="K923">
        <f t="shared" si="100"/>
        <v>12</v>
      </c>
      <c r="L923" t="str">
        <f t="shared" si="101"/>
        <v>DEC</v>
      </c>
      <c r="M923">
        <f t="shared" si="102"/>
        <v>30</v>
      </c>
      <c r="N923">
        <f t="shared" si="103"/>
        <v>11</v>
      </c>
      <c r="O923" t="str">
        <f t="shared" si="105"/>
        <v>NOV</v>
      </c>
      <c r="P923" t="str">
        <f t="shared" si="104"/>
        <v>PAGO</v>
      </c>
    </row>
    <row r="924" spans="3:16" ht="30" x14ac:dyDescent="0.25">
      <c r="C924" s="35">
        <f>DEZEMBRO!C67</f>
        <v>46386</v>
      </c>
      <c r="D924" s="35" t="str">
        <f>DEZEMBRO!D67</f>
        <v>DESPESAS COM PRODUTOS</v>
      </c>
      <c r="E924" s="35" t="str">
        <f>DEZEMBRO!E67</f>
        <v>-</v>
      </c>
      <c r="F924" s="67" t="str">
        <f>DEZEMBRO!G67</f>
        <v>GOLF 43</v>
      </c>
      <c r="G924" s="68">
        <f>DEZEMBRO!H67</f>
        <v>0</v>
      </c>
      <c r="H924" s="37">
        <f>DEZEMBRO!I67</f>
        <v>46357</v>
      </c>
      <c r="I924" s="34" t="str">
        <f>DEZEMBRO!O67</f>
        <v>DESPESAS</v>
      </c>
      <c r="J924">
        <f t="shared" si="99"/>
        <v>30</v>
      </c>
      <c r="K924">
        <f t="shared" si="100"/>
        <v>12</v>
      </c>
      <c r="L924" t="str">
        <f t="shared" si="101"/>
        <v>DEC</v>
      </c>
      <c r="M924">
        <f t="shared" si="102"/>
        <v>1</v>
      </c>
      <c r="N924">
        <f t="shared" si="103"/>
        <v>12</v>
      </c>
      <c r="O924" t="str">
        <f t="shared" si="105"/>
        <v>DEC</v>
      </c>
      <c r="P924" t="str">
        <f t="shared" si="104"/>
        <v>PAGO</v>
      </c>
    </row>
    <row r="925" spans="3:16" ht="30" x14ac:dyDescent="0.25">
      <c r="C925" s="35">
        <f>DEZEMBRO!C68</f>
        <v>46387</v>
      </c>
      <c r="D925" s="35" t="str">
        <f>DEZEMBRO!D68</f>
        <v>DESPESAS COM PRODUTOS</v>
      </c>
      <c r="E925" s="35" t="str">
        <f>DEZEMBRO!E68</f>
        <v>-</v>
      </c>
      <c r="F925" s="67" t="str">
        <f>DEZEMBRO!G68</f>
        <v>GOLF 44</v>
      </c>
      <c r="G925" s="68">
        <f>DEZEMBRO!H68</f>
        <v>0</v>
      </c>
      <c r="H925" s="37">
        <f>DEZEMBRO!I68</f>
        <v>46358</v>
      </c>
      <c r="I925" s="34" t="str">
        <f>DEZEMBRO!O68</f>
        <v>DESPESAS</v>
      </c>
      <c r="J925">
        <f t="shared" si="99"/>
        <v>31</v>
      </c>
      <c r="K925">
        <f t="shared" si="100"/>
        <v>12</v>
      </c>
      <c r="L925" t="str">
        <f t="shared" si="101"/>
        <v>DEC</v>
      </c>
      <c r="M925">
        <f t="shared" si="102"/>
        <v>2</v>
      </c>
      <c r="N925">
        <f t="shared" si="103"/>
        <v>12</v>
      </c>
      <c r="O925" t="str">
        <f t="shared" si="105"/>
        <v>DEC</v>
      </c>
      <c r="P925" t="str">
        <f t="shared" si="104"/>
        <v>PAGO</v>
      </c>
    </row>
    <row r="926" spans="3:16" ht="30" x14ac:dyDescent="0.25">
      <c r="C926" s="35">
        <f>DEZEMBRO!C69</f>
        <v>46357</v>
      </c>
      <c r="D926" s="35" t="str">
        <f>DEZEMBRO!D69</f>
        <v>DESPESAS COM PRODUTOS</v>
      </c>
      <c r="E926" s="35" t="str">
        <f>DEZEMBRO!E69</f>
        <v>-</v>
      </c>
      <c r="F926" s="67" t="str">
        <f>DEZEMBRO!G69</f>
        <v>GOLF 45</v>
      </c>
      <c r="G926" s="68">
        <f>DEZEMBRO!H69</f>
        <v>0</v>
      </c>
      <c r="H926" s="37">
        <f>DEZEMBRO!I69</f>
        <v>46359</v>
      </c>
      <c r="I926" s="34" t="str">
        <f>DEZEMBRO!O69</f>
        <v>DESPESAS</v>
      </c>
      <c r="J926">
        <f t="shared" si="99"/>
        <v>1</v>
      </c>
      <c r="K926">
        <f t="shared" si="100"/>
        <v>12</v>
      </c>
      <c r="L926" t="str">
        <f t="shared" si="101"/>
        <v>DEC</v>
      </c>
      <c r="M926">
        <f t="shared" si="102"/>
        <v>3</v>
      </c>
      <c r="N926">
        <f t="shared" si="103"/>
        <v>12</v>
      </c>
      <c r="O926" t="str">
        <f t="shared" si="105"/>
        <v>DEC</v>
      </c>
      <c r="P926" t="str">
        <f t="shared" si="104"/>
        <v>PAGO</v>
      </c>
    </row>
    <row r="927" spans="3:16" ht="30" x14ac:dyDescent="0.25">
      <c r="C927" s="35">
        <f>DEZEMBRO!C70</f>
        <v>46358</v>
      </c>
      <c r="D927" s="35" t="str">
        <f>DEZEMBRO!D70</f>
        <v>DESPESAS COM PRODUTOS</v>
      </c>
      <c r="E927" s="35" t="str">
        <f>DEZEMBRO!E70</f>
        <v>-</v>
      </c>
      <c r="F927" s="67" t="str">
        <f>DEZEMBRO!G70</f>
        <v>GOLF 46</v>
      </c>
      <c r="G927" s="68">
        <f>DEZEMBRO!H70</f>
        <v>0</v>
      </c>
      <c r="H927" s="37">
        <f>DEZEMBRO!I70</f>
        <v>46360</v>
      </c>
      <c r="I927" s="34" t="str">
        <f>DEZEMBRO!O70</f>
        <v>DESPESAS</v>
      </c>
      <c r="J927">
        <f t="shared" si="99"/>
        <v>2</v>
      </c>
      <c r="K927">
        <f t="shared" si="100"/>
        <v>12</v>
      </c>
      <c r="L927" t="str">
        <f t="shared" si="101"/>
        <v>DEC</v>
      </c>
      <c r="M927">
        <f t="shared" si="102"/>
        <v>4</v>
      </c>
      <c r="N927">
        <f t="shared" si="103"/>
        <v>12</v>
      </c>
      <c r="O927" t="str">
        <f t="shared" si="105"/>
        <v>DEC</v>
      </c>
      <c r="P927" t="str">
        <f t="shared" si="104"/>
        <v>PAGO</v>
      </c>
    </row>
    <row r="928" spans="3:16" ht="30" x14ac:dyDescent="0.25">
      <c r="C928" s="35">
        <f>DEZEMBRO!C71</f>
        <v>46359</v>
      </c>
      <c r="D928" s="35" t="str">
        <f>DEZEMBRO!D71</f>
        <v>DESPESAS COM PRODUTOS</v>
      </c>
      <c r="E928" s="35" t="str">
        <f>DEZEMBRO!E71</f>
        <v>-</v>
      </c>
      <c r="F928" s="67" t="str">
        <f>DEZEMBRO!G71</f>
        <v>GOLF 47</v>
      </c>
      <c r="G928" s="68">
        <f>DEZEMBRO!H71</f>
        <v>0</v>
      </c>
      <c r="H928" s="37">
        <f>DEZEMBRO!I71</f>
        <v>46361</v>
      </c>
      <c r="I928" s="34" t="str">
        <f>DEZEMBRO!O71</f>
        <v>DESPESAS</v>
      </c>
      <c r="J928">
        <f t="shared" si="99"/>
        <v>3</v>
      </c>
      <c r="K928">
        <f t="shared" si="100"/>
        <v>12</v>
      </c>
      <c r="L928" t="str">
        <f t="shared" si="101"/>
        <v>DEC</v>
      </c>
      <c r="M928">
        <f t="shared" si="102"/>
        <v>5</v>
      </c>
      <c r="N928">
        <f t="shared" si="103"/>
        <v>12</v>
      </c>
      <c r="O928" t="str">
        <f t="shared" si="105"/>
        <v>DEC</v>
      </c>
      <c r="P928" t="str">
        <f t="shared" si="104"/>
        <v>PAGO</v>
      </c>
    </row>
    <row r="929" spans="2:16" ht="30" x14ac:dyDescent="0.25">
      <c r="C929" s="35">
        <f>DEZEMBRO!C72</f>
        <v>46360</v>
      </c>
      <c r="D929" s="35" t="str">
        <f>DEZEMBRO!D72</f>
        <v>DESPESAS COM PRODUTOS</v>
      </c>
      <c r="E929" s="35" t="str">
        <f>DEZEMBRO!E72</f>
        <v>-</v>
      </c>
      <c r="F929" s="67" t="str">
        <f>DEZEMBRO!G72</f>
        <v>GOLF 48</v>
      </c>
      <c r="G929" s="68">
        <f>DEZEMBRO!H72</f>
        <v>0</v>
      </c>
      <c r="H929" s="37">
        <f>DEZEMBRO!I72</f>
        <v>46362</v>
      </c>
      <c r="I929" s="34" t="str">
        <f>DEZEMBRO!O72</f>
        <v>DESPESAS</v>
      </c>
      <c r="J929">
        <f t="shared" si="99"/>
        <v>4</v>
      </c>
      <c r="K929">
        <f t="shared" si="100"/>
        <v>12</v>
      </c>
      <c r="L929" t="str">
        <f t="shared" si="101"/>
        <v>DEC</v>
      </c>
      <c r="M929">
        <f t="shared" si="102"/>
        <v>6</v>
      </c>
      <c r="N929">
        <f t="shared" si="103"/>
        <v>12</v>
      </c>
      <c r="O929" t="str">
        <f t="shared" si="105"/>
        <v>DEC</v>
      </c>
      <c r="P929" t="str">
        <f t="shared" si="104"/>
        <v>PAGO</v>
      </c>
    </row>
    <row r="930" spans="2:16" ht="30" x14ac:dyDescent="0.25">
      <c r="C930" s="35">
        <f>DEZEMBRO!C73</f>
        <v>46361</v>
      </c>
      <c r="D930" s="35" t="str">
        <f>DEZEMBRO!D73</f>
        <v>DESPESAS COM PRODUTOS</v>
      </c>
      <c r="E930" s="35" t="str">
        <f>DEZEMBRO!E73</f>
        <v>-</v>
      </c>
      <c r="F930" s="67" t="str">
        <f>DEZEMBRO!G73</f>
        <v>GOLF 49</v>
      </c>
      <c r="G930" s="68">
        <f>DEZEMBRO!H73</f>
        <v>0</v>
      </c>
      <c r="H930" s="37">
        <f>DEZEMBRO!I73</f>
        <v>46363</v>
      </c>
      <c r="I930" s="34" t="str">
        <f>DEZEMBRO!O73</f>
        <v>DESPESAS</v>
      </c>
      <c r="J930">
        <f t="shared" si="99"/>
        <v>5</v>
      </c>
      <c r="K930">
        <f t="shared" si="100"/>
        <v>12</v>
      </c>
      <c r="L930" t="str">
        <f t="shared" si="101"/>
        <v>DEC</v>
      </c>
      <c r="M930">
        <f t="shared" si="102"/>
        <v>7</v>
      </c>
      <c r="N930">
        <f t="shared" si="103"/>
        <v>12</v>
      </c>
      <c r="O930" t="str">
        <f t="shared" si="105"/>
        <v>DEC</v>
      </c>
      <c r="P930" t="str">
        <f t="shared" si="104"/>
        <v>PAGO</v>
      </c>
    </row>
    <row r="931" spans="2:16" ht="30" x14ac:dyDescent="0.25">
      <c r="C931" s="35">
        <f>DEZEMBRO!C74</f>
        <v>46362</v>
      </c>
      <c r="D931" s="35" t="str">
        <f>DEZEMBRO!D74</f>
        <v>DESPESAS COM PRODUTOS</v>
      </c>
      <c r="E931" s="35" t="str">
        <f>DEZEMBRO!E74</f>
        <v>-</v>
      </c>
      <c r="F931" s="67" t="str">
        <f>DEZEMBRO!G74</f>
        <v>GOLF 50</v>
      </c>
      <c r="G931" s="68">
        <f>DEZEMBRO!H74</f>
        <v>0</v>
      </c>
      <c r="H931" s="37">
        <f>DEZEMBRO!I74</f>
        <v>46364</v>
      </c>
      <c r="I931" s="34" t="str">
        <f>DEZEMBRO!O74</f>
        <v>DESPESAS</v>
      </c>
      <c r="J931">
        <f t="shared" si="99"/>
        <v>6</v>
      </c>
      <c r="K931">
        <f t="shared" si="100"/>
        <v>12</v>
      </c>
      <c r="L931" t="str">
        <f t="shared" si="101"/>
        <v>DEC</v>
      </c>
      <c r="M931">
        <f t="shared" si="102"/>
        <v>8</v>
      </c>
      <c r="N931">
        <f t="shared" si="103"/>
        <v>12</v>
      </c>
      <c r="O931" t="str">
        <f t="shared" si="105"/>
        <v>DEC</v>
      </c>
      <c r="P931" t="str">
        <f t="shared" si="104"/>
        <v>PAGO</v>
      </c>
    </row>
    <row r="932" spans="2:16" ht="30" x14ac:dyDescent="0.25">
      <c r="C932" s="35">
        <f>DEZEMBRO!C75</f>
        <v>46363</v>
      </c>
      <c r="D932" s="35" t="str">
        <f>DEZEMBRO!D75</f>
        <v>DESPESAS COM PRODUTOS</v>
      </c>
      <c r="E932" s="35" t="str">
        <f>DEZEMBRO!E75</f>
        <v>-</v>
      </c>
      <c r="F932" s="67" t="str">
        <f>DEZEMBRO!G75</f>
        <v>GOLF 51</v>
      </c>
      <c r="G932" s="68">
        <f>DEZEMBRO!H75</f>
        <v>0</v>
      </c>
      <c r="H932" s="37">
        <f>DEZEMBRO!I75</f>
        <v>46365</v>
      </c>
      <c r="I932" s="34" t="str">
        <f>DEZEMBRO!O75</f>
        <v>DESPESAS</v>
      </c>
      <c r="J932">
        <f t="shared" si="99"/>
        <v>7</v>
      </c>
      <c r="K932">
        <f t="shared" si="100"/>
        <v>12</v>
      </c>
      <c r="L932" t="str">
        <f t="shared" si="101"/>
        <v>DEC</v>
      </c>
      <c r="M932">
        <f t="shared" si="102"/>
        <v>9</v>
      </c>
      <c r="N932">
        <f t="shared" si="103"/>
        <v>12</v>
      </c>
      <c r="O932" t="str">
        <f t="shared" si="105"/>
        <v>DEC</v>
      </c>
      <c r="P932" t="str">
        <f t="shared" si="104"/>
        <v>PAGO</v>
      </c>
    </row>
    <row r="933" spans="2:16" ht="30" x14ac:dyDescent="0.25">
      <c r="C933" s="35">
        <f>DEZEMBRO!C76</f>
        <v>46364</v>
      </c>
      <c r="D933" s="35" t="str">
        <f>DEZEMBRO!D76</f>
        <v>DESPESAS COM PRODUTOS</v>
      </c>
      <c r="E933" s="35" t="str">
        <f>DEZEMBRO!E76</f>
        <v>-</v>
      </c>
      <c r="F933" s="67" t="str">
        <f>DEZEMBRO!G76</f>
        <v>GOLF 52</v>
      </c>
      <c r="G933" s="68">
        <f>DEZEMBRO!H76</f>
        <v>0</v>
      </c>
      <c r="H933" s="37">
        <f>DEZEMBRO!I76</f>
        <v>46366</v>
      </c>
      <c r="I933" s="34" t="str">
        <f>DEZEMBRO!O76</f>
        <v>DESPESAS</v>
      </c>
      <c r="J933">
        <f t="shared" si="99"/>
        <v>8</v>
      </c>
      <c r="K933">
        <f t="shared" si="100"/>
        <v>12</v>
      </c>
      <c r="L933" t="str">
        <f t="shared" si="101"/>
        <v>DEC</v>
      </c>
      <c r="M933">
        <f t="shared" si="102"/>
        <v>10</v>
      </c>
      <c r="N933">
        <f t="shared" si="103"/>
        <v>12</v>
      </c>
      <c r="O933" t="str">
        <f t="shared" si="105"/>
        <v>DEC</v>
      </c>
      <c r="P933" t="str">
        <f t="shared" si="104"/>
        <v>PAGO</v>
      </c>
    </row>
    <row r="934" spans="2:16" ht="30" x14ac:dyDescent="0.25">
      <c r="C934" s="35">
        <f>DEZEMBRO!C77</f>
        <v>46365</v>
      </c>
      <c r="D934" s="35" t="str">
        <f>DEZEMBRO!D77</f>
        <v>DESPESAS COM PRODUTOS</v>
      </c>
      <c r="E934" s="35" t="str">
        <f>DEZEMBRO!E77</f>
        <v>-</v>
      </c>
      <c r="F934" s="67" t="str">
        <f>DEZEMBRO!G77</f>
        <v>GOLF 53</v>
      </c>
      <c r="G934" s="68">
        <f>DEZEMBRO!H77</f>
        <v>0</v>
      </c>
      <c r="H934" s="37">
        <f>DEZEMBRO!I77</f>
        <v>46367</v>
      </c>
      <c r="I934" s="34" t="str">
        <f>DEZEMBRO!O77</f>
        <v>DESPESAS</v>
      </c>
      <c r="J934">
        <f t="shared" si="99"/>
        <v>9</v>
      </c>
      <c r="K934">
        <f t="shared" si="100"/>
        <v>12</v>
      </c>
      <c r="L934" t="str">
        <f t="shared" si="101"/>
        <v>DEC</v>
      </c>
      <c r="M934">
        <f t="shared" si="102"/>
        <v>11</v>
      </c>
      <c r="N934">
        <f t="shared" si="103"/>
        <v>12</v>
      </c>
      <c r="O934" t="str">
        <f t="shared" si="105"/>
        <v>DEC</v>
      </c>
      <c r="P934" t="str">
        <f t="shared" si="104"/>
        <v>PAGO</v>
      </c>
    </row>
    <row r="935" spans="2:16" ht="30" x14ac:dyDescent="0.25">
      <c r="C935" s="35">
        <f>DEZEMBRO!C78</f>
        <v>46366</v>
      </c>
      <c r="D935" s="35" t="str">
        <f>DEZEMBRO!D78</f>
        <v>DESPESAS COM PRODUTOS</v>
      </c>
      <c r="E935" s="35" t="str">
        <f>DEZEMBRO!E78</f>
        <v>-</v>
      </c>
      <c r="F935" s="67" t="str">
        <f>DEZEMBRO!G78</f>
        <v>GOLF 54</v>
      </c>
      <c r="G935" s="68">
        <f>DEZEMBRO!H78</f>
        <v>0</v>
      </c>
      <c r="H935" s="37">
        <f>DEZEMBRO!I78</f>
        <v>46368</v>
      </c>
      <c r="I935" s="34" t="str">
        <f>DEZEMBRO!O78</f>
        <v>DESPESAS</v>
      </c>
      <c r="J935">
        <f t="shared" si="99"/>
        <v>10</v>
      </c>
      <c r="K935">
        <f t="shared" si="100"/>
        <v>12</v>
      </c>
      <c r="L935" t="str">
        <f t="shared" si="101"/>
        <v>DEC</v>
      </c>
      <c r="M935">
        <f t="shared" si="102"/>
        <v>12</v>
      </c>
      <c r="N935">
        <f t="shared" si="103"/>
        <v>12</v>
      </c>
      <c r="O935" t="str">
        <f t="shared" si="105"/>
        <v>DEC</v>
      </c>
      <c r="P935" t="str">
        <f t="shared" si="104"/>
        <v>PAGO</v>
      </c>
    </row>
    <row r="936" spans="2:16" ht="30" x14ac:dyDescent="0.25">
      <c r="C936" s="35">
        <f>DEZEMBRO!C79</f>
        <v>46367</v>
      </c>
      <c r="D936" s="35" t="str">
        <f>DEZEMBRO!D79</f>
        <v>DESPESAS COM PRODUTOS</v>
      </c>
      <c r="E936" s="35" t="str">
        <f>DEZEMBRO!E79</f>
        <v>-</v>
      </c>
      <c r="F936" s="67" t="str">
        <f>DEZEMBRO!G79</f>
        <v>GOLF 55</v>
      </c>
      <c r="G936" s="68">
        <f>DEZEMBRO!H79</f>
        <v>0</v>
      </c>
      <c r="H936" s="37">
        <f>DEZEMBRO!I79</f>
        <v>46369</v>
      </c>
      <c r="I936" s="34" t="str">
        <f>DEZEMBRO!O79</f>
        <v>DESPESAS</v>
      </c>
      <c r="J936">
        <f t="shared" si="99"/>
        <v>11</v>
      </c>
      <c r="K936">
        <f t="shared" si="100"/>
        <v>12</v>
      </c>
      <c r="L936" t="str">
        <f t="shared" si="101"/>
        <v>DEC</v>
      </c>
      <c r="M936">
        <f t="shared" si="102"/>
        <v>13</v>
      </c>
      <c r="N936">
        <f t="shared" si="103"/>
        <v>12</v>
      </c>
      <c r="O936" t="str">
        <f t="shared" si="105"/>
        <v>DEC</v>
      </c>
      <c r="P936" t="str">
        <f t="shared" si="104"/>
        <v>PAGO</v>
      </c>
    </row>
    <row r="937" spans="2:16" ht="30" x14ac:dyDescent="0.25">
      <c r="C937" s="35">
        <f>DEZEMBRO!C80</f>
        <v>46368</v>
      </c>
      <c r="D937" s="35" t="str">
        <f>DEZEMBRO!D80</f>
        <v>DESPESAS COM PRODUTOS</v>
      </c>
      <c r="E937" s="35" t="str">
        <f>DEZEMBRO!E80</f>
        <v>-</v>
      </c>
      <c r="F937" s="67" t="str">
        <f>DEZEMBRO!G80</f>
        <v>BENFICA</v>
      </c>
      <c r="G937" s="68">
        <f>DEZEMBRO!H80</f>
        <v>0</v>
      </c>
      <c r="H937" s="37">
        <f>DEZEMBRO!I80</f>
        <v>46370</v>
      </c>
      <c r="I937" s="34" t="str">
        <f>DEZEMBRO!O80</f>
        <v>DESPESAS</v>
      </c>
      <c r="J937">
        <f t="shared" si="99"/>
        <v>12</v>
      </c>
      <c r="K937">
        <f t="shared" si="100"/>
        <v>12</v>
      </c>
      <c r="L937" t="str">
        <f t="shared" si="101"/>
        <v>DEC</v>
      </c>
      <c r="M937">
        <f t="shared" si="102"/>
        <v>14</v>
      </c>
      <c r="N937">
        <f t="shared" si="103"/>
        <v>12</v>
      </c>
      <c r="O937" t="str">
        <f t="shared" si="105"/>
        <v>DEC</v>
      </c>
      <c r="P937" t="str">
        <f t="shared" si="104"/>
        <v>PAGO</v>
      </c>
    </row>
    <row r="938" spans="2:16" ht="30" x14ac:dyDescent="0.25">
      <c r="C938" s="35">
        <f>DEZEMBRO!C81</f>
        <v>46369</v>
      </c>
      <c r="D938" s="35" t="str">
        <f>DEZEMBRO!D81</f>
        <v>DESPESAS COM PRODUTOS</v>
      </c>
      <c r="E938" s="35" t="str">
        <f>DEZEMBRO!E81</f>
        <v>-</v>
      </c>
      <c r="F938" s="67">
        <f>DEZEMBRO!G81</f>
        <v>0</v>
      </c>
      <c r="G938" s="68">
        <f>DEZEMBRO!H81</f>
        <v>0</v>
      </c>
      <c r="H938" s="37">
        <f>DEZEMBRO!I81</f>
        <v>46371</v>
      </c>
      <c r="I938" s="34" t="str">
        <f>DEZEMBRO!O81</f>
        <v>DESPESAS</v>
      </c>
      <c r="J938">
        <f t="shared" si="99"/>
        <v>13</v>
      </c>
      <c r="K938">
        <f t="shared" si="100"/>
        <v>12</v>
      </c>
      <c r="L938" t="str">
        <f t="shared" si="101"/>
        <v>DEC</v>
      </c>
      <c r="M938">
        <f t="shared" si="102"/>
        <v>15</v>
      </c>
      <c r="N938">
        <f t="shared" si="103"/>
        <v>12</v>
      </c>
      <c r="O938" t="str">
        <f t="shared" si="105"/>
        <v>DEC</v>
      </c>
      <c r="P938" t="str">
        <f t="shared" si="104"/>
        <v>PAGO</v>
      </c>
    </row>
    <row r="939" spans="2:16" ht="30" x14ac:dyDescent="0.25">
      <c r="C939" s="35">
        <f>DEZEMBRO!C82</f>
        <v>46370</v>
      </c>
      <c r="D939" s="35" t="str">
        <f>DEZEMBRO!D82</f>
        <v>DESPESAS COM PRODUTOS</v>
      </c>
      <c r="E939" s="35" t="str">
        <f>DEZEMBRO!E82</f>
        <v>-</v>
      </c>
      <c r="F939" s="67">
        <f>DEZEMBRO!G82</f>
        <v>0</v>
      </c>
      <c r="G939" s="68">
        <f>DEZEMBRO!H82</f>
        <v>0</v>
      </c>
      <c r="H939" s="37">
        <f>DEZEMBRO!I82</f>
        <v>46372</v>
      </c>
      <c r="I939" s="34" t="str">
        <f>DEZEMBRO!O82</f>
        <v>DESPESAS</v>
      </c>
      <c r="J939">
        <f t="shared" si="99"/>
        <v>14</v>
      </c>
      <c r="K939">
        <f t="shared" si="100"/>
        <v>12</v>
      </c>
      <c r="L939" t="str">
        <f t="shared" si="101"/>
        <v>DEC</v>
      </c>
      <c r="M939">
        <f t="shared" si="102"/>
        <v>16</v>
      </c>
      <c r="N939">
        <f t="shared" si="103"/>
        <v>12</v>
      </c>
      <c r="O939" t="str">
        <f t="shared" si="105"/>
        <v>DEC</v>
      </c>
      <c r="P939" t="str">
        <f t="shared" si="104"/>
        <v>PAGO</v>
      </c>
    </row>
    <row r="940" spans="2:16" ht="30" x14ac:dyDescent="0.25">
      <c r="C940" s="35">
        <f>DEZEMBRO!C83</f>
        <v>46371</v>
      </c>
      <c r="D940" s="35" t="str">
        <f>DEZEMBRO!D83</f>
        <v>DESPESAS COM PRODUTOS</v>
      </c>
      <c r="E940" s="35" t="str">
        <f>DEZEMBRO!E83</f>
        <v>-</v>
      </c>
      <c r="F940" s="67">
        <f>DEZEMBRO!G83</f>
        <v>0</v>
      </c>
      <c r="G940" s="68">
        <f>DEZEMBRO!H83</f>
        <v>0</v>
      </c>
      <c r="H940" s="37">
        <f>DEZEMBRO!I83</f>
        <v>46373</v>
      </c>
      <c r="I940" s="34" t="str">
        <f>DEZEMBRO!O83</f>
        <v>DESPESAS</v>
      </c>
      <c r="J940">
        <f t="shared" si="99"/>
        <v>15</v>
      </c>
      <c r="K940">
        <f t="shared" si="100"/>
        <v>12</v>
      </c>
      <c r="L940" t="str">
        <f t="shared" si="101"/>
        <v>DEC</v>
      </c>
      <c r="M940">
        <f t="shared" si="102"/>
        <v>17</v>
      </c>
      <c r="N940">
        <f t="shared" si="103"/>
        <v>12</v>
      </c>
      <c r="O940" t="str">
        <f t="shared" si="105"/>
        <v>DEC</v>
      </c>
      <c r="P940" t="str">
        <f t="shared" si="104"/>
        <v>PAGO</v>
      </c>
    </row>
    <row r="941" spans="2:16" ht="30" x14ac:dyDescent="0.25">
      <c r="B941" s="32" t="s">
        <v>100</v>
      </c>
      <c r="C941" s="35">
        <f>DEZEMBRO!C84</f>
        <v>46372</v>
      </c>
      <c r="D941" s="35" t="str">
        <f>DEZEMBRO!D84</f>
        <v>DESPESAS COM PRODUTOS</v>
      </c>
      <c r="E941" s="35" t="str">
        <f>DEZEMBRO!E84</f>
        <v>-</v>
      </c>
      <c r="F941" s="67">
        <f>DEZEMBRO!G84</f>
        <v>0</v>
      </c>
      <c r="G941" s="68">
        <f>DEZEMBRO!H84</f>
        <v>0</v>
      </c>
      <c r="H941" s="37">
        <f>DEZEMBRO!I84</f>
        <v>46374</v>
      </c>
      <c r="I941" s="34" t="str">
        <f>DEZEMBRO!O84</f>
        <v>DESPESAS</v>
      </c>
      <c r="J941">
        <f t="shared" si="99"/>
        <v>16</v>
      </c>
      <c r="K941">
        <f t="shared" si="100"/>
        <v>12</v>
      </c>
      <c r="L941" t="str">
        <f t="shared" si="101"/>
        <v>DEC</v>
      </c>
      <c r="M941">
        <f t="shared" si="102"/>
        <v>18</v>
      </c>
      <c r="N941">
        <f t="shared" si="103"/>
        <v>12</v>
      </c>
      <c r="O941" t="str">
        <f t="shared" si="105"/>
        <v>DEC</v>
      </c>
      <c r="P941" t="str">
        <f t="shared" si="104"/>
        <v>PAGO</v>
      </c>
    </row>
    <row r="942" spans="2:16" x14ac:dyDescent="0.25">
      <c r="C942" s="35"/>
      <c r="D942" s="35"/>
      <c r="E942" s="35"/>
      <c r="F942" s="66"/>
      <c r="G942" s="34"/>
      <c r="H942" s="37"/>
      <c r="I942" s="34"/>
    </row>
    <row r="943" spans="2:16" x14ac:dyDescent="0.25">
      <c r="C943" s="35"/>
      <c r="D943" s="35"/>
      <c r="E943" s="35"/>
      <c r="F943" s="66"/>
      <c r="G943" s="34"/>
      <c r="H943" s="37"/>
      <c r="I943" s="34"/>
    </row>
    <row r="944" spans="2:16" x14ac:dyDescent="0.25">
      <c r="C944" s="35"/>
      <c r="D944" s="35"/>
      <c r="E944" s="35"/>
      <c r="F944" s="66"/>
      <c r="G944" s="34"/>
      <c r="H944" s="37"/>
      <c r="I944" s="34"/>
    </row>
    <row r="945" spans="3:9" x14ac:dyDescent="0.25">
      <c r="C945" s="35"/>
      <c r="D945" s="35"/>
      <c r="E945" s="35"/>
      <c r="F945" s="66"/>
      <c r="G945" s="34"/>
      <c r="H945" s="37"/>
      <c r="I945" s="34"/>
    </row>
    <row r="946" spans="3:9" x14ac:dyDescent="0.25">
      <c r="C946" s="35"/>
      <c r="D946" s="35"/>
      <c r="E946" s="35"/>
      <c r="F946" s="66"/>
      <c r="G946" s="34"/>
      <c r="H946" s="37"/>
      <c r="I946" s="34"/>
    </row>
  </sheetData>
  <mergeCells count="1">
    <mergeCell ref="R5:S5"/>
  </mergeCells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29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6</vt:i4>
      </vt:variant>
    </vt:vector>
  </HeadingPairs>
  <TitlesOfParts>
    <vt:vector size="36" baseType="lpstr">
      <vt:lpstr>FLUXO DE CAIXA</vt:lpstr>
      <vt:lpstr>GRAFICO ANUAL</vt:lpstr>
      <vt:lpstr>GRAFICO ANUAL (2)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DASHBOARD</vt:lpstr>
      <vt:lpstr>AUXILIAR 2</vt:lpstr>
      <vt:lpstr>FLUXO DE CAIXA (2)</vt:lpstr>
      <vt:lpstr>INDICADORES</vt:lpstr>
      <vt:lpstr>COMPARAÇAO CENTROS DE CUSTO</vt:lpstr>
      <vt:lpstr>FLUXO DE CAIXA CENTROS</vt:lpstr>
      <vt:lpstr>plano de contas</vt:lpstr>
      <vt:lpstr>CENTRO DE CUSTO</vt:lpstr>
      <vt:lpstr>DRE</vt:lpstr>
      <vt:lpstr>GRAFICOS</vt:lpstr>
      <vt:lpstr>FC-DIARIO</vt:lpstr>
      <vt:lpstr>DRE1</vt:lpstr>
      <vt:lpstr>AUXILIAR</vt:lpstr>
      <vt:lpstr>RASCUNHO</vt:lpstr>
      <vt:lpstr>GRAFICO DESPESAS</vt:lpstr>
      <vt:lpstr>DESP_MKT</vt:lpstr>
      <vt:lpstr>DESP_OP</vt:lpstr>
      <vt:lpstr>DESP_PROD</vt:lpstr>
      <vt:lpstr>DESP_RH</vt:lpstr>
      <vt:lpstr>REC_PROD</vt:lpstr>
      <vt:lpstr>REC_SER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Kali</dc:creator>
  <cp:lastModifiedBy>ATOM SERVICES</cp:lastModifiedBy>
  <dcterms:created xsi:type="dcterms:W3CDTF">2026-03-05T04:00:41Z</dcterms:created>
  <dcterms:modified xsi:type="dcterms:W3CDTF">2026-03-16T06:52:39Z</dcterms:modified>
</cp:coreProperties>
</file>