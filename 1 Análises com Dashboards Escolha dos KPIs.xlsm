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7.xml" ContentType="application/vnd.openxmlformats-officedocument.spreadsheetml.comments+xml"/>
  <Override PartName="/xl/drawings/drawing2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4.xml" ContentType="application/vnd.openxmlformats-officedocument.drawing+xml"/>
  <Override PartName="/xl/comments18.xml" ContentType="application/vnd.openxmlformats-officedocument.spreadsheetml.comments+xml"/>
  <Override PartName="/xl/drawings/drawing25.xml" ContentType="application/vnd.openxmlformats-officedocument.drawing+xml"/>
  <Override PartName="/xl/comments19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21" activeTab="29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FLUXO DE CAIXA (2)" sheetId="29" r:id="rId16"/>
    <sheet name="COMPARAÇAO CENTROS DE CUSTO" sheetId="40" r:id="rId17"/>
    <sheet name="rascunho dashboar" sheetId="41" r:id="rId18"/>
    <sheet name="FLUXO DE CAIXA CENTROS" sheetId="38" r:id="rId19"/>
    <sheet name="plano de contas" sheetId="21" r:id="rId20"/>
    <sheet name="CENTRO DE CUSTO" sheetId="37" r:id="rId21"/>
    <sheet name="DRE" sheetId="22" r:id="rId22"/>
    <sheet name="GRAFICO DESPESAS" sheetId="24" r:id="rId23"/>
    <sheet name="GRAFICOS" sheetId="25" r:id="rId24"/>
    <sheet name="DRE1" sheetId="23" r:id="rId25"/>
    <sheet name="FC-DIARIO" sheetId="30" r:id="rId26"/>
    <sheet name="AUXILIAR" sheetId="26" r:id="rId27"/>
    <sheet name="AUXILIAR 2" sheetId="42" r:id="rId28"/>
    <sheet name="INDICADORES" sheetId="44" r:id="rId29"/>
    <sheet name="RASCUNHO" sheetId="43" r:id="rId30"/>
  </sheet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16" hidden="1">'COMPARAÇAO CENTROS DE CUSTO'!#REF!</definedName>
    <definedName name="_xlnm._FilterDatabase" localSheetId="14" hidden="1">DEZEMBRO!$H$8:$H$37</definedName>
    <definedName name="_xlnm._FilterDatabase" localSheetId="21" hidden="1">DRE!#REF!</definedName>
    <definedName name="_xlnm._FilterDatabase" localSheetId="24" hidden="1">'DRE1'!#REF!</definedName>
    <definedName name="_xlnm._FilterDatabase" localSheetId="25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5" hidden="1">'FLUXO DE CAIXA (2)'!#REF!</definedName>
    <definedName name="_xlnm._FilterDatabase" localSheetId="18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42" l="1"/>
  <c r="F13" i="42"/>
  <c r="E14" i="42"/>
  <c r="F9" i="42"/>
  <c r="F10" i="42"/>
  <c r="F11" i="42"/>
  <c r="E8" i="42" l="1"/>
  <c r="E11" i="42"/>
  <c r="E12" i="42"/>
  <c r="E13" i="42"/>
  <c r="E6" i="42"/>
  <c r="E7" i="42"/>
  <c r="E5" i="42"/>
  <c r="B13" i="40" l="1"/>
  <c r="B14" i="40"/>
  <c r="B15" i="40"/>
  <c r="B16" i="40"/>
  <c r="B17" i="40"/>
  <c r="B18" i="40"/>
  <c r="B9" i="40"/>
  <c r="B10" i="40"/>
  <c r="B11" i="40"/>
  <c r="B12" i="40"/>
  <c r="B8" i="40"/>
  <c r="P10" i="38" l="1"/>
  <c r="F6" i="26" l="1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 l="1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 l="1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 s="1"/>
  <c r="O17" i="9"/>
  <c r="I328" i="26" s="1"/>
  <c r="O18" i="9"/>
  <c r="I329" i="26" s="1"/>
  <c r="O19" i="9"/>
  <c r="O20" i="9"/>
  <c r="I331" i="26" s="1"/>
  <c r="O21" i="9"/>
  <c r="I332" i="26" s="1"/>
  <c r="O22" i="9"/>
  <c r="I333" i="26" s="1"/>
  <c r="O23" i="9"/>
  <c r="O24" i="9"/>
  <c r="I335" i="26" s="1"/>
  <c r="O25" i="9"/>
  <c r="I336" i="26" s="1"/>
  <c r="O26" i="9"/>
  <c r="I337" i="26" s="1"/>
  <c r="O27" i="9"/>
  <c r="O28" i="9"/>
  <c r="I339" i="26" s="1"/>
  <c r="O29" i="9"/>
  <c r="I340" i="26" s="1"/>
  <c r="O30" i="9"/>
  <c r="I341" i="26" s="1"/>
  <c r="O31" i="9"/>
  <c r="O32" i="9"/>
  <c r="I343" i="26" s="1"/>
  <c r="O33" i="9"/>
  <c r="I344" i="26" s="1"/>
  <c r="O34" i="9"/>
  <c r="I345" i="26" s="1"/>
  <c r="O35" i="9"/>
  <c r="O36" i="9"/>
  <c r="I347" i="26" s="1"/>
  <c r="O37" i="9"/>
  <c r="I348" i="26" s="1"/>
  <c r="O38" i="9"/>
  <c r="I349" i="26" s="1"/>
  <c r="O39" i="9"/>
  <c r="O40" i="9"/>
  <c r="I351" i="26" s="1"/>
  <c r="O41" i="9"/>
  <c r="I352" i="26" s="1"/>
  <c r="O42" i="9"/>
  <c r="I353" i="26" s="1"/>
  <c r="O43" i="9"/>
  <c r="O44" i="9"/>
  <c r="I355" i="26" s="1"/>
  <c r="O45" i="9"/>
  <c r="I356" i="26" s="1"/>
  <c r="O46" i="9"/>
  <c r="I357" i="26" s="1"/>
  <c r="O47" i="9"/>
  <c r="O48" i="9"/>
  <c r="I359" i="26" s="1"/>
  <c r="O49" i="9"/>
  <c r="I360" i="26" s="1"/>
  <c r="O50" i="9"/>
  <c r="I361" i="26" s="1"/>
  <c r="O51" i="9"/>
  <c r="O52" i="9"/>
  <c r="I363" i="26" s="1"/>
  <c r="O53" i="9"/>
  <c r="I364" i="26" s="1"/>
  <c r="O54" i="9"/>
  <c r="I365" i="26" s="1"/>
  <c r="O55" i="9"/>
  <c r="O56" i="9"/>
  <c r="I367" i="26" s="1"/>
  <c r="O57" i="9"/>
  <c r="I368" i="26" s="1"/>
  <c r="O58" i="9"/>
  <c r="I369" i="26" s="1"/>
  <c r="O59" i="9"/>
  <c r="O60" i="9"/>
  <c r="I371" i="26" s="1"/>
  <c r="O61" i="9"/>
  <c r="I372" i="26" s="1"/>
  <c r="O62" i="9"/>
  <c r="I373" i="26" s="1"/>
  <c r="O63" i="9"/>
  <c r="O64" i="9"/>
  <c r="I375" i="26" s="1"/>
  <c r="O65" i="9"/>
  <c r="I376" i="26" s="1"/>
  <c r="O66" i="9"/>
  <c r="I377" i="26" s="1"/>
  <c r="O67" i="9"/>
  <c r="O68" i="9"/>
  <c r="I379" i="26" s="1"/>
  <c r="O69" i="9"/>
  <c r="I380" i="26" s="1"/>
  <c r="O70" i="9"/>
  <c r="I381" i="26" s="1"/>
  <c r="O71" i="9"/>
  <c r="O72" i="9"/>
  <c r="I383" i="26" s="1"/>
  <c r="O73" i="9"/>
  <c r="I384" i="26" s="1"/>
  <c r="O74" i="9"/>
  <c r="I385" i="26" s="1"/>
  <c r="O75" i="9"/>
  <c r="O76" i="9"/>
  <c r="I387" i="26" s="1"/>
  <c r="O77" i="9"/>
  <c r="I388" i="26" s="1"/>
  <c r="O78" i="9"/>
  <c r="I389" i="26" s="1"/>
  <c r="O79" i="9"/>
  <c r="O80" i="9"/>
  <c r="I391" i="26" s="1"/>
  <c r="O81" i="9"/>
  <c r="I392" i="26" s="1"/>
  <c r="O82" i="9"/>
  <c r="I393" i="26" s="1"/>
  <c r="O83" i="9"/>
  <c r="O84" i="9"/>
  <c r="I395" i="26" s="1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 s="1"/>
  <c r="O17" i="15"/>
  <c r="O18" i="15"/>
  <c r="I797" i="26" s="1"/>
  <c r="O19" i="15"/>
  <c r="I798" i="26" s="1"/>
  <c r="O20" i="15"/>
  <c r="I799" i="26" s="1"/>
  <c r="O21" i="15"/>
  <c r="I800" i="26" s="1"/>
  <c r="O22" i="15"/>
  <c r="I801" i="26" s="1"/>
  <c r="O23" i="15"/>
  <c r="I802" i="26" s="1"/>
  <c r="O24" i="15"/>
  <c r="I803" i="26" s="1"/>
  <c r="O25" i="15"/>
  <c r="O26" i="15"/>
  <c r="I805" i="26" s="1"/>
  <c r="O27" i="15"/>
  <c r="I806" i="26" s="1"/>
  <c r="O28" i="15"/>
  <c r="I807" i="26" s="1"/>
  <c r="O29" i="15"/>
  <c r="I808" i="26" s="1"/>
  <c r="O30" i="15"/>
  <c r="I809" i="26" s="1"/>
  <c r="O31" i="15"/>
  <c r="I810" i="26" s="1"/>
  <c r="O32" i="15"/>
  <c r="I811" i="26" s="1"/>
  <c r="O33" i="15"/>
  <c r="O34" i="15"/>
  <c r="I813" i="26" s="1"/>
  <c r="O35" i="15"/>
  <c r="I814" i="26" s="1"/>
  <c r="O36" i="15"/>
  <c r="I815" i="26" s="1"/>
  <c r="O37" i="15"/>
  <c r="I816" i="26" s="1"/>
  <c r="O38" i="15"/>
  <c r="I817" i="26" s="1"/>
  <c r="O39" i="15"/>
  <c r="I818" i="26" s="1"/>
  <c r="O40" i="15"/>
  <c r="I819" i="26" s="1"/>
  <c r="O41" i="15"/>
  <c r="O42" i="15"/>
  <c r="I821" i="26" s="1"/>
  <c r="O43" i="15"/>
  <c r="I822" i="26" s="1"/>
  <c r="O44" i="15"/>
  <c r="I823" i="26" s="1"/>
  <c r="O45" i="15"/>
  <c r="I824" i="26" s="1"/>
  <c r="O46" i="15"/>
  <c r="I825" i="26" s="1"/>
  <c r="O47" i="15"/>
  <c r="I826" i="26" s="1"/>
  <c r="O48" i="15"/>
  <c r="I827" i="26" s="1"/>
  <c r="O49" i="15"/>
  <c r="O50" i="15"/>
  <c r="I829" i="26" s="1"/>
  <c r="O51" i="15"/>
  <c r="I830" i="26" s="1"/>
  <c r="O52" i="15"/>
  <c r="I831" i="26" s="1"/>
  <c r="O53" i="15"/>
  <c r="I832" i="26" s="1"/>
  <c r="O54" i="15"/>
  <c r="I833" i="26" s="1"/>
  <c r="O55" i="15"/>
  <c r="I834" i="26" s="1"/>
  <c r="O56" i="15"/>
  <c r="I835" i="26" s="1"/>
  <c r="O57" i="15"/>
  <c r="O58" i="15"/>
  <c r="I837" i="26" s="1"/>
  <c r="O59" i="15"/>
  <c r="I838" i="26" s="1"/>
  <c r="O60" i="15"/>
  <c r="I839" i="26" s="1"/>
  <c r="O61" i="15"/>
  <c r="I840" i="26" s="1"/>
  <c r="O62" i="15"/>
  <c r="I841" i="26" s="1"/>
  <c r="O63" i="15"/>
  <c r="I842" i="26" s="1"/>
  <c r="O64" i="15"/>
  <c r="I843" i="26" s="1"/>
  <c r="O65" i="15"/>
  <c r="O66" i="15"/>
  <c r="I845" i="26" s="1"/>
  <c r="O67" i="15"/>
  <c r="I846" i="26" s="1"/>
  <c r="O68" i="15"/>
  <c r="I847" i="26" s="1"/>
  <c r="O69" i="15"/>
  <c r="I848" i="26" s="1"/>
  <c r="O70" i="15"/>
  <c r="I849" i="26" s="1"/>
  <c r="O71" i="15"/>
  <c r="I850" i="26" s="1"/>
  <c r="O72" i="15"/>
  <c r="I851" i="26" s="1"/>
  <c r="O73" i="15"/>
  <c r="O74" i="15"/>
  <c r="I853" i="26" s="1"/>
  <c r="O75" i="15"/>
  <c r="I854" i="26" s="1"/>
  <c r="O76" i="15"/>
  <c r="I855" i="26" s="1"/>
  <c r="O77" i="15"/>
  <c r="I856" i="26" s="1"/>
  <c r="O78" i="15"/>
  <c r="I857" i="26" s="1"/>
  <c r="O79" i="15"/>
  <c r="I858" i="26" s="1"/>
  <c r="O80" i="15"/>
  <c r="I859" i="26" s="1"/>
  <c r="O81" i="15"/>
  <c r="O82" i="15"/>
  <c r="I861" i="26" s="1"/>
  <c r="O83" i="15"/>
  <c r="I862" i="26" s="1"/>
  <c r="O84" i="15"/>
  <c r="I863" i="26" s="1"/>
  <c r="O15" i="16"/>
  <c r="O16" i="16"/>
  <c r="I873" i="26" s="1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 s="1"/>
  <c r="O10" i="9"/>
  <c r="I321" i="26" s="1"/>
  <c r="O11" i="9"/>
  <c r="O12" i="9"/>
  <c r="O13" i="9"/>
  <c r="I324" i="26" s="1"/>
  <c r="O14" i="9"/>
  <c r="I325" i="26" s="1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 s="1"/>
  <c r="O10" i="13"/>
  <c r="O11" i="13"/>
  <c r="O12" i="13"/>
  <c r="O13" i="13"/>
  <c r="O14" i="13"/>
  <c r="O8" i="14"/>
  <c r="O9" i="14"/>
  <c r="O10" i="14"/>
  <c r="I711" i="26" s="1"/>
  <c r="M17" i="40" s="1"/>
  <c r="O17" i="40" s="1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 l="1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 s="1"/>
  <c r="O8" i="40" s="1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 s="1"/>
  <c r="O11" i="40" s="1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 s="1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 l="1"/>
  <c r="O9" i="40" s="1"/>
  <c r="K152" i="26"/>
  <c r="L152" i="26" s="1"/>
  <c r="J152" i="26"/>
  <c r="K144" i="26"/>
  <c r="L144" i="26" s="1"/>
  <c r="J144" i="26"/>
  <c r="K140" i="26"/>
  <c r="L140" i="26" s="1"/>
  <c r="J140" i="26"/>
  <c r="K132" i="26"/>
  <c r="L132" i="26" s="1"/>
  <c r="J132" i="26"/>
  <c r="K162" i="26"/>
  <c r="L162" i="26" s="1"/>
  <c r="J162" i="26"/>
  <c r="K166" i="26"/>
  <c r="L166" i="26" s="1"/>
  <c r="J166" i="26"/>
  <c r="K174" i="26"/>
  <c r="L174" i="26" s="1"/>
  <c r="J174" i="26"/>
  <c r="K312" i="26"/>
  <c r="L312" i="26" s="1"/>
  <c r="J312" i="26"/>
  <c r="K304" i="26"/>
  <c r="L304" i="26" s="1"/>
  <c r="J304" i="26"/>
  <c r="K284" i="26"/>
  <c r="L284" i="26" s="1"/>
  <c r="J284" i="26"/>
  <c r="K264" i="26"/>
  <c r="L264" i="26" s="1"/>
  <c r="J264" i="26"/>
  <c r="K392" i="26"/>
  <c r="L392" i="26" s="1"/>
  <c r="J392" i="26"/>
  <c r="K388" i="26"/>
  <c r="L388" i="26" s="1"/>
  <c r="J388" i="26"/>
  <c r="K376" i="26"/>
  <c r="L376" i="26" s="1"/>
  <c r="J376" i="26"/>
  <c r="K368" i="26"/>
  <c r="L368" i="26" s="1"/>
  <c r="J368" i="26"/>
  <c r="K360" i="26"/>
  <c r="L360" i="26" s="1"/>
  <c r="J360" i="26"/>
  <c r="K352" i="26"/>
  <c r="L352" i="26" s="1"/>
  <c r="J352" i="26"/>
  <c r="K328" i="26"/>
  <c r="L328" i="26" s="1"/>
  <c r="J328" i="26"/>
  <c r="K468" i="26"/>
  <c r="L468" i="26" s="1"/>
  <c r="J468" i="26"/>
  <c r="K440" i="26"/>
  <c r="L440" i="26" s="1"/>
  <c r="J440" i="26"/>
  <c r="K428" i="26"/>
  <c r="L428" i="26" s="1"/>
  <c r="J428" i="26"/>
  <c r="K420" i="26"/>
  <c r="L420" i="26" s="1"/>
  <c r="J420" i="26"/>
  <c r="K416" i="26"/>
  <c r="L416" i="26" s="1"/>
  <c r="J416" i="26"/>
  <c r="K412" i="26"/>
  <c r="L412" i="26" s="1"/>
  <c r="J412" i="26"/>
  <c r="K404" i="26"/>
  <c r="L404" i="26" s="1"/>
  <c r="J404" i="26"/>
  <c r="K400" i="26"/>
  <c r="L400" i="26" s="1"/>
  <c r="J400" i="26"/>
  <c r="K536" i="26"/>
  <c r="L536" i="26" s="1"/>
  <c r="J536" i="26"/>
  <c r="K524" i="26"/>
  <c r="L524" i="26" s="1"/>
  <c r="J524" i="26"/>
  <c r="K508" i="26"/>
  <c r="L508" i="26" s="1"/>
  <c r="J508" i="26"/>
  <c r="K504" i="26"/>
  <c r="L504" i="26" s="1"/>
  <c r="J504" i="26"/>
  <c r="K500" i="26"/>
  <c r="L500" i="26" s="1"/>
  <c r="J500" i="26"/>
  <c r="K496" i="26"/>
  <c r="L496" i="26" s="1"/>
  <c r="J496" i="26"/>
  <c r="K630" i="26"/>
  <c r="L630" i="26" s="1"/>
  <c r="J630" i="26"/>
  <c r="K704" i="26"/>
  <c r="L704" i="26" s="1"/>
  <c r="J704" i="26"/>
  <c r="K692" i="26"/>
  <c r="L692" i="26" s="1"/>
  <c r="J692" i="26"/>
  <c r="K684" i="26"/>
  <c r="L684" i="26" s="1"/>
  <c r="J684" i="26"/>
  <c r="K680" i="26"/>
  <c r="L680" i="26" s="1"/>
  <c r="J680" i="26"/>
  <c r="K676" i="26"/>
  <c r="L676" i="26" s="1"/>
  <c r="J676" i="26"/>
  <c r="K656" i="26"/>
  <c r="L656" i="26" s="1"/>
  <c r="J656" i="26"/>
  <c r="K632" i="26"/>
  <c r="L632" i="26" s="1"/>
  <c r="J632" i="26"/>
  <c r="K780" i="26"/>
  <c r="L780" i="26" s="1"/>
  <c r="J780" i="26"/>
  <c r="K752" i="26"/>
  <c r="L752" i="26" s="1"/>
  <c r="J752" i="26"/>
  <c r="K744" i="26"/>
  <c r="L744" i="26" s="1"/>
  <c r="J744" i="26"/>
  <c r="K732" i="26"/>
  <c r="L732" i="26" s="1"/>
  <c r="J732" i="26"/>
  <c r="K724" i="26"/>
  <c r="L724" i="26" s="1"/>
  <c r="J724" i="26"/>
  <c r="K712" i="26"/>
  <c r="L712" i="26" s="1"/>
  <c r="J712" i="26"/>
  <c r="K786" i="26"/>
  <c r="L786" i="26" s="1"/>
  <c r="J786" i="26"/>
  <c r="K811" i="26"/>
  <c r="L811" i="26" s="1"/>
  <c r="J811" i="26"/>
  <c r="K799" i="26"/>
  <c r="L799" i="26" s="1"/>
  <c r="J799" i="26"/>
  <c r="K791" i="26"/>
  <c r="L791" i="26" s="1"/>
  <c r="J791" i="26"/>
  <c r="K842" i="26"/>
  <c r="L842" i="26" s="1"/>
  <c r="J842" i="26"/>
  <c r="K858" i="26"/>
  <c r="L858" i="26" s="1"/>
  <c r="J858" i="26"/>
  <c r="K925" i="26"/>
  <c r="L925" i="26" s="1"/>
  <c r="J925" i="26"/>
  <c r="K901" i="26"/>
  <c r="L901" i="26" s="1"/>
  <c r="J901" i="26"/>
  <c r="K893" i="26"/>
  <c r="L893" i="26" s="1"/>
  <c r="J893" i="26"/>
  <c r="K885" i="26"/>
  <c r="L885" i="26" s="1"/>
  <c r="J885" i="26"/>
  <c r="K877" i="26"/>
  <c r="L877" i="26" s="1"/>
  <c r="J877" i="26"/>
  <c r="K869" i="26"/>
  <c r="L869" i="26" s="1"/>
  <c r="J869" i="26"/>
  <c r="K865" i="26"/>
  <c r="L865" i="26" s="1"/>
  <c r="J865" i="26"/>
  <c r="K938" i="26"/>
  <c r="L938" i="26" s="1"/>
  <c r="J938" i="26"/>
  <c r="K35" i="26"/>
  <c r="L35" i="26" s="1"/>
  <c r="J35" i="26"/>
  <c r="K31" i="26"/>
  <c r="L31" i="26" s="1"/>
  <c r="J31" i="26"/>
  <c r="K27" i="26"/>
  <c r="L27" i="26" s="1"/>
  <c r="J27" i="26"/>
  <c r="K23" i="26"/>
  <c r="L23" i="26" s="1"/>
  <c r="J23" i="26"/>
  <c r="K19" i="26"/>
  <c r="L19" i="26" s="1"/>
  <c r="J19" i="26"/>
  <c r="K15" i="26"/>
  <c r="L15" i="26" s="1"/>
  <c r="J15" i="26"/>
  <c r="K11" i="26"/>
  <c r="L11" i="26" s="1"/>
  <c r="J11" i="26"/>
  <c r="K7" i="26"/>
  <c r="L7" i="26" s="1"/>
  <c r="J7" i="26"/>
  <c r="K84" i="26"/>
  <c r="L84" i="26" s="1"/>
  <c r="J84" i="26"/>
  <c r="P84" i="26"/>
  <c r="M84" i="26"/>
  <c r="N84" i="26"/>
  <c r="O84" i="26" s="1"/>
  <c r="K159" i="26"/>
  <c r="L159" i="26" s="1"/>
  <c r="J159" i="26"/>
  <c r="K155" i="26"/>
  <c r="L155" i="26" s="1"/>
  <c r="J155" i="26"/>
  <c r="K151" i="26"/>
  <c r="L151" i="26" s="1"/>
  <c r="J151" i="26"/>
  <c r="K147" i="26"/>
  <c r="L147" i="26" s="1"/>
  <c r="J147" i="26"/>
  <c r="K143" i="26"/>
  <c r="L143" i="26" s="1"/>
  <c r="J143" i="26"/>
  <c r="K139" i="26"/>
  <c r="L139" i="26" s="1"/>
  <c r="J139" i="26"/>
  <c r="K135" i="26"/>
  <c r="L135" i="26" s="1"/>
  <c r="J135" i="26"/>
  <c r="K131" i="26"/>
  <c r="L131" i="26" s="1"/>
  <c r="J131" i="26"/>
  <c r="K128" i="26"/>
  <c r="L128" i="26" s="1"/>
  <c r="J128" i="26"/>
  <c r="K126" i="26"/>
  <c r="L126" i="26" s="1"/>
  <c r="J126" i="26"/>
  <c r="K124" i="26"/>
  <c r="L124" i="26" s="1"/>
  <c r="J124" i="26"/>
  <c r="K122" i="26"/>
  <c r="L122" i="26" s="1"/>
  <c r="J122" i="26"/>
  <c r="K120" i="26"/>
  <c r="L120" i="26" s="1"/>
  <c r="J120" i="26"/>
  <c r="K118" i="26"/>
  <c r="L118" i="26" s="1"/>
  <c r="J118" i="26"/>
  <c r="K116" i="26"/>
  <c r="L116" i="26" s="1"/>
  <c r="J116" i="26"/>
  <c r="K114" i="26"/>
  <c r="L114" i="26" s="1"/>
  <c r="J114" i="26"/>
  <c r="K112" i="26"/>
  <c r="L112" i="26" s="1"/>
  <c r="J112" i="26"/>
  <c r="K110" i="26"/>
  <c r="L110" i="26" s="1"/>
  <c r="J110" i="26"/>
  <c r="K108" i="26"/>
  <c r="L108" i="26" s="1"/>
  <c r="J108" i="26"/>
  <c r="K106" i="26"/>
  <c r="L106" i="26" s="1"/>
  <c r="J106" i="26"/>
  <c r="K104" i="26"/>
  <c r="L104" i="26" s="1"/>
  <c r="J104" i="26"/>
  <c r="K102" i="26"/>
  <c r="L102" i="26" s="1"/>
  <c r="J102" i="26"/>
  <c r="K100" i="26"/>
  <c r="L100" i="26" s="1"/>
  <c r="J100" i="26"/>
  <c r="K98" i="26"/>
  <c r="L98" i="26" s="1"/>
  <c r="J98" i="26"/>
  <c r="K96" i="26"/>
  <c r="L96" i="26" s="1"/>
  <c r="J96" i="26"/>
  <c r="K94" i="26"/>
  <c r="L94" i="26" s="1"/>
  <c r="J94" i="26"/>
  <c r="K92" i="26"/>
  <c r="L92" i="26" s="1"/>
  <c r="J92" i="26"/>
  <c r="K90" i="26"/>
  <c r="L90" i="26" s="1"/>
  <c r="J90" i="26"/>
  <c r="K88" i="26"/>
  <c r="L88" i="26" s="1"/>
  <c r="J88" i="26"/>
  <c r="K163" i="26"/>
  <c r="L163" i="26" s="1"/>
  <c r="J163" i="26"/>
  <c r="K167" i="26"/>
  <c r="L167" i="26" s="1"/>
  <c r="J167" i="26"/>
  <c r="K171" i="26"/>
  <c r="L171" i="26" s="1"/>
  <c r="J171" i="26"/>
  <c r="K175" i="26"/>
  <c r="L175" i="26" s="1"/>
  <c r="J175" i="26"/>
  <c r="K179" i="26"/>
  <c r="L179" i="26" s="1"/>
  <c r="J179" i="26"/>
  <c r="K183" i="26"/>
  <c r="L183" i="26" s="1"/>
  <c r="J183" i="26"/>
  <c r="K187" i="26"/>
  <c r="L187" i="26" s="1"/>
  <c r="J187" i="26"/>
  <c r="K191" i="26"/>
  <c r="L191" i="26" s="1"/>
  <c r="J191" i="26"/>
  <c r="K195" i="26"/>
  <c r="L195" i="26" s="1"/>
  <c r="J195" i="26"/>
  <c r="K199" i="26"/>
  <c r="L199" i="26" s="1"/>
  <c r="J199" i="26"/>
  <c r="K203" i="26"/>
  <c r="L203" i="26" s="1"/>
  <c r="J203" i="26"/>
  <c r="K207" i="26"/>
  <c r="L207" i="26" s="1"/>
  <c r="J207" i="26"/>
  <c r="K211" i="26"/>
  <c r="L211" i="26" s="1"/>
  <c r="J211" i="26"/>
  <c r="K215" i="26"/>
  <c r="L215" i="26" s="1"/>
  <c r="J215" i="26"/>
  <c r="K219" i="26"/>
  <c r="L219" i="26" s="1"/>
  <c r="J219" i="26"/>
  <c r="K223" i="26"/>
  <c r="L223" i="26" s="1"/>
  <c r="J223" i="26"/>
  <c r="K227" i="26"/>
  <c r="L227" i="26" s="1"/>
  <c r="J227" i="26"/>
  <c r="K231" i="26"/>
  <c r="L231" i="26" s="1"/>
  <c r="J231" i="26"/>
  <c r="K235" i="26"/>
  <c r="L235" i="26" s="1"/>
  <c r="J235" i="26"/>
  <c r="K239" i="26"/>
  <c r="L239" i="26" s="1"/>
  <c r="J239" i="26"/>
  <c r="K315" i="26"/>
  <c r="L315" i="26" s="1"/>
  <c r="J315" i="26"/>
  <c r="K311" i="26"/>
  <c r="L311" i="26" s="1"/>
  <c r="J311" i="26"/>
  <c r="K307" i="26"/>
  <c r="L307" i="26" s="1"/>
  <c r="J307" i="26"/>
  <c r="K303" i="26"/>
  <c r="L303" i="26" s="1"/>
  <c r="J303" i="26"/>
  <c r="K299" i="26"/>
  <c r="L299" i="26" s="1"/>
  <c r="J299" i="26"/>
  <c r="K295" i="26"/>
  <c r="L295" i="26" s="1"/>
  <c r="J295" i="26"/>
  <c r="K291" i="26"/>
  <c r="L291" i="26" s="1"/>
  <c r="J291" i="26"/>
  <c r="K287" i="26"/>
  <c r="L287" i="26" s="1"/>
  <c r="J287" i="26"/>
  <c r="K283" i="26"/>
  <c r="L283" i="26" s="1"/>
  <c r="J283" i="26"/>
  <c r="K279" i="26"/>
  <c r="L279" i="26" s="1"/>
  <c r="J279" i="26"/>
  <c r="K275" i="26"/>
  <c r="L275" i="26" s="1"/>
  <c r="J275" i="26"/>
  <c r="K271" i="26"/>
  <c r="L271" i="26" s="1"/>
  <c r="J271" i="26"/>
  <c r="K267" i="26"/>
  <c r="L267" i="26" s="1"/>
  <c r="J267" i="26"/>
  <c r="K263" i="26"/>
  <c r="L263" i="26" s="1"/>
  <c r="J263" i="26"/>
  <c r="K259" i="26"/>
  <c r="L259" i="26" s="1"/>
  <c r="J259" i="26"/>
  <c r="K255" i="26"/>
  <c r="L255" i="26" s="1"/>
  <c r="J255" i="26"/>
  <c r="K251" i="26"/>
  <c r="L251" i="26" s="1"/>
  <c r="J251" i="26"/>
  <c r="K247" i="26"/>
  <c r="L247" i="26" s="1"/>
  <c r="J247" i="26"/>
  <c r="K243" i="26"/>
  <c r="L243" i="26" s="1"/>
  <c r="J243" i="26"/>
  <c r="K395" i="26"/>
  <c r="L395" i="26" s="1"/>
  <c r="J395" i="26"/>
  <c r="K391" i="26"/>
  <c r="L391" i="26" s="1"/>
  <c r="J391" i="26"/>
  <c r="K387" i="26"/>
  <c r="L387" i="26" s="1"/>
  <c r="J387" i="26"/>
  <c r="K383" i="26"/>
  <c r="L383" i="26" s="1"/>
  <c r="J383" i="26"/>
  <c r="K379" i="26"/>
  <c r="L379" i="26" s="1"/>
  <c r="J379" i="26"/>
  <c r="K375" i="26"/>
  <c r="L375" i="26" s="1"/>
  <c r="J375" i="26"/>
  <c r="K371" i="26"/>
  <c r="L371" i="26" s="1"/>
  <c r="J371" i="26"/>
  <c r="K367" i="26"/>
  <c r="L367" i="26" s="1"/>
  <c r="J367" i="26"/>
  <c r="K363" i="26"/>
  <c r="L363" i="26" s="1"/>
  <c r="J363" i="26"/>
  <c r="K359" i="26"/>
  <c r="L359" i="26" s="1"/>
  <c r="J359" i="26"/>
  <c r="K355" i="26"/>
  <c r="L355" i="26" s="1"/>
  <c r="J355" i="26"/>
  <c r="K351" i="26"/>
  <c r="L351" i="26" s="1"/>
  <c r="J351" i="26"/>
  <c r="K347" i="26"/>
  <c r="L347" i="26" s="1"/>
  <c r="J347" i="26"/>
  <c r="K343" i="26"/>
  <c r="L343" i="26" s="1"/>
  <c r="J343" i="26"/>
  <c r="K339" i="26"/>
  <c r="L339" i="26" s="1"/>
  <c r="J339" i="26"/>
  <c r="K335" i="26"/>
  <c r="L335" i="26" s="1"/>
  <c r="J335" i="26"/>
  <c r="K331" i="26"/>
  <c r="L331" i="26" s="1"/>
  <c r="J331" i="26"/>
  <c r="K327" i="26"/>
  <c r="L327" i="26" s="1"/>
  <c r="J327" i="26"/>
  <c r="K323" i="26"/>
  <c r="L323" i="26" s="1"/>
  <c r="J323" i="26"/>
  <c r="K319" i="26"/>
  <c r="L319" i="26" s="1"/>
  <c r="J319" i="26"/>
  <c r="K471" i="26"/>
  <c r="L471" i="26" s="1"/>
  <c r="J471" i="26"/>
  <c r="K467" i="26"/>
  <c r="L467" i="26" s="1"/>
  <c r="J467" i="26"/>
  <c r="K463" i="26"/>
  <c r="L463" i="26" s="1"/>
  <c r="J463" i="26"/>
  <c r="K459" i="26"/>
  <c r="L459" i="26" s="1"/>
  <c r="J459" i="26"/>
  <c r="K455" i="26"/>
  <c r="L455" i="26" s="1"/>
  <c r="J455" i="26"/>
  <c r="K451" i="26"/>
  <c r="L451" i="26" s="1"/>
  <c r="J451" i="26"/>
  <c r="K447" i="26"/>
  <c r="L447" i="26" s="1"/>
  <c r="J447" i="26"/>
  <c r="K443" i="26"/>
  <c r="L443" i="26" s="1"/>
  <c r="J443" i="26"/>
  <c r="K439" i="26"/>
  <c r="L439" i="26" s="1"/>
  <c r="J439" i="26"/>
  <c r="K435" i="26"/>
  <c r="L435" i="26" s="1"/>
  <c r="J435" i="26"/>
  <c r="K431" i="26"/>
  <c r="L431" i="26" s="1"/>
  <c r="J431" i="26"/>
  <c r="K427" i="26"/>
  <c r="L427" i="26" s="1"/>
  <c r="J427" i="26"/>
  <c r="K423" i="26"/>
  <c r="L423" i="26" s="1"/>
  <c r="J423" i="26"/>
  <c r="K419" i="26"/>
  <c r="L419" i="26" s="1"/>
  <c r="J419" i="26"/>
  <c r="K415" i="26"/>
  <c r="L415" i="26" s="1"/>
  <c r="J415" i="26"/>
  <c r="K411" i="26"/>
  <c r="L411" i="26" s="1"/>
  <c r="J411" i="26"/>
  <c r="K407" i="26"/>
  <c r="L407" i="26" s="1"/>
  <c r="J407" i="26"/>
  <c r="K403" i="26"/>
  <c r="L403" i="26" s="1"/>
  <c r="J403" i="26"/>
  <c r="K399" i="26"/>
  <c r="L399" i="26" s="1"/>
  <c r="J399" i="26"/>
  <c r="K551" i="26"/>
  <c r="L551" i="26" s="1"/>
  <c r="J551" i="26"/>
  <c r="K547" i="26"/>
  <c r="L547" i="26" s="1"/>
  <c r="J547" i="26"/>
  <c r="K543" i="26"/>
  <c r="L543" i="26" s="1"/>
  <c r="J543" i="26"/>
  <c r="K539" i="26"/>
  <c r="L539" i="26" s="1"/>
  <c r="J539" i="26"/>
  <c r="K535" i="26"/>
  <c r="L535" i="26" s="1"/>
  <c r="J535" i="26"/>
  <c r="K531" i="26"/>
  <c r="L531" i="26" s="1"/>
  <c r="J531" i="26"/>
  <c r="K527" i="26"/>
  <c r="L527" i="26" s="1"/>
  <c r="J527" i="26"/>
  <c r="K523" i="26"/>
  <c r="L523" i="26" s="1"/>
  <c r="J523" i="26"/>
  <c r="K519" i="26"/>
  <c r="L519" i="26" s="1"/>
  <c r="J519" i="26"/>
  <c r="K515" i="26"/>
  <c r="L515" i="26" s="1"/>
  <c r="J515" i="26"/>
  <c r="K511" i="26"/>
  <c r="L511" i="26" s="1"/>
  <c r="J511" i="26"/>
  <c r="K507" i="26"/>
  <c r="L507" i="26" s="1"/>
  <c r="J507" i="26"/>
  <c r="K503" i="26"/>
  <c r="L503" i="26" s="1"/>
  <c r="J503" i="26"/>
  <c r="K499" i="26"/>
  <c r="L499" i="26" s="1"/>
  <c r="J499" i="26"/>
  <c r="K495" i="26"/>
  <c r="L495" i="26" s="1"/>
  <c r="J495" i="26"/>
  <c r="K491" i="26"/>
  <c r="L491" i="26" s="1"/>
  <c r="J491" i="26"/>
  <c r="K487" i="26"/>
  <c r="L487" i="26" s="1"/>
  <c r="J487" i="26"/>
  <c r="K483" i="26"/>
  <c r="L483" i="26" s="1"/>
  <c r="J483" i="26"/>
  <c r="K479" i="26"/>
  <c r="L479" i="26" s="1"/>
  <c r="J479" i="26"/>
  <c r="K475" i="26"/>
  <c r="L475" i="26" s="1"/>
  <c r="J475" i="26"/>
  <c r="K707" i="26"/>
  <c r="L707" i="26" s="1"/>
  <c r="J707" i="26"/>
  <c r="K703" i="26"/>
  <c r="L703" i="26" s="1"/>
  <c r="J703" i="26"/>
  <c r="K699" i="26"/>
  <c r="L699" i="26" s="1"/>
  <c r="J699" i="26"/>
  <c r="K695" i="26"/>
  <c r="L695" i="26" s="1"/>
  <c r="J695" i="26"/>
  <c r="K691" i="26"/>
  <c r="L691" i="26" s="1"/>
  <c r="J691" i="26"/>
  <c r="K687" i="26"/>
  <c r="L687" i="26" s="1"/>
  <c r="J687" i="26"/>
  <c r="K683" i="26"/>
  <c r="L683" i="26" s="1"/>
  <c r="J683" i="26"/>
  <c r="K679" i="26"/>
  <c r="L679" i="26" s="1"/>
  <c r="J679" i="26"/>
  <c r="K675" i="26"/>
  <c r="L675" i="26" s="1"/>
  <c r="J675" i="26"/>
  <c r="K671" i="26"/>
  <c r="L671" i="26" s="1"/>
  <c r="J671" i="26"/>
  <c r="K667" i="26"/>
  <c r="L667" i="26" s="1"/>
  <c r="J667" i="26"/>
  <c r="K663" i="26"/>
  <c r="L663" i="26" s="1"/>
  <c r="J663" i="26"/>
  <c r="K659" i="26"/>
  <c r="L659" i="26" s="1"/>
  <c r="J659" i="26"/>
  <c r="K655" i="26"/>
  <c r="L655" i="26" s="1"/>
  <c r="J655" i="26"/>
  <c r="K651" i="26"/>
  <c r="L651" i="26" s="1"/>
  <c r="J651" i="26"/>
  <c r="K647" i="26"/>
  <c r="L647" i="26" s="1"/>
  <c r="J647" i="26"/>
  <c r="K643" i="26"/>
  <c r="L643" i="26" s="1"/>
  <c r="J643" i="26"/>
  <c r="K639" i="26"/>
  <c r="L639" i="26" s="1"/>
  <c r="J639" i="26"/>
  <c r="K635" i="26"/>
  <c r="L635" i="26" s="1"/>
  <c r="J635" i="26"/>
  <c r="K631" i="26"/>
  <c r="L631" i="26" s="1"/>
  <c r="J631" i="26"/>
  <c r="K783" i="26"/>
  <c r="L783" i="26" s="1"/>
  <c r="J783" i="26"/>
  <c r="K779" i="26"/>
  <c r="L779" i="26" s="1"/>
  <c r="J779" i="26"/>
  <c r="K775" i="26"/>
  <c r="L775" i="26" s="1"/>
  <c r="J775" i="26"/>
  <c r="K771" i="26"/>
  <c r="L771" i="26" s="1"/>
  <c r="J771" i="26"/>
  <c r="K767" i="26"/>
  <c r="L767" i="26" s="1"/>
  <c r="J767" i="26"/>
  <c r="K763" i="26"/>
  <c r="L763" i="26" s="1"/>
  <c r="J763" i="26"/>
  <c r="K759" i="26"/>
  <c r="L759" i="26" s="1"/>
  <c r="J759" i="26"/>
  <c r="K755" i="26"/>
  <c r="L755" i="26" s="1"/>
  <c r="J755" i="26"/>
  <c r="K751" i="26"/>
  <c r="L751" i="26" s="1"/>
  <c r="J751" i="26"/>
  <c r="K747" i="26"/>
  <c r="L747" i="26" s="1"/>
  <c r="J747" i="26"/>
  <c r="K743" i="26"/>
  <c r="L743" i="26" s="1"/>
  <c r="J743" i="26"/>
  <c r="K739" i="26"/>
  <c r="L739" i="26" s="1"/>
  <c r="J739" i="26"/>
  <c r="K735" i="26"/>
  <c r="L735" i="26" s="1"/>
  <c r="J735" i="26"/>
  <c r="K731" i="26"/>
  <c r="L731" i="26" s="1"/>
  <c r="J731" i="26"/>
  <c r="K727" i="26"/>
  <c r="L727" i="26" s="1"/>
  <c r="J727" i="26"/>
  <c r="K723" i="26"/>
  <c r="L723" i="26" s="1"/>
  <c r="J723" i="26"/>
  <c r="K719" i="26"/>
  <c r="L719" i="26" s="1"/>
  <c r="J719" i="26"/>
  <c r="K715" i="26"/>
  <c r="L715" i="26" s="1"/>
  <c r="J715" i="26"/>
  <c r="K711" i="26"/>
  <c r="L711" i="26" s="1"/>
  <c r="J711" i="26"/>
  <c r="K838" i="26"/>
  <c r="L838" i="26" s="1"/>
  <c r="J838" i="26"/>
  <c r="K834" i="26"/>
  <c r="L834" i="26" s="1"/>
  <c r="J834" i="26"/>
  <c r="K830" i="26"/>
  <c r="L830" i="26" s="1"/>
  <c r="J830" i="26"/>
  <c r="K826" i="26"/>
  <c r="L826" i="26" s="1"/>
  <c r="J826" i="26"/>
  <c r="K822" i="26"/>
  <c r="L822" i="26" s="1"/>
  <c r="J822" i="26"/>
  <c r="K818" i="26"/>
  <c r="L818" i="26" s="1"/>
  <c r="J818" i="26"/>
  <c r="K814" i="26"/>
  <c r="L814" i="26" s="1"/>
  <c r="J814" i="26"/>
  <c r="K810" i="26"/>
  <c r="L810" i="26" s="1"/>
  <c r="J810" i="26"/>
  <c r="K806" i="26"/>
  <c r="L806" i="26" s="1"/>
  <c r="J806" i="26"/>
  <c r="K802" i="26"/>
  <c r="L802" i="26" s="1"/>
  <c r="J802" i="26"/>
  <c r="K798" i="26"/>
  <c r="L798" i="26" s="1"/>
  <c r="J798" i="26"/>
  <c r="K794" i="26"/>
  <c r="L794" i="26" s="1"/>
  <c r="J794" i="26"/>
  <c r="K790" i="26"/>
  <c r="L790" i="26" s="1"/>
  <c r="J790" i="26"/>
  <c r="K849" i="26"/>
  <c r="L849" i="26" s="1"/>
  <c r="J849" i="26"/>
  <c r="K845" i="26"/>
  <c r="L845" i="26" s="1"/>
  <c r="J845" i="26"/>
  <c r="K841" i="26"/>
  <c r="L841" i="26" s="1"/>
  <c r="J841" i="26"/>
  <c r="K861" i="26"/>
  <c r="L861" i="26" s="1"/>
  <c r="J861" i="26"/>
  <c r="K857" i="26"/>
  <c r="L857" i="26" s="1"/>
  <c r="J857" i="26"/>
  <c r="K853" i="26"/>
  <c r="L853" i="26" s="1"/>
  <c r="J853" i="26"/>
  <c r="K863" i="26"/>
  <c r="L863" i="26" s="1"/>
  <c r="J863" i="26"/>
  <c r="K932" i="26"/>
  <c r="L932" i="26" s="1"/>
  <c r="J932" i="26"/>
  <c r="K928" i="26"/>
  <c r="L928" i="26" s="1"/>
  <c r="J928" i="26"/>
  <c r="K924" i="26"/>
  <c r="L924" i="26" s="1"/>
  <c r="J924" i="26"/>
  <c r="K920" i="26"/>
  <c r="L920" i="26" s="1"/>
  <c r="J920" i="26"/>
  <c r="K916" i="26"/>
  <c r="L916" i="26" s="1"/>
  <c r="J916" i="26"/>
  <c r="K912" i="26"/>
  <c r="L912" i="26" s="1"/>
  <c r="J912" i="26"/>
  <c r="K908" i="26"/>
  <c r="L908" i="26" s="1"/>
  <c r="J908" i="26"/>
  <c r="K904" i="26"/>
  <c r="L904" i="26" s="1"/>
  <c r="J904" i="26"/>
  <c r="K900" i="26"/>
  <c r="L900" i="26" s="1"/>
  <c r="J900" i="26"/>
  <c r="K896" i="26"/>
  <c r="L896" i="26" s="1"/>
  <c r="J896" i="26"/>
  <c r="K892" i="26"/>
  <c r="L892" i="26" s="1"/>
  <c r="J892" i="26"/>
  <c r="K888" i="26"/>
  <c r="L888" i="26" s="1"/>
  <c r="J888" i="26"/>
  <c r="K884" i="26"/>
  <c r="L884" i="26" s="1"/>
  <c r="J884" i="26"/>
  <c r="K880" i="26"/>
  <c r="L880" i="26" s="1"/>
  <c r="J880" i="26"/>
  <c r="K876" i="26"/>
  <c r="L876" i="26" s="1"/>
  <c r="J876" i="26"/>
  <c r="K872" i="26"/>
  <c r="L872" i="26" s="1"/>
  <c r="J872" i="26"/>
  <c r="K868" i="26"/>
  <c r="L868" i="26" s="1"/>
  <c r="J868" i="26"/>
  <c r="K941" i="26"/>
  <c r="L941" i="26" s="1"/>
  <c r="J941" i="26"/>
  <c r="K937" i="26"/>
  <c r="L937" i="26" s="1"/>
  <c r="J937" i="26"/>
  <c r="K34" i="26"/>
  <c r="L34" i="26" s="1"/>
  <c r="J34" i="26"/>
  <c r="K160" i="26"/>
  <c r="L160" i="26" s="1"/>
  <c r="J160" i="26"/>
  <c r="K136" i="26"/>
  <c r="L136" i="26" s="1"/>
  <c r="J136" i="26"/>
  <c r="K170" i="26"/>
  <c r="L170" i="26" s="1"/>
  <c r="J170" i="26"/>
  <c r="K186" i="26"/>
  <c r="L186" i="26" s="1"/>
  <c r="J186" i="26"/>
  <c r="K190" i="26"/>
  <c r="L190" i="26" s="1"/>
  <c r="J190" i="26"/>
  <c r="K198" i="26"/>
  <c r="L198" i="26" s="1"/>
  <c r="J198" i="26"/>
  <c r="K202" i="26"/>
  <c r="L202" i="26" s="1"/>
  <c r="J202" i="26"/>
  <c r="K210" i="26"/>
  <c r="L210" i="26" s="1"/>
  <c r="J210" i="26"/>
  <c r="K214" i="26"/>
  <c r="L214" i="26" s="1"/>
  <c r="J214" i="26"/>
  <c r="K222" i="26"/>
  <c r="L222" i="26" s="1"/>
  <c r="J222" i="26"/>
  <c r="K226" i="26"/>
  <c r="L226" i="26" s="1"/>
  <c r="J226" i="26"/>
  <c r="K238" i="26"/>
  <c r="L238" i="26" s="1"/>
  <c r="J238" i="26"/>
  <c r="K316" i="26"/>
  <c r="L316" i="26" s="1"/>
  <c r="J316" i="26"/>
  <c r="K288" i="26"/>
  <c r="L288" i="26" s="1"/>
  <c r="J288" i="26"/>
  <c r="K272" i="26"/>
  <c r="L272" i="26" s="1"/>
  <c r="J272" i="26"/>
  <c r="K268" i="26"/>
  <c r="L268" i="26" s="1"/>
  <c r="J268" i="26"/>
  <c r="K244" i="26"/>
  <c r="L244" i="26" s="1"/>
  <c r="J244" i="26"/>
  <c r="K380" i="26"/>
  <c r="L380" i="26" s="1"/>
  <c r="J380" i="26"/>
  <c r="K372" i="26"/>
  <c r="L372" i="26" s="1"/>
  <c r="J372" i="26"/>
  <c r="K364" i="26"/>
  <c r="L364" i="26" s="1"/>
  <c r="J364" i="26"/>
  <c r="K356" i="26"/>
  <c r="L356" i="26" s="1"/>
  <c r="J356" i="26"/>
  <c r="K348" i="26"/>
  <c r="L348" i="26" s="1"/>
  <c r="J348" i="26"/>
  <c r="K340" i="26"/>
  <c r="L340" i="26" s="1"/>
  <c r="J340" i="26"/>
  <c r="K336" i="26"/>
  <c r="L336" i="26" s="1"/>
  <c r="J336" i="26"/>
  <c r="K332" i="26"/>
  <c r="L332" i="26" s="1"/>
  <c r="J332" i="26"/>
  <c r="K320" i="26"/>
  <c r="L320" i="26" s="1"/>
  <c r="J320" i="26"/>
  <c r="K464" i="26"/>
  <c r="L464" i="26" s="1"/>
  <c r="J464" i="26"/>
  <c r="K452" i="26"/>
  <c r="L452" i="26" s="1"/>
  <c r="J452" i="26"/>
  <c r="K448" i="26"/>
  <c r="L448" i="26" s="1"/>
  <c r="J448" i="26"/>
  <c r="K436" i="26"/>
  <c r="L436" i="26" s="1"/>
  <c r="J436" i="26"/>
  <c r="K424" i="26"/>
  <c r="L424" i="26" s="1"/>
  <c r="J424" i="26"/>
  <c r="K474" i="26"/>
  <c r="L474" i="26" s="1"/>
  <c r="J474" i="26"/>
  <c r="K544" i="26"/>
  <c r="L544" i="26" s="1"/>
  <c r="J544" i="26"/>
  <c r="K532" i="26"/>
  <c r="L532" i="26" s="1"/>
  <c r="J532" i="26"/>
  <c r="K520" i="26"/>
  <c r="L520" i="26" s="1"/>
  <c r="J520" i="26"/>
  <c r="K512" i="26"/>
  <c r="L512" i="26" s="1"/>
  <c r="J512" i="26"/>
  <c r="K476" i="26"/>
  <c r="L476" i="26" s="1"/>
  <c r="J476" i="26"/>
  <c r="K696" i="26"/>
  <c r="L696" i="26" s="1"/>
  <c r="J696" i="26"/>
  <c r="K688" i="26"/>
  <c r="L688" i="26" s="1"/>
  <c r="J688" i="26"/>
  <c r="K672" i="26"/>
  <c r="L672" i="26" s="1"/>
  <c r="J672" i="26"/>
  <c r="K664" i="26"/>
  <c r="L664" i="26" s="1"/>
  <c r="J664" i="26"/>
  <c r="K652" i="26"/>
  <c r="L652" i="26" s="1"/>
  <c r="J652" i="26"/>
  <c r="K648" i="26"/>
  <c r="L648" i="26" s="1"/>
  <c r="J648" i="26"/>
  <c r="K640" i="26"/>
  <c r="L640" i="26" s="1"/>
  <c r="J640" i="26"/>
  <c r="K636" i="26"/>
  <c r="L636" i="26" s="1"/>
  <c r="J636" i="26"/>
  <c r="K776" i="26"/>
  <c r="L776" i="26" s="1"/>
  <c r="J776" i="26"/>
  <c r="K768" i="26"/>
  <c r="L768" i="26" s="1"/>
  <c r="J768" i="26"/>
  <c r="K760" i="26"/>
  <c r="L760" i="26" s="1"/>
  <c r="J760" i="26"/>
  <c r="K756" i="26"/>
  <c r="L756" i="26" s="1"/>
  <c r="J756" i="26"/>
  <c r="K748" i="26"/>
  <c r="L748" i="26" s="1"/>
  <c r="J748" i="26"/>
  <c r="K736" i="26"/>
  <c r="L736" i="26" s="1"/>
  <c r="J736" i="26"/>
  <c r="K728" i="26"/>
  <c r="L728" i="26" s="1"/>
  <c r="J728" i="26"/>
  <c r="K716" i="26"/>
  <c r="L716" i="26" s="1"/>
  <c r="J716" i="26"/>
  <c r="K831" i="26"/>
  <c r="L831" i="26" s="1"/>
  <c r="J831" i="26"/>
  <c r="K823" i="26"/>
  <c r="L823" i="26" s="1"/>
  <c r="J823" i="26"/>
  <c r="K819" i="26"/>
  <c r="L819" i="26" s="1"/>
  <c r="J819" i="26"/>
  <c r="K807" i="26"/>
  <c r="L807" i="26" s="1"/>
  <c r="J807" i="26"/>
  <c r="K803" i="26"/>
  <c r="L803" i="26" s="1"/>
  <c r="J803" i="26"/>
  <c r="K846" i="26"/>
  <c r="L846" i="26" s="1"/>
  <c r="J846" i="26"/>
  <c r="K862" i="26"/>
  <c r="L862" i="26" s="1"/>
  <c r="J862" i="26"/>
  <c r="K854" i="26"/>
  <c r="L854" i="26" s="1"/>
  <c r="J854" i="26"/>
  <c r="K850" i="26"/>
  <c r="L850" i="26" s="1"/>
  <c r="J850" i="26"/>
  <c r="K933" i="26"/>
  <c r="L933" i="26" s="1"/>
  <c r="J933" i="26"/>
  <c r="K929" i="26"/>
  <c r="L929" i="26" s="1"/>
  <c r="J929" i="26"/>
  <c r="K921" i="26"/>
  <c r="L921" i="26" s="1"/>
  <c r="J921" i="26"/>
  <c r="K917" i="26"/>
  <c r="L917" i="26" s="1"/>
  <c r="J917" i="26"/>
  <c r="K913" i="26"/>
  <c r="L913" i="26" s="1"/>
  <c r="J913" i="26"/>
  <c r="K905" i="26"/>
  <c r="L905" i="26" s="1"/>
  <c r="J905" i="26"/>
  <c r="K897" i="26"/>
  <c r="L897" i="26" s="1"/>
  <c r="J897" i="26"/>
  <c r="K889" i="26"/>
  <c r="L889" i="26" s="1"/>
  <c r="J889" i="26"/>
  <c r="K881" i="26"/>
  <c r="L881" i="26" s="1"/>
  <c r="J881" i="26"/>
  <c r="K873" i="26"/>
  <c r="L873" i="26" s="1"/>
  <c r="J873" i="26"/>
  <c r="K12" i="26"/>
  <c r="L12" i="26" s="1"/>
  <c r="J12" i="26"/>
  <c r="K85" i="26"/>
  <c r="L85" i="26" s="1"/>
  <c r="J85" i="26"/>
  <c r="K158" i="26"/>
  <c r="L158" i="26" s="1"/>
  <c r="J158" i="26"/>
  <c r="K154" i="26"/>
  <c r="L154" i="26" s="1"/>
  <c r="J154" i="26"/>
  <c r="K150" i="26"/>
  <c r="L150" i="26" s="1"/>
  <c r="J150" i="26"/>
  <c r="K146" i="26"/>
  <c r="L146" i="26" s="1"/>
  <c r="J146" i="26"/>
  <c r="K142" i="26"/>
  <c r="L142" i="26" s="1"/>
  <c r="J142" i="26"/>
  <c r="K138" i="26"/>
  <c r="L138" i="26" s="1"/>
  <c r="J138" i="26"/>
  <c r="K134" i="26"/>
  <c r="L134" i="26" s="1"/>
  <c r="J134" i="26"/>
  <c r="K130" i="26"/>
  <c r="L130" i="26" s="1"/>
  <c r="J130" i="26"/>
  <c r="K164" i="26"/>
  <c r="L164" i="26" s="1"/>
  <c r="J164" i="26"/>
  <c r="K168" i="26"/>
  <c r="L168" i="26" s="1"/>
  <c r="J168" i="26"/>
  <c r="K172" i="26"/>
  <c r="L172" i="26" s="1"/>
  <c r="J172" i="26"/>
  <c r="K176" i="26"/>
  <c r="L176" i="26" s="1"/>
  <c r="J176" i="26"/>
  <c r="K180" i="26"/>
  <c r="L180" i="26" s="1"/>
  <c r="J180" i="26"/>
  <c r="K184" i="26"/>
  <c r="L184" i="26" s="1"/>
  <c r="J184" i="26"/>
  <c r="K188" i="26"/>
  <c r="L188" i="26" s="1"/>
  <c r="J188" i="26"/>
  <c r="K192" i="26"/>
  <c r="L192" i="26" s="1"/>
  <c r="J192" i="26"/>
  <c r="K196" i="26"/>
  <c r="L196" i="26" s="1"/>
  <c r="J196" i="26"/>
  <c r="K200" i="26"/>
  <c r="L200" i="26" s="1"/>
  <c r="J200" i="26"/>
  <c r="K204" i="26"/>
  <c r="L204" i="26" s="1"/>
  <c r="J204" i="26"/>
  <c r="K208" i="26"/>
  <c r="L208" i="26" s="1"/>
  <c r="J208" i="26"/>
  <c r="K212" i="26"/>
  <c r="L212" i="26" s="1"/>
  <c r="J212" i="26"/>
  <c r="K216" i="26"/>
  <c r="L216" i="26" s="1"/>
  <c r="J216" i="26"/>
  <c r="K220" i="26"/>
  <c r="L220" i="26" s="1"/>
  <c r="J220" i="26"/>
  <c r="K224" i="26"/>
  <c r="L224" i="26" s="1"/>
  <c r="J224" i="26"/>
  <c r="K228" i="26"/>
  <c r="L228" i="26" s="1"/>
  <c r="J228" i="26"/>
  <c r="K232" i="26"/>
  <c r="L232" i="26" s="1"/>
  <c r="J232" i="26"/>
  <c r="K236" i="26"/>
  <c r="L236" i="26" s="1"/>
  <c r="J236" i="26"/>
  <c r="K240" i="26"/>
  <c r="L240" i="26" s="1"/>
  <c r="J240" i="26"/>
  <c r="P240" i="26"/>
  <c r="M240" i="26"/>
  <c r="N240" i="26"/>
  <c r="O240" i="26" s="1"/>
  <c r="K314" i="26"/>
  <c r="L314" i="26" s="1"/>
  <c r="J314" i="26"/>
  <c r="K310" i="26"/>
  <c r="L310" i="26" s="1"/>
  <c r="J310" i="26"/>
  <c r="K306" i="26"/>
  <c r="L306" i="26" s="1"/>
  <c r="J306" i="26"/>
  <c r="K302" i="26"/>
  <c r="L302" i="26" s="1"/>
  <c r="J302" i="26"/>
  <c r="K298" i="26"/>
  <c r="L298" i="26" s="1"/>
  <c r="J298" i="26"/>
  <c r="K294" i="26"/>
  <c r="L294" i="26" s="1"/>
  <c r="J294" i="26"/>
  <c r="K290" i="26"/>
  <c r="L290" i="26" s="1"/>
  <c r="J290" i="26"/>
  <c r="K286" i="26"/>
  <c r="L286" i="26" s="1"/>
  <c r="J286" i="26"/>
  <c r="K282" i="26"/>
  <c r="L282" i="26" s="1"/>
  <c r="J282" i="26"/>
  <c r="K278" i="26"/>
  <c r="L278" i="26" s="1"/>
  <c r="J278" i="26"/>
  <c r="K274" i="26"/>
  <c r="L274" i="26" s="1"/>
  <c r="J274" i="26"/>
  <c r="K270" i="26"/>
  <c r="L270" i="26" s="1"/>
  <c r="J270" i="26"/>
  <c r="K266" i="26"/>
  <c r="L266" i="26" s="1"/>
  <c r="J266" i="26"/>
  <c r="K262" i="26"/>
  <c r="L262" i="26" s="1"/>
  <c r="J262" i="26"/>
  <c r="K258" i="26"/>
  <c r="L258" i="26" s="1"/>
  <c r="J258" i="26"/>
  <c r="K254" i="26"/>
  <c r="L254" i="26" s="1"/>
  <c r="J254" i="26"/>
  <c r="K250" i="26"/>
  <c r="L250" i="26" s="1"/>
  <c r="J250" i="26"/>
  <c r="K246" i="26"/>
  <c r="L246" i="26" s="1"/>
  <c r="J246" i="26"/>
  <c r="K242" i="26"/>
  <c r="L242" i="26" s="1"/>
  <c r="J242" i="26"/>
  <c r="K394" i="26"/>
  <c r="L394" i="26" s="1"/>
  <c r="J394" i="26"/>
  <c r="K390" i="26"/>
  <c r="L390" i="26" s="1"/>
  <c r="J390" i="26"/>
  <c r="K386" i="26"/>
  <c r="L386" i="26" s="1"/>
  <c r="J386" i="26"/>
  <c r="K382" i="26"/>
  <c r="L382" i="26" s="1"/>
  <c r="J382" i="26"/>
  <c r="K378" i="26"/>
  <c r="L378" i="26" s="1"/>
  <c r="J378" i="26"/>
  <c r="K374" i="26"/>
  <c r="L374" i="26" s="1"/>
  <c r="J374" i="26"/>
  <c r="K370" i="26"/>
  <c r="L370" i="26" s="1"/>
  <c r="J370" i="26"/>
  <c r="K366" i="26"/>
  <c r="L366" i="26" s="1"/>
  <c r="J366" i="26"/>
  <c r="K362" i="26"/>
  <c r="L362" i="26" s="1"/>
  <c r="J362" i="26"/>
  <c r="K358" i="26"/>
  <c r="L358" i="26" s="1"/>
  <c r="J358" i="26"/>
  <c r="K354" i="26"/>
  <c r="L354" i="26" s="1"/>
  <c r="J354" i="26"/>
  <c r="K350" i="26"/>
  <c r="L350" i="26" s="1"/>
  <c r="J350" i="26"/>
  <c r="K346" i="26"/>
  <c r="L346" i="26" s="1"/>
  <c r="J346" i="26"/>
  <c r="K342" i="26"/>
  <c r="L342" i="26" s="1"/>
  <c r="J342" i="26"/>
  <c r="K338" i="26"/>
  <c r="L338" i="26" s="1"/>
  <c r="J338" i="26"/>
  <c r="K334" i="26"/>
  <c r="L334" i="26" s="1"/>
  <c r="J334" i="26"/>
  <c r="K330" i="26"/>
  <c r="L330" i="26" s="1"/>
  <c r="J330" i="26"/>
  <c r="K326" i="26"/>
  <c r="L326" i="26" s="1"/>
  <c r="J326" i="26"/>
  <c r="K322" i="26"/>
  <c r="L322" i="26" s="1"/>
  <c r="J322" i="26"/>
  <c r="P396" i="26"/>
  <c r="M396" i="26"/>
  <c r="N396" i="26"/>
  <c r="O396" i="26" s="1"/>
  <c r="K396" i="26"/>
  <c r="L396" i="26" s="1"/>
  <c r="J396" i="26"/>
  <c r="K470" i="26"/>
  <c r="L470" i="26" s="1"/>
  <c r="J470" i="26"/>
  <c r="K466" i="26"/>
  <c r="L466" i="26" s="1"/>
  <c r="J466" i="26"/>
  <c r="K462" i="26"/>
  <c r="L462" i="26" s="1"/>
  <c r="J462" i="26"/>
  <c r="K458" i="26"/>
  <c r="L458" i="26" s="1"/>
  <c r="J458" i="26"/>
  <c r="K454" i="26"/>
  <c r="L454" i="26" s="1"/>
  <c r="J454" i="26"/>
  <c r="K450" i="26"/>
  <c r="L450" i="26" s="1"/>
  <c r="J450" i="26"/>
  <c r="K446" i="26"/>
  <c r="L446" i="26" s="1"/>
  <c r="J446" i="26"/>
  <c r="K442" i="26"/>
  <c r="L442" i="26" s="1"/>
  <c r="J442" i="26"/>
  <c r="K438" i="26"/>
  <c r="L438" i="26" s="1"/>
  <c r="J438" i="26"/>
  <c r="K434" i="26"/>
  <c r="L434" i="26" s="1"/>
  <c r="J434" i="26"/>
  <c r="K430" i="26"/>
  <c r="L430" i="26" s="1"/>
  <c r="J430" i="26"/>
  <c r="K426" i="26"/>
  <c r="L426" i="26" s="1"/>
  <c r="J426" i="26"/>
  <c r="K422" i="26"/>
  <c r="L422" i="26" s="1"/>
  <c r="J422" i="26"/>
  <c r="K418" i="26"/>
  <c r="L418" i="26" s="1"/>
  <c r="J418" i="26"/>
  <c r="K414" i="26"/>
  <c r="L414" i="26" s="1"/>
  <c r="J414" i="26"/>
  <c r="K410" i="26"/>
  <c r="L410" i="26" s="1"/>
  <c r="J410" i="26"/>
  <c r="K406" i="26"/>
  <c r="L406" i="26" s="1"/>
  <c r="J406" i="26"/>
  <c r="K402" i="26"/>
  <c r="L402" i="26" s="1"/>
  <c r="J402" i="26"/>
  <c r="K398" i="26"/>
  <c r="L398" i="26" s="1"/>
  <c r="J398" i="26"/>
  <c r="K550" i="26"/>
  <c r="L550" i="26" s="1"/>
  <c r="J550" i="26"/>
  <c r="K546" i="26"/>
  <c r="L546" i="26" s="1"/>
  <c r="J546" i="26"/>
  <c r="K542" i="26"/>
  <c r="L542" i="26" s="1"/>
  <c r="J542" i="26"/>
  <c r="K538" i="26"/>
  <c r="L538" i="26" s="1"/>
  <c r="J538" i="26"/>
  <c r="K534" i="26"/>
  <c r="L534" i="26" s="1"/>
  <c r="J534" i="26"/>
  <c r="K530" i="26"/>
  <c r="L530" i="26" s="1"/>
  <c r="J530" i="26"/>
  <c r="K526" i="26"/>
  <c r="L526" i="26" s="1"/>
  <c r="J526" i="26"/>
  <c r="K522" i="26"/>
  <c r="L522" i="26" s="1"/>
  <c r="J522" i="26"/>
  <c r="K518" i="26"/>
  <c r="L518" i="26" s="1"/>
  <c r="J518" i="26"/>
  <c r="K514" i="26"/>
  <c r="L514" i="26" s="1"/>
  <c r="J514" i="26"/>
  <c r="K510" i="26"/>
  <c r="L510" i="26" s="1"/>
  <c r="J510" i="26"/>
  <c r="K506" i="26"/>
  <c r="L506" i="26" s="1"/>
  <c r="J506" i="26"/>
  <c r="K502" i="26"/>
  <c r="L502" i="26" s="1"/>
  <c r="J502" i="26"/>
  <c r="K498" i="26"/>
  <c r="L498" i="26" s="1"/>
  <c r="J498" i="26"/>
  <c r="K494" i="26"/>
  <c r="L494" i="26" s="1"/>
  <c r="J494" i="26"/>
  <c r="K490" i="26"/>
  <c r="L490" i="26" s="1"/>
  <c r="J490" i="26"/>
  <c r="K486" i="26"/>
  <c r="L486" i="26" s="1"/>
  <c r="J486" i="26"/>
  <c r="K482" i="26"/>
  <c r="L482" i="26" s="1"/>
  <c r="J482" i="26"/>
  <c r="K478" i="26"/>
  <c r="L478" i="26" s="1"/>
  <c r="J478" i="26"/>
  <c r="K706" i="26"/>
  <c r="L706" i="26" s="1"/>
  <c r="J706" i="26"/>
  <c r="K702" i="26"/>
  <c r="L702" i="26" s="1"/>
  <c r="J702" i="26"/>
  <c r="K698" i="26"/>
  <c r="L698" i="26" s="1"/>
  <c r="J698" i="26"/>
  <c r="K694" i="26"/>
  <c r="L694" i="26" s="1"/>
  <c r="J694" i="26"/>
  <c r="K690" i="26"/>
  <c r="L690" i="26" s="1"/>
  <c r="J690" i="26"/>
  <c r="K686" i="26"/>
  <c r="L686" i="26" s="1"/>
  <c r="J686" i="26"/>
  <c r="K682" i="26"/>
  <c r="L682" i="26" s="1"/>
  <c r="J682" i="26"/>
  <c r="K678" i="26"/>
  <c r="L678" i="26" s="1"/>
  <c r="J678" i="26"/>
  <c r="K674" i="26"/>
  <c r="L674" i="26" s="1"/>
  <c r="J674" i="26"/>
  <c r="K670" i="26"/>
  <c r="L670" i="26" s="1"/>
  <c r="J670" i="26"/>
  <c r="K666" i="26"/>
  <c r="L666" i="26" s="1"/>
  <c r="J666" i="26"/>
  <c r="K662" i="26"/>
  <c r="L662" i="26" s="1"/>
  <c r="J662" i="26"/>
  <c r="K658" i="26"/>
  <c r="L658" i="26" s="1"/>
  <c r="J658" i="26"/>
  <c r="K654" i="26"/>
  <c r="L654" i="26" s="1"/>
  <c r="J654" i="26"/>
  <c r="K650" i="26"/>
  <c r="L650" i="26" s="1"/>
  <c r="J650" i="26"/>
  <c r="K646" i="26"/>
  <c r="L646" i="26" s="1"/>
  <c r="J646" i="26"/>
  <c r="K642" i="26"/>
  <c r="L642" i="26" s="1"/>
  <c r="J642" i="26"/>
  <c r="K638" i="26"/>
  <c r="L638" i="26" s="1"/>
  <c r="J638" i="26"/>
  <c r="K634" i="26"/>
  <c r="L634" i="26" s="1"/>
  <c r="J634" i="26"/>
  <c r="K708" i="26"/>
  <c r="L708" i="26" s="1"/>
  <c r="J708" i="26"/>
  <c r="K782" i="26"/>
  <c r="L782" i="26" s="1"/>
  <c r="J782" i="26"/>
  <c r="K778" i="26"/>
  <c r="L778" i="26" s="1"/>
  <c r="J778" i="26"/>
  <c r="K774" i="26"/>
  <c r="L774" i="26" s="1"/>
  <c r="J774" i="26"/>
  <c r="K770" i="26"/>
  <c r="L770" i="26" s="1"/>
  <c r="J770" i="26"/>
  <c r="K766" i="26"/>
  <c r="L766" i="26" s="1"/>
  <c r="J766" i="26"/>
  <c r="K762" i="26"/>
  <c r="L762" i="26" s="1"/>
  <c r="J762" i="26"/>
  <c r="K758" i="26"/>
  <c r="L758" i="26" s="1"/>
  <c r="J758" i="26"/>
  <c r="K754" i="26"/>
  <c r="L754" i="26" s="1"/>
  <c r="J754" i="26"/>
  <c r="K750" i="26"/>
  <c r="L750" i="26" s="1"/>
  <c r="J750" i="26"/>
  <c r="K746" i="26"/>
  <c r="L746" i="26" s="1"/>
  <c r="J746" i="26"/>
  <c r="K742" i="26"/>
  <c r="L742" i="26" s="1"/>
  <c r="J742" i="26"/>
  <c r="K738" i="26"/>
  <c r="L738" i="26" s="1"/>
  <c r="J738" i="26"/>
  <c r="K734" i="26"/>
  <c r="L734" i="26" s="1"/>
  <c r="J734" i="26"/>
  <c r="K730" i="26"/>
  <c r="L730" i="26" s="1"/>
  <c r="J730" i="26"/>
  <c r="K726" i="26"/>
  <c r="L726" i="26" s="1"/>
  <c r="J726" i="26"/>
  <c r="K722" i="26"/>
  <c r="L722" i="26" s="1"/>
  <c r="J722" i="26"/>
  <c r="K718" i="26"/>
  <c r="L718" i="26" s="1"/>
  <c r="J718" i="26"/>
  <c r="K714" i="26"/>
  <c r="L714" i="26" s="1"/>
  <c r="J714" i="26"/>
  <c r="K710" i="26"/>
  <c r="L710" i="26" s="1"/>
  <c r="J710" i="26"/>
  <c r="K837" i="26"/>
  <c r="L837" i="26" s="1"/>
  <c r="J837" i="26"/>
  <c r="K833" i="26"/>
  <c r="L833" i="26" s="1"/>
  <c r="J833" i="26"/>
  <c r="K829" i="26"/>
  <c r="L829" i="26" s="1"/>
  <c r="J829" i="26"/>
  <c r="K825" i="26"/>
  <c r="L825" i="26" s="1"/>
  <c r="J825" i="26"/>
  <c r="K821" i="26"/>
  <c r="L821" i="26" s="1"/>
  <c r="J821" i="26"/>
  <c r="K817" i="26"/>
  <c r="L817" i="26" s="1"/>
  <c r="J817" i="26"/>
  <c r="K813" i="26"/>
  <c r="L813" i="26" s="1"/>
  <c r="J813" i="26"/>
  <c r="K809" i="26"/>
  <c r="L809" i="26" s="1"/>
  <c r="J809" i="26"/>
  <c r="K805" i="26"/>
  <c r="L805" i="26" s="1"/>
  <c r="J805" i="26"/>
  <c r="K801" i="26"/>
  <c r="L801" i="26" s="1"/>
  <c r="J801" i="26"/>
  <c r="K797" i="26"/>
  <c r="L797" i="26" s="1"/>
  <c r="J797" i="26"/>
  <c r="K793" i="26"/>
  <c r="L793" i="26" s="1"/>
  <c r="J793" i="26"/>
  <c r="K789" i="26"/>
  <c r="L789" i="26" s="1"/>
  <c r="J789" i="26"/>
  <c r="K848" i="26"/>
  <c r="L848" i="26" s="1"/>
  <c r="J848" i="26"/>
  <c r="K844" i="26"/>
  <c r="L844" i="26" s="1"/>
  <c r="J844" i="26"/>
  <c r="K840" i="26"/>
  <c r="L840" i="26" s="1"/>
  <c r="J840" i="26"/>
  <c r="K860" i="26"/>
  <c r="L860" i="26" s="1"/>
  <c r="J860" i="26"/>
  <c r="K856" i="26"/>
  <c r="L856" i="26" s="1"/>
  <c r="J856" i="26"/>
  <c r="K852" i="26"/>
  <c r="L852" i="26" s="1"/>
  <c r="J852" i="26"/>
  <c r="K864" i="26"/>
  <c r="L864" i="26" s="1"/>
  <c r="J864" i="26"/>
  <c r="K931" i="26"/>
  <c r="L931" i="26" s="1"/>
  <c r="J931" i="26"/>
  <c r="K927" i="26"/>
  <c r="L927" i="26" s="1"/>
  <c r="J927" i="26"/>
  <c r="K923" i="26"/>
  <c r="L923" i="26" s="1"/>
  <c r="J923" i="26"/>
  <c r="K919" i="26"/>
  <c r="L919" i="26" s="1"/>
  <c r="J919" i="26"/>
  <c r="K915" i="26"/>
  <c r="L915" i="26" s="1"/>
  <c r="J915" i="26"/>
  <c r="K911" i="26"/>
  <c r="L911" i="26" s="1"/>
  <c r="J911" i="26"/>
  <c r="K907" i="26"/>
  <c r="L907" i="26" s="1"/>
  <c r="J907" i="26"/>
  <c r="K903" i="26"/>
  <c r="L903" i="26" s="1"/>
  <c r="J903" i="26"/>
  <c r="K899" i="26"/>
  <c r="L899" i="26" s="1"/>
  <c r="J899" i="26"/>
  <c r="K895" i="26"/>
  <c r="L895" i="26" s="1"/>
  <c r="J895" i="26"/>
  <c r="K891" i="26"/>
  <c r="L891" i="26" s="1"/>
  <c r="J891" i="26"/>
  <c r="K887" i="26"/>
  <c r="L887" i="26" s="1"/>
  <c r="J887" i="26"/>
  <c r="K883" i="26"/>
  <c r="L883" i="26" s="1"/>
  <c r="J883" i="26"/>
  <c r="K879" i="26"/>
  <c r="L879" i="26" s="1"/>
  <c r="J879" i="26"/>
  <c r="K875" i="26"/>
  <c r="L875" i="26" s="1"/>
  <c r="J875" i="26"/>
  <c r="J871" i="26"/>
  <c r="K871" i="26"/>
  <c r="L871" i="26" s="1"/>
  <c r="K867" i="26"/>
  <c r="L867" i="26" s="1"/>
  <c r="J867" i="26"/>
  <c r="K940" i="26"/>
  <c r="L940" i="26" s="1"/>
  <c r="J940" i="26"/>
  <c r="K936" i="26"/>
  <c r="L936" i="26" s="1"/>
  <c r="J936" i="26"/>
  <c r="K30" i="26"/>
  <c r="L30" i="26" s="1"/>
  <c r="J30" i="26"/>
  <c r="K26" i="26"/>
  <c r="L26" i="26" s="1"/>
  <c r="J26" i="26"/>
  <c r="K22" i="26"/>
  <c r="L22" i="26" s="1"/>
  <c r="J22" i="26"/>
  <c r="K18" i="26"/>
  <c r="L18" i="26" s="1"/>
  <c r="J18" i="26"/>
  <c r="K14" i="26"/>
  <c r="L14" i="26" s="1"/>
  <c r="J14" i="26"/>
  <c r="K10" i="26"/>
  <c r="L10" i="26" s="1"/>
  <c r="J10" i="26"/>
  <c r="K86" i="26"/>
  <c r="L86" i="26" s="1"/>
  <c r="J86" i="26"/>
  <c r="K156" i="26"/>
  <c r="L156" i="26" s="1"/>
  <c r="J156" i="26"/>
  <c r="K148" i="26"/>
  <c r="L148" i="26" s="1"/>
  <c r="J148" i="26"/>
  <c r="K178" i="26"/>
  <c r="L178" i="26" s="1"/>
  <c r="J178" i="26"/>
  <c r="K182" i="26"/>
  <c r="L182" i="26" s="1"/>
  <c r="J182" i="26"/>
  <c r="K194" i="26"/>
  <c r="L194" i="26" s="1"/>
  <c r="J194" i="26"/>
  <c r="K206" i="26"/>
  <c r="L206" i="26" s="1"/>
  <c r="J206" i="26"/>
  <c r="K218" i="26"/>
  <c r="L218" i="26" s="1"/>
  <c r="J218" i="26"/>
  <c r="K230" i="26"/>
  <c r="L230" i="26" s="1"/>
  <c r="J230" i="26"/>
  <c r="K234" i="26"/>
  <c r="L234" i="26" s="1"/>
  <c r="J234" i="26"/>
  <c r="K308" i="26"/>
  <c r="L308" i="26" s="1"/>
  <c r="J308" i="26"/>
  <c r="K300" i="26"/>
  <c r="L300" i="26" s="1"/>
  <c r="J300" i="26"/>
  <c r="K296" i="26"/>
  <c r="L296" i="26" s="1"/>
  <c r="J296" i="26"/>
  <c r="K292" i="26"/>
  <c r="L292" i="26" s="1"/>
  <c r="J292" i="26"/>
  <c r="K280" i="26"/>
  <c r="L280" i="26" s="1"/>
  <c r="J280" i="26"/>
  <c r="K276" i="26"/>
  <c r="L276" i="26" s="1"/>
  <c r="J276" i="26"/>
  <c r="K260" i="26"/>
  <c r="L260" i="26" s="1"/>
  <c r="J260" i="26"/>
  <c r="K256" i="26"/>
  <c r="L256" i="26" s="1"/>
  <c r="J256" i="26"/>
  <c r="K252" i="26"/>
  <c r="L252" i="26" s="1"/>
  <c r="J252" i="26"/>
  <c r="K248" i="26"/>
  <c r="L248" i="26" s="1"/>
  <c r="J248" i="26"/>
  <c r="K318" i="26"/>
  <c r="L318" i="26" s="1"/>
  <c r="J318" i="26"/>
  <c r="K384" i="26"/>
  <c r="L384" i="26" s="1"/>
  <c r="J384" i="26"/>
  <c r="K344" i="26"/>
  <c r="L344" i="26" s="1"/>
  <c r="J344" i="26"/>
  <c r="K324" i="26"/>
  <c r="L324" i="26" s="1"/>
  <c r="J324" i="26"/>
  <c r="K472" i="26"/>
  <c r="L472" i="26" s="1"/>
  <c r="J472" i="26"/>
  <c r="K460" i="26"/>
  <c r="L460" i="26" s="1"/>
  <c r="J460" i="26"/>
  <c r="K456" i="26"/>
  <c r="L456" i="26" s="1"/>
  <c r="J456" i="26"/>
  <c r="K444" i="26"/>
  <c r="L444" i="26" s="1"/>
  <c r="J444" i="26"/>
  <c r="K432" i="26"/>
  <c r="L432" i="26" s="1"/>
  <c r="J432" i="26"/>
  <c r="K408" i="26"/>
  <c r="L408" i="26" s="1"/>
  <c r="J408" i="26"/>
  <c r="K548" i="26"/>
  <c r="L548" i="26" s="1"/>
  <c r="J548" i="26"/>
  <c r="K540" i="26"/>
  <c r="L540" i="26" s="1"/>
  <c r="J540" i="26"/>
  <c r="K528" i="26"/>
  <c r="L528" i="26" s="1"/>
  <c r="J528" i="26"/>
  <c r="K516" i="26"/>
  <c r="L516" i="26" s="1"/>
  <c r="J516" i="26"/>
  <c r="K492" i="26"/>
  <c r="L492" i="26" s="1"/>
  <c r="J492" i="26"/>
  <c r="K488" i="26"/>
  <c r="L488" i="26" s="1"/>
  <c r="J488" i="26"/>
  <c r="K484" i="26"/>
  <c r="L484" i="26" s="1"/>
  <c r="J484" i="26"/>
  <c r="K480" i="26"/>
  <c r="L480" i="26" s="1"/>
  <c r="J480" i="26"/>
  <c r="K700" i="26"/>
  <c r="L700" i="26" s="1"/>
  <c r="J700" i="26"/>
  <c r="K668" i="26"/>
  <c r="L668" i="26" s="1"/>
  <c r="J668" i="26"/>
  <c r="K660" i="26"/>
  <c r="L660" i="26" s="1"/>
  <c r="J660" i="26"/>
  <c r="K644" i="26"/>
  <c r="L644" i="26" s="1"/>
  <c r="J644" i="26"/>
  <c r="K784" i="26"/>
  <c r="L784" i="26" s="1"/>
  <c r="J784" i="26"/>
  <c r="K772" i="26"/>
  <c r="L772" i="26" s="1"/>
  <c r="J772" i="26"/>
  <c r="K764" i="26"/>
  <c r="L764" i="26" s="1"/>
  <c r="J764" i="26"/>
  <c r="K740" i="26"/>
  <c r="L740" i="26" s="1"/>
  <c r="J740" i="26"/>
  <c r="K720" i="26"/>
  <c r="L720" i="26" s="1"/>
  <c r="J720" i="26"/>
  <c r="K835" i="26"/>
  <c r="L835" i="26" s="1"/>
  <c r="J835" i="26"/>
  <c r="K827" i="26"/>
  <c r="L827" i="26" s="1"/>
  <c r="J827" i="26"/>
  <c r="K815" i="26"/>
  <c r="L815" i="26" s="1"/>
  <c r="J815" i="26"/>
  <c r="K795" i="26"/>
  <c r="L795" i="26" s="1"/>
  <c r="J795" i="26"/>
  <c r="K787" i="26"/>
  <c r="L787" i="26" s="1"/>
  <c r="J787" i="26"/>
  <c r="K909" i="26"/>
  <c r="L909" i="26" s="1"/>
  <c r="J909" i="26"/>
  <c r="K36" i="26"/>
  <c r="L36" i="26" s="1"/>
  <c r="J36" i="26"/>
  <c r="K32" i="26"/>
  <c r="L32" i="26" s="1"/>
  <c r="J32" i="26"/>
  <c r="K28" i="26"/>
  <c r="L28" i="26" s="1"/>
  <c r="J28" i="26"/>
  <c r="K24" i="26"/>
  <c r="L24" i="26" s="1"/>
  <c r="J24" i="26"/>
  <c r="K20" i="26"/>
  <c r="L20" i="26" s="1"/>
  <c r="J20" i="26"/>
  <c r="K16" i="26"/>
  <c r="L16" i="26" s="1"/>
  <c r="J16" i="26"/>
  <c r="K8" i="26"/>
  <c r="L8" i="26" s="1"/>
  <c r="J8" i="26"/>
  <c r="K6" i="26"/>
  <c r="L6" i="26" s="1"/>
  <c r="J6" i="26"/>
  <c r="K33" i="26"/>
  <c r="L33" i="26" s="1"/>
  <c r="J33" i="26"/>
  <c r="K29" i="26"/>
  <c r="L29" i="26" s="1"/>
  <c r="J29" i="26"/>
  <c r="K25" i="26"/>
  <c r="L25" i="26" s="1"/>
  <c r="J25" i="26"/>
  <c r="K21" i="26"/>
  <c r="L21" i="26" s="1"/>
  <c r="J21" i="26"/>
  <c r="K17" i="26"/>
  <c r="L17" i="26" s="1"/>
  <c r="J17" i="26"/>
  <c r="K13" i="26"/>
  <c r="L13" i="26" s="1"/>
  <c r="J13" i="26"/>
  <c r="K9" i="26"/>
  <c r="L9" i="26" s="1"/>
  <c r="J9" i="26"/>
  <c r="K161" i="26"/>
  <c r="L161" i="26" s="1"/>
  <c r="J161" i="26"/>
  <c r="K157" i="26"/>
  <c r="L157" i="26" s="1"/>
  <c r="J157" i="26"/>
  <c r="K153" i="26"/>
  <c r="L153" i="26" s="1"/>
  <c r="J153" i="26"/>
  <c r="K149" i="26"/>
  <c r="L149" i="26" s="1"/>
  <c r="J149" i="26"/>
  <c r="K145" i="26"/>
  <c r="L145" i="26" s="1"/>
  <c r="J145" i="26"/>
  <c r="K141" i="26"/>
  <c r="L141" i="26" s="1"/>
  <c r="J141" i="26"/>
  <c r="K137" i="26"/>
  <c r="L137" i="26" s="1"/>
  <c r="J137" i="26"/>
  <c r="K133" i="26"/>
  <c r="L133" i="26" s="1"/>
  <c r="J133" i="26"/>
  <c r="K129" i="26"/>
  <c r="L129" i="26" s="1"/>
  <c r="J129" i="26"/>
  <c r="K127" i="26"/>
  <c r="L127" i="26" s="1"/>
  <c r="J127" i="26"/>
  <c r="K125" i="26"/>
  <c r="L125" i="26" s="1"/>
  <c r="J125" i="26"/>
  <c r="K123" i="26"/>
  <c r="L123" i="26" s="1"/>
  <c r="J123" i="26"/>
  <c r="K121" i="26"/>
  <c r="L121" i="26" s="1"/>
  <c r="J121" i="26"/>
  <c r="K119" i="26"/>
  <c r="L119" i="26" s="1"/>
  <c r="J119" i="26"/>
  <c r="K117" i="26"/>
  <c r="L117" i="26" s="1"/>
  <c r="J117" i="26"/>
  <c r="K115" i="26"/>
  <c r="L115" i="26" s="1"/>
  <c r="J115" i="26"/>
  <c r="K113" i="26"/>
  <c r="L113" i="26" s="1"/>
  <c r="J113" i="26"/>
  <c r="K111" i="26"/>
  <c r="L111" i="26" s="1"/>
  <c r="J111" i="26"/>
  <c r="K109" i="26"/>
  <c r="L109" i="26" s="1"/>
  <c r="J109" i="26"/>
  <c r="K107" i="26"/>
  <c r="L107" i="26" s="1"/>
  <c r="J107" i="26"/>
  <c r="K105" i="26"/>
  <c r="L105" i="26" s="1"/>
  <c r="J105" i="26"/>
  <c r="K103" i="26"/>
  <c r="L103" i="26" s="1"/>
  <c r="J103" i="26"/>
  <c r="K101" i="26"/>
  <c r="L101" i="26" s="1"/>
  <c r="J101" i="26"/>
  <c r="K99" i="26"/>
  <c r="L99" i="26" s="1"/>
  <c r="J99" i="26"/>
  <c r="K97" i="26"/>
  <c r="L97" i="26" s="1"/>
  <c r="J97" i="26"/>
  <c r="K95" i="26"/>
  <c r="L95" i="26" s="1"/>
  <c r="J95" i="26"/>
  <c r="K93" i="26"/>
  <c r="L93" i="26" s="1"/>
  <c r="J93" i="26"/>
  <c r="K91" i="26"/>
  <c r="L91" i="26" s="1"/>
  <c r="J91" i="26"/>
  <c r="K89" i="26"/>
  <c r="L89" i="26" s="1"/>
  <c r="J89" i="26"/>
  <c r="K87" i="26"/>
  <c r="L87" i="26" s="1"/>
  <c r="J87" i="26"/>
  <c r="K165" i="26"/>
  <c r="L165" i="26" s="1"/>
  <c r="J165" i="26"/>
  <c r="K169" i="26"/>
  <c r="L169" i="26" s="1"/>
  <c r="J169" i="26"/>
  <c r="K173" i="26"/>
  <c r="L173" i="26" s="1"/>
  <c r="J173" i="26"/>
  <c r="K177" i="26"/>
  <c r="L177" i="26" s="1"/>
  <c r="J177" i="26"/>
  <c r="K181" i="26"/>
  <c r="L181" i="26" s="1"/>
  <c r="J181" i="26"/>
  <c r="K185" i="26"/>
  <c r="L185" i="26" s="1"/>
  <c r="J185" i="26"/>
  <c r="K189" i="26"/>
  <c r="L189" i="26" s="1"/>
  <c r="J189" i="26"/>
  <c r="K193" i="26"/>
  <c r="L193" i="26" s="1"/>
  <c r="J193" i="26"/>
  <c r="K197" i="26"/>
  <c r="L197" i="26" s="1"/>
  <c r="J197" i="26"/>
  <c r="K201" i="26"/>
  <c r="L201" i="26" s="1"/>
  <c r="J201" i="26"/>
  <c r="K205" i="26"/>
  <c r="L205" i="26" s="1"/>
  <c r="J205" i="26"/>
  <c r="K209" i="26"/>
  <c r="L209" i="26" s="1"/>
  <c r="J209" i="26"/>
  <c r="K213" i="26"/>
  <c r="L213" i="26" s="1"/>
  <c r="J213" i="26"/>
  <c r="K217" i="26"/>
  <c r="L217" i="26" s="1"/>
  <c r="J217" i="26"/>
  <c r="K221" i="26"/>
  <c r="L221" i="26" s="1"/>
  <c r="J221" i="26"/>
  <c r="K225" i="26"/>
  <c r="L225" i="26" s="1"/>
  <c r="J225" i="26"/>
  <c r="K229" i="26"/>
  <c r="L229" i="26" s="1"/>
  <c r="J229" i="26"/>
  <c r="K233" i="26"/>
  <c r="L233" i="26" s="1"/>
  <c r="J233" i="26"/>
  <c r="K237" i="26"/>
  <c r="L237" i="26" s="1"/>
  <c r="J237" i="26"/>
  <c r="K317" i="26"/>
  <c r="L317" i="26" s="1"/>
  <c r="J317" i="26"/>
  <c r="K313" i="26"/>
  <c r="L313" i="26" s="1"/>
  <c r="J313" i="26"/>
  <c r="K309" i="26"/>
  <c r="L309" i="26" s="1"/>
  <c r="J309" i="26"/>
  <c r="K305" i="26"/>
  <c r="L305" i="26" s="1"/>
  <c r="J305" i="26"/>
  <c r="K301" i="26"/>
  <c r="L301" i="26" s="1"/>
  <c r="J301" i="26"/>
  <c r="K297" i="26"/>
  <c r="L297" i="26" s="1"/>
  <c r="J297" i="26"/>
  <c r="K293" i="26"/>
  <c r="L293" i="26" s="1"/>
  <c r="J293" i="26"/>
  <c r="K289" i="26"/>
  <c r="L289" i="26" s="1"/>
  <c r="J289" i="26"/>
  <c r="K285" i="26"/>
  <c r="L285" i="26" s="1"/>
  <c r="J285" i="26"/>
  <c r="K281" i="26"/>
  <c r="L281" i="26" s="1"/>
  <c r="J281" i="26"/>
  <c r="K277" i="26"/>
  <c r="L277" i="26" s="1"/>
  <c r="J277" i="26"/>
  <c r="K273" i="26"/>
  <c r="L273" i="26" s="1"/>
  <c r="J273" i="26"/>
  <c r="K269" i="26"/>
  <c r="L269" i="26" s="1"/>
  <c r="J269" i="26"/>
  <c r="K265" i="26"/>
  <c r="L265" i="26" s="1"/>
  <c r="J265" i="26"/>
  <c r="K261" i="26"/>
  <c r="L261" i="26" s="1"/>
  <c r="J261" i="26"/>
  <c r="K257" i="26"/>
  <c r="L257" i="26" s="1"/>
  <c r="J257" i="26"/>
  <c r="K253" i="26"/>
  <c r="L253" i="26" s="1"/>
  <c r="J253" i="26"/>
  <c r="K249" i="26"/>
  <c r="L249" i="26" s="1"/>
  <c r="J249" i="26"/>
  <c r="K245" i="26"/>
  <c r="L245" i="26" s="1"/>
  <c r="J245" i="26"/>
  <c r="K241" i="26"/>
  <c r="L241" i="26" s="1"/>
  <c r="J241" i="26"/>
  <c r="K393" i="26"/>
  <c r="L393" i="26" s="1"/>
  <c r="J393" i="26"/>
  <c r="K389" i="26"/>
  <c r="L389" i="26" s="1"/>
  <c r="J389" i="26"/>
  <c r="K385" i="26"/>
  <c r="L385" i="26" s="1"/>
  <c r="J385" i="26"/>
  <c r="K381" i="26"/>
  <c r="L381" i="26" s="1"/>
  <c r="J381" i="26"/>
  <c r="K377" i="26"/>
  <c r="L377" i="26" s="1"/>
  <c r="J377" i="26"/>
  <c r="K373" i="26"/>
  <c r="L373" i="26" s="1"/>
  <c r="J373" i="26"/>
  <c r="K369" i="26"/>
  <c r="L369" i="26" s="1"/>
  <c r="J369" i="26"/>
  <c r="K365" i="26"/>
  <c r="L365" i="26" s="1"/>
  <c r="J365" i="26"/>
  <c r="K361" i="26"/>
  <c r="L361" i="26" s="1"/>
  <c r="J361" i="26"/>
  <c r="K357" i="26"/>
  <c r="L357" i="26" s="1"/>
  <c r="J357" i="26"/>
  <c r="K353" i="26"/>
  <c r="L353" i="26" s="1"/>
  <c r="J353" i="26"/>
  <c r="K349" i="26"/>
  <c r="L349" i="26" s="1"/>
  <c r="J349" i="26"/>
  <c r="K345" i="26"/>
  <c r="L345" i="26" s="1"/>
  <c r="J345" i="26"/>
  <c r="K341" i="26"/>
  <c r="L341" i="26" s="1"/>
  <c r="J341" i="26"/>
  <c r="K337" i="26"/>
  <c r="L337" i="26" s="1"/>
  <c r="J337" i="26"/>
  <c r="K333" i="26"/>
  <c r="L333" i="26" s="1"/>
  <c r="J333" i="26"/>
  <c r="K329" i="26"/>
  <c r="L329" i="26" s="1"/>
  <c r="J329" i="26"/>
  <c r="K325" i="26"/>
  <c r="L325" i="26" s="1"/>
  <c r="J325" i="26"/>
  <c r="K321" i="26"/>
  <c r="L321" i="26" s="1"/>
  <c r="J321" i="26"/>
  <c r="K473" i="26"/>
  <c r="L473" i="26" s="1"/>
  <c r="J473" i="26"/>
  <c r="K469" i="26"/>
  <c r="L469" i="26" s="1"/>
  <c r="J469" i="26"/>
  <c r="K465" i="26"/>
  <c r="L465" i="26" s="1"/>
  <c r="J465" i="26"/>
  <c r="K461" i="26"/>
  <c r="L461" i="26" s="1"/>
  <c r="J461" i="26"/>
  <c r="K457" i="26"/>
  <c r="L457" i="26" s="1"/>
  <c r="J457" i="26"/>
  <c r="K453" i="26"/>
  <c r="L453" i="26" s="1"/>
  <c r="J453" i="26"/>
  <c r="K449" i="26"/>
  <c r="L449" i="26" s="1"/>
  <c r="J449" i="26"/>
  <c r="K445" i="26"/>
  <c r="L445" i="26" s="1"/>
  <c r="J445" i="26"/>
  <c r="K441" i="26"/>
  <c r="L441" i="26" s="1"/>
  <c r="J441" i="26"/>
  <c r="K437" i="26"/>
  <c r="L437" i="26" s="1"/>
  <c r="J437" i="26"/>
  <c r="K433" i="26"/>
  <c r="L433" i="26" s="1"/>
  <c r="J433" i="26"/>
  <c r="K429" i="26"/>
  <c r="L429" i="26" s="1"/>
  <c r="J429" i="26"/>
  <c r="K425" i="26"/>
  <c r="L425" i="26" s="1"/>
  <c r="J425" i="26"/>
  <c r="K421" i="26"/>
  <c r="L421" i="26" s="1"/>
  <c r="J421" i="26"/>
  <c r="K417" i="26"/>
  <c r="L417" i="26" s="1"/>
  <c r="J417" i="26"/>
  <c r="K413" i="26"/>
  <c r="L413" i="26" s="1"/>
  <c r="J413" i="26"/>
  <c r="K409" i="26"/>
  <c r="L409" i="26" s="1"/>
  <c r="J409" i="26"/>
  <c r="K405" i="26"/>
  <c r="L405" i="26" s="1"/>
  <c r="J405" i="26"/>
  <c r="K401" i="26"/>
  <c r="L401" i="26" s="1"/>
  <c r="J401" i="26"/>
  <c r="K397" i="26"/>
  <c r="L397" i="26" s="1"/>
  <c r="J397" i="26"/>
  <c r="K549" i="26"/>
  <c r="L549" i="26" s="1"/>
  <c r="J549" i="26"/>
  <c r="K545" i="26"/>
  <c r="L545" i="26" s="1"/>
  <c r="J545" i="26"/>
  <c r="K541" i="26"/>
  <c r="L541" i="26" s="1"/>
  <c r="J541" i="26"/>
  <c r="K537" i="26"/>
  <c r="L537" i="26" s="1"/>
  <c r="J537" i="26"/>
  <c r="K533" i="26"/>
  <c r="L533" i="26" s="1"/>
  <c r="J533" i="26"/>
  <c r="K529" i="26"/>
  <c r="L529" i="26" s="1"/>
  <c r="J529" i="26"/>
  <c r="K525" i="26"/>
  <c r="L525" i="26" s="1"/>
  <c r="J525" i="26"/>
  <c r="K521" i="26"/>
  <c r="L521" i="26" s="1"/>
  <c r="J521" i="26"/>
  <c r="K517" i="26"/>
  <c r="L517" i="26" s="1"/>
  <c r="J517" i="26"/>
  <c r="K513" i="26"/>
  <c r="L513" i="26" s="1"/>
  <c r="J513" i="26"/>
  <c r="K509" i="26"/>
  <c r="L509" i="26" s="1"/>
  <c r="J509" i="26"/>
  <c r="K505" i="26"/>
  <c r="L505" i="26" s="1"/>
  <c r="J505" i="26"/>
  <c r="K501" i="26"/>
  <c r="L501" i="26" s="1"/>
  <c r="J501" i="26"/>
  <c r="K497" i="26"/>
  <c r="L497" i="26" s="1"/>
  <c r="J497" i="26"/>
  <c r="K493" i="26"/>
  <c r="L493" i="26" s="1"/>
  <c r="J493" i="26"/>
  <c r="K489" i="26"/>
  <c r="L489" i="26" s="1"/>
  <c r="J489" i="26"/>
  <c r="K485" i="26"/>
  <c r="L485" i="26" s="1"/>
  <c r="J485" i="26"/>
  <c r="K481" i="26"/>
  <c r="L481" i="26" s="1"/>
  <c r="J481" i="26"/>
  <c r="K477" i="26"/>
  <c r="L477" i="26" s="1"/>
  <c r="J477" i="26"/>
  <c r="K705" i="26"/>
  <c r="L705" i="26" s="1"/>
  <c r="J705" i="26"/>
  <c r="K701" i="26"/>
  <c r="L701" i="26" s="1"/>
  <c r="J701" i="26"/>
  <c r="K697" i="26"/>
  <c r="L697" i="26" s="1"/>
  <c r="J697" i="26"/>
  <c r="K693" i="26"/>
  <c r="L693" i="26" s="1"/>
  <c r="J693" i="26"/>
  <c r="K689" i="26"/>
  <c r="L689" i="26" s="1"/>
  <c r="J689" i="26"/>
  <c r="K685" i="26"/>
  <c r="L685" i="26" s="1"/>
  <c r="J685" i="26"/>
  <c r="K681" i="26"/>
  <c r="L681" i="26" s="1"/>
  <c r="J681" i="26"/>
  <c r="K677" i="26"/>
  <c r="L677" i="26" s="1"/>
  <c r="J677" i="26"/>
  <c r="K673" i="26"/>
  <c r="L673" i="26" s="1"/>
  <c r="J673" i="26"/>
  <c r="K669" i="26"/>
  <c r="L669" i="26" s="1"/>
  <c r="J669" i="26"/>
  <c r="K665" i="26"/>
  <c r="L665" i="26" s="1"/>
  <c r="J665" i="26"/>
  <c r="K661" i="26"/>
  <c r="L661" i="26" s="1"/>
  <c r="J661" i="26"/>
  <c r="K657" i="26"/>
  <c r="L657" i="26" s="1"/>
  <c r="J657" i="26"/>
  <c r="K653" i="26"/>
  <c r="L653" i="26" s="1"/>
  <c r="J653" i="26"/>
  <c r="K649" i="26"/>
  <c r="L649" i="26" s="1"/>
  <c r="J649" i="26"/>
  <c r="K645" i="26"/>
  <c r="L645" i="26" s="1"/>
  <c r="J645" i="26"/>
  <c r="K641" i="26"/>
  <c r="L641" i="26" s="1"/>
  <c r="J641" i="26"/>
  <c r="K637" i="26"/>
  <c r="L637" i="26" s="1"/>
  <c r="J637" i="26"/>
  <c r="K633" i="26"/>
  <c r="L633" i="26" s="1"/>
  <c r="J633" i="26"/>
  <c r="K785" i="26"/>
  <c r="L785" i="26" s="1"/>
  <c r="J785" i="26"/>
  <c r="K781" i="26"/>
  <c r="L781" i="26" s="1"/>
  <c r="J781" i="26"/>
  <c r="K777" i="26"/>
  <c r="L777" i="26" s="1"/>
  <c r="J777" i="26"/>
  <c r="K773" i="26"/>
  <c r="L773" i="26" s="1"/>
  <c r="J773" i="26"/>
  <c r="K769" i="26"/>
  <c r="L769" i="26" s="1"/>
  <c r="J769" i="26"/>
  <c r="K765" i="26"/>
  <c r="L765" i="26" s="1"/>
  <c r="J765" i="26"/>
  <c r="K761" i="26"/>
  <c r="L761" i="26" s="1"/>
  <c r="J761" i="26"/>
  <c r="K757" i="26"/>
  <c r="L757" i="26" s="1"/>
  <c r="J757" i="26"/>
  <c r="K753" i="26"/>
  <c r="L753" i="26" s="1"/>
  <c r="J753" i="26"/>
  <c r="K749" i="26"/>
  <c r="L749" i="26" s="1"/>
  <c r="J749" i="26"/>
  <c r="K745" i="26"/>
  <c r="L745" i="26" s="1"/>
  <c r="J745" i="26"/>
  <c r="K741" i="26"/>
  <c r="L741" i="26" s="1"/>
  <c r="J741" i="26"/>
  <c r="K737" i="26"/>
  <c r="L737" i="26" s="1"/>
  <c r="J737" i="26"/>
  <c r="K733" i="26"/>
  <c r="L733" i="26" s="1"/>
  <c r="J733" i="26"/>
  <c r="K729" i="26"/>
  <c r="L729" i="26" s="1"/>
  <c r="J729" i="26"/>
  <c r="K725" i="26"/>
  <c r="L725" i="26" s="1"/>
  <c r="J725" i="26"/>
  <c r="K721" i="26"/>
  <c r="L721" i="26" s="1"/>
  <c r="J721" i="26"/>
  <c r="K717" i="26"/>
  <c r="L717" i="26" s="1"/>
  <c r="J717" i="26"/>
  <c r="K713" i="26"/>
  <c r="L713" i="26" s="1"/>
  <c r="J713" i="26"/>
  <c r="K709" i="26"/>
  <c r="L709" i="26" s="1"/>
  <c r="J709" i="26"/>
  <c r="K836" i="26"/>
  <c r="L836" i="26" s="1"/>
  <c r="J836" i="26"/>
  <c r="K832" i="26"/>
  <c r="L832" i="26" s="1"/>
  <c r="J832" i="26"/>
  <c r="K828" i="26"/>
  <c r="L828" i="26" s="1"/>
  <c r="J828" i="26"/>
  <c r="K824" i="26"/>
  <c r="L824" i="26" s="1"/>
  <c r="J824" i="26"/>
  <c r="K820" i="26"/>
  <c r="L820" i="26" s="1"/>
  <c r="J820" i="26"/>
  <c r="K816" i="26"/>
  <c r="L816" i="26" s="1"/>
  <c r="J816" i="26"/>
  <c r="K812" i="26"/>
  <c r="L812" i="26" s="1"/>
  <c r="J812" i="26"/>
  <c r="K808" i="26"/>
  <c r="L808" i="26" s="1"/>
  <c r="J808" i="26"/>
  <c r="K804" i="26"/>
  <c r="L804" i="26" s="1"/>
  <c r="J804" i="26"/>
  <c r="K800" i="26"/>
  <c r="L800" i="26" s="1"/>
  <c r="J800" i="26"/>
  <c r="K796" i="26"/>
  <c r="L796" i="26" s="1"/>
  <c r="J796" i="26"/>
  <c r="K792" i="26"/>
  <c r="L792" i="26" s="1"/>
  <c r="J792" i="26"/>
  <c r="K788" i="26"/>
  <c r="L788" i="26" s="1"/>
  <c r="J788" i="26"/>
  <c r="K847" i="26"/>
  <c r="L847" i="26" s="1"/>
  <c r="J847" i="26"/>
  <c r="K843" i="26"/>
  <c r="L843" i="26" s="1"/>
  <c r="J843" i="26"/>
  <c r="K839" i="26"/>
  <c r="L839" i="26" s="1"/>
  <c r="J839" i="26"/>
  <c r="K859" i="26"/>
  <c r="L859" i="26" s="1"/>
  <c r="J859" i="26"/>
  <c r="K855" i="26"/>
  <c r="L855" i="26" s="1"/>
  <c r="J855" i="26"/>
  <c r="K851" i="26"/>
  <c r="L851" i="26" s="1"/>
  <c r="J851" i="26"/>
  <c r="K934" i="26"/>
  <c r="L934" i="26" s="1"/>
  <c r="J934" i="26"/>
  <c r="K930" i="26"/>
  <c r="L930" i="26" s="1"/>
  <c r="J930" i="26"/>
  <c r="K926" i="26"/>
  <c r="L926" i="26" s="1"/>
  <c r="J926" i="26"/>
  <c r="K922" i="26"/>
  <c r="L922" i="26" s="1"/>
  <c r="J922" i="26"/>
  <c r="K918" i="26"/>
  <c r="L918" i="26" s="1"/>
  <c r="J918" i="26"/>
  <c r="K914" i="26"/>
  <c r="L914" i="26" s="1"/>
  <c r="J914" i="26"/>
  <c r="K910" i="26"/>
  <c r="L910" i="26" s="1"/>
  <c r="J910" i="26"/>
  <c r="K906" i="26"/>
  <c r="L906" i="26" s="1"/>
  <c r="J906" i="26"/>
  <c r="K902" i="26"/>
  <c r="L902" i="26" s="1"/>
  <c r="J902" i="26"/>
  <c r="K898" i="26"/>
  <c r="L898" i="26" s="1"/>
  <c r="J898" i="26"/>
  <c r="K894" i="26"/>
  <c r="L894" i="26" s="1"/>
  <c r="J894" i="26"/>
  <c r="K890" i="26"/>
  <c r="L890" i="26" s="1"/>
  <c r="J890" i="26"/>
  <c r="K886" i="26"/>
  <c r="L886" i="26" s="1"/>
  <c r="J886" i="26"/>
  <c r="K882" i="26"/>
  <c r="L882" i="26" s="1"/>
  <c r="J882" i="26"/>
  <c r="K878" i="26"/>
  <c r="L878" i="26" s="1"/>
  <c r="J878" i="26"/>
  <c r="K874" i="26"/>
  <c r="L874" i="26" s="1"/>
  <c r="J874" i="26"/>
  <c r="K870" i="26"/>
  <c r="L870" i="26" s="1"/>
  <c r="J870" i="26"/>
  <c r="K866" i="26"/>
  <c r="L866" i="26" s="1"/>
  <c r="J866" i="26"/>
  <c r="K939" i="26"/>
  <c r="L939" i="26" s="1"/>
  <c r="J939" i="26"/>
  <c r="K935" i="26"/>
  <c r="L935" i="26" s="1"/>
  <c r="J935" i="26"/>
  <c r="J628" i="26"/>
  <c r="K628" i="26"/>
  <c r="L628" i="26" s="1"/>
  <c r="J616" i="26"/>
  <c r="K616" i="26"/>
  <c r="L616" i="26" s="1"/>
  <c r="J608" i="26"/>
  <c r="K608" i="26"/>
  <c r="L608" i="26" s="1"/>
  <c r="J600" i="26"/>
  <c r="K600" i="26"/>
  <c r="L600" i="26" s="1"/>
  <c r="J592" i="26"/>
  <c r="K592" i="26"/>
  <c r="L592" i="26" s="1"/>
  <c r="J588" i="26"/>
  <c r="K588" i="26"/>
  <c r="L588" i="26" s="1"/>
  <c r="J627" i="26"/>
  <c r="K627" i="26"/>
  <c r="L627" i="26" s="1"/>
  <c r="J623" i="26"/>
  <c r="K623" i="26"/>
  <c r="L623" i="26" s="1"/>
  <c r="J615" i="26"/>
  <c r="K615" i="26"/>
  <c r="L615" i="26" s="1"/>
  <c r="J603" i="26"/>
  <c r="K603" i="26"/>
  <c r="L603" i="26" s="1"/>
  <c r="J595" i="26"/>
  <c r="K595" i="26"/>
  <c r="L595" i="26" s="1"/>
  <c r="J591" i="26"/>
  <c r="K591" i="26"/>
  <c r="L591" i="26" s="1"/>
  <c r="K626" i="26"/>
  <c r="L626" i="26" s="1"/>
  <c r="J626" i="26"/>
  <c r="K622" i="26"/>
  <c r="L622" i="26" s="1"/>
  <c r="J622" i="26"/>
  <c r="K618" i="26"/>
  <c r="L618" i="26" s="1"/>
  <c r="J618" i="26"/>
  <c r="K614" i="26"/>
  <c r="L614" i="26" s="1"/>
  <c r="J614" i="26"/>
  <c r="K610" i="26"/>
  <c r="L610" i="26" s="1"/>
  <c r="J610" i="26"/>
  <c r="K606" i="26"/>
  <c r="L606" i="26" s="1"/>
  <c r="J606" i="26"/>
  <c r="K602" i="26"/>
  <c r="L602" i="26" s="1"/>
  <c r="J602" i="26"/>
  <c r="K598" i="26"/>
  <c r="L598" i="26" s="1"/>
  <c r="J598" i="26"/>
  <c r="K594" i="26"/>
  <c r="L594" i="26" s="1"/>
  <c r="J594" i="26"/>
  <c r="K590" i="26"/>
  <c r="L590" i="26" s="1"/>
  <c r="J590" i="26"/>
  <c r="K586" i="26"/>
  <c r="L586" i="26" s="1"/>
  <c r="J586" i="26"/>
  <c r="J624" i="26"/>
  <c r="K624" i="26"/>
  <c r="L624" i="26" s="1"/>
  <c r="J620" i="26"/>
  <c r="K620" i="26"/>
  <c r="L620" i="26" s="1"/>
  <c r="J612" i="26"/>
  <c r="K612" i="26"/>
  <c r="L612" i="26" s="1"/>
  <c r="J604" i="26"/>
  <c r="K604" i="26"/>
  <c r="L604" i="26" s="1"/>
  <c r="J596" i="26"/>
  <c r="K596" i="26"/>
  <c r="L596" i="26" s="1"/>
  <c r="J584" i="26"/>
  <c r="K584" i="26"/>
  <c r="L584" i="26" s="1"/>
  <c r="J619" i="26"/>
  <c r="K619" i="26"/>
  <c r="L619" i="26" s="1"/>
  <c r="J611" i="26"/>
  <c r="K611" i="26"/>
  <c r="L611" i="26" s="1"/>
  <c r="J607" i="26"/>
  <c r="K607" i="26"/>
  <c r="L607" i="26" s="1"/>
  <c r="J599" i="26"/>
  <c r="K599" i="26"/>
  <c r="L599" i="26" s="1"/>
  <c r="J587" i="26"/>
  <c r="K587" i="26"/>
  <c r="L587" i="26" s="1"/>
  <c r="K629" i="26"/>
  <c r="L629" i="26" s="1"/>
  <c r="J629" i="26"/>
  <c r="K625" i="26"/>
  <c r="L625" i="26" s="1"/>
  <c r="J625" i="26"/>
  <c r="K621" i="26"/>
  <c r="L621" i="26" s="1"/>
  <c r="J621" i="26"/>
  <c r="K617" i="26"/>
  <c r="L617" i="26" s="1"/>
  <c r="J617" i="26"/>
  <c r="K613" i="26"/>
  <c r="L613" i="26" s="1"/>
  <c r="J613" i="26"/>
  <c r="K609" i="26"/>
  <c r="L609" i="26" s="1"/>
  <c r="J609" i="26"/>
  <c r="K605" i="26"/>
  <c r="L605" i="26" s="1"/>
  <c r="J605" i="26"/>
  <c r="K601" i="26"/>
  <c r="L601" i="26" s="1"/>
  <c r="J601" i="26"/>
  <c r="K597" i="26"/>
  <c r="L597" i="26" s="1"/>
  <c r="J597" i="26"/>
  <c r="K593" i="26"/>
  <c r="L593" i="26" s="1"/>
  <c r="J593" i="26"/>
  <c r="K589" i="26"/>
  <c r="L589" i="26" s="1"/>
  <c r="J589" i="26"/>
  <c r="K585" i="26"/>
  <c r="L585" i="26" s="1"/>
  <c r="J585" i="26"/>
  <c r="K583" i="26"/>
  <c r="L583" i="26" s="1"/>
  <c r="J583" i="26"/>
  <c r="P624" i="26"/>
  <c r="N624" i="26"/>
  <c r="O624" i="26" s="1"/>
  <c r="M624" i="26"/>
  <c r="P612" i="26"/>
  <c r="N612" i="26"/>
  <c r="O612" i="26" s="1"/>
  <c r="M612" i="26"/>
  <c r="P604" i="26"/>
  <c r="N604" i="26"/>
  <c r="O604" i="26" s="1"/>
  <c r="M604" i="26"/>
  <c r="P596" i="26"/>
  <c r="N596" i="26"/>
  <c r="O596" i="26" s="1"/>
  <c r="M596" i="26"/>
  <c r="P592" i="26"/>
  <c r="N592" i="26"/>
  <c r="O592" i="26" s="1"/>
  <c r="M592" i="26"/>
  <c r="P580" i="26"/>
  <c r="N580" i="26"/>
  <c r="O580" i="26" s="1"/>
  <c r="M580" i="26"/>
  <c r="P568" i="26"/>
  <c r="N568" i="26"/>
  <c r="O568" i="26" s="1"/>
  <c r="M568" i="26"/>
  <c r="P564" i="26"/>
  <c r="N564" i="26"/>
  <c r="O564" i="26" s="1"/>
  <c r="M564" i="26"/>
  <c r="P627" i="26"/>
  <c r="N627" i="26"/>
  <c r="O627" i="26" s="1"/>
  <c r="M627" i="26"/>
  <c r="P623" i="26"/>
  <c r="N623" i="26"/>
  <c r="O623" i="26" s="1"/>
  <c r="M623" i="26"/>
  <c r="P619" i="26"/>
  <c r="N619" i="26"/>
  <c r="O619" i="26" s="1"/>
  <c r="M619" i="26"/>
  <c r="P615" i="26"/>
  <c r="N615" i="26"/>
  <c r="O615" i="26" s="1"/>
  <c r="M615" i="26"/>
  <c r="P611" i="26"/>
  <c r="N611" i="26"/>
  <c r="O611" i="26" s="1"/>
  <c r="M611" i="26"/>
  <c r="P607" i="26"/>
  <c r="N607" i="26"/>
  <c r="O607" i="26" s="1"/>
  <c r="M607" i="26"/>
  <c r="P603" i="26"/>
  <c r="N603" i="26"/>
  <c r="O603" i="26" s="1"/>
  <c r="M603" i="26"/>
  <c r="P599" i="26"/>
  <c r="N599" i="26"/>
  <c r="O599" i="26" s="1"/>
  <c r="M599" i="26"/>
  <c r="P595" i="26"/>
  <c r="N595" i="26"/>
  <c r="O595" i="26" s="1"/>
  <c r="M595" i="26"/>
  <c r="P591" i="26"/>
  <c r="N591" i="26"/>
  <c r="O591" i="26" s="1"/>
  <c r="M591" i="26"/>
  <c r="P587" i="26"/>
  <c r="N587" i="26"/>
  <c r="O587" i="26" s="1"/>
  <c r="M587" i="26"/>
  <c r="P583" i="26"/>
  <c r="N583" i="26"/>
  <c r="O583" i="26" s="1"/>
  <c r="M583" i="26"/>
  <c r="P579" i="26"/>
  <c r="N579" i="26"/>
  <c r="O579" i="26" s="1"/>
  <c r="M579" i="26"/>
  <c r="P575" i="26"/>
  <c r="N575" i="26"/>
  <c r="O575" i="26" s="1"/>
  <c r="M575" i="26"/>
  <c r="P571" i="26"/>
  <c r="N571" i="26"/>
  <c r="O571" i="26" s="1"/>
  <c r="M571" i="26"/>
  <c r="P567" i="26"/>
  <c r="N567" i="26"/>
  <c r="O567" i="26" s="1"/>
  <c r="M567" i="26"/>
  <c r="P563" i="26"/>
  <c r="N563" i="26"/>
  <c r="O563" i="26" s="1"/>
  <c r="M563" i="26"/>
  <c r="P559" i="26"/>
  <c r="N559" i="26"/>
  <c r="O559" i="26" s="1"/>
  <c r="M559" i="26"/>
  <c r="P555" i="26"/>
  <c r="N555" i="26"/>
  <c r="O555" i="26" s="1"/>
  <c r="M555" i="26"/>
  <c r="P620" i="26"/>
  <c r="N620" i="26"/>
  <c r="O620" i="26" s="1"/>
  <c r="M620" i="26"/>
  <c r="P584" i="26"/>
  <c r="N584" i="26"/>
  <c r="O584" i="26" s="1"/>
  <c r="M584" i="26"/>
  <c r="P576" i="26"/>
  <c r="N576" i="26"/>
  <c r="O576" i="26" s="1"/>
  <c r="M576" i="26"/>
  <c r="P556" i="26"/>
  <c r="N556" i="26"/>
  <c r="O556" i="26" s="1"/>
  <c r="M556" i="26"/>
  <c r="M626" i="26"/>
  <c r="P626" i="26"/>
  <c r="N626" i="26"/>
  <c r="O626" i="26" s="1"/>
  <c r="M622" i="26"/>
  <c r="P622" i="26"/>
  <c r="N622" i="26"/>
  <c r="O622" i="26" s="1"/>
  <c r="M618" i="26"/>
  <c r="P618" i="26"/>
  <c r="N618" i="26"/>
  <c r="O618" i="26" s="1"/>
  <c r="M614" i="26"/>
  <c r="P614" i="26"/>
  <c r="N614" i="26"/>
  <c r="O614" i="26" s="1"/>
  <c r="M610" i="26"/>
  <c r="P610" i="26"/>
  <c r="N610" i="26"/>
  <c r="O610" i="26" s="1"/>
  <c r="M606" i="26"/>
  <c r="P606" i="26"/>
  <c r="N606" i="26"/>
  <c r="O606" i="26" s="1"/>
  <c r="M602" i="26"/>
  <c r="P602" i="26"/>
  <c r="N602" i="26"/>
  <c r="O602" i="26" s="1"/>
  <c r="M598" i="26"/>
  <c r="P598" i="26"/>
  <c r="N598" i="26"/>
  <c r="O598" i="26" s="1"/>
  <c r="M594" i="26"/>
  <c r="P594" i="26"/>
  <c r="N594" i="26"/>
  <c r="O594" i="26" s="1"/>
  <c r="M590" i="26"/>
  <c r="P590" i="26"/>
  <c r="N590" i="26"/>
  <c r="O590" i="26" s="1"/>
  <c r="M586" i="26"/>
  <c r="P586" i="26"/>
  <c r="N586" i="26"/>
  <c r="O586" i="26" s="1"/>
  <c r="M582" i="26"/>
  <c r="P582" i="26"/>
  <c r="N582" i="26"/>
  <c r="O582" i="26" s="1"/>
  <c r="M578" i="26"/>
  <c r="P578" i="26"/>
  <c r="N578" i="26"/>
  <c r="O578" i="26" s="1"/>
  <c r="M574" i="26"/>
  <c r="P574" i="26"/>
  <c r="N574" i="26"/>
  <c r="O574" i="26" s="1"/>
  <c r="M570" i="26"/>
  <c r="P570" i="26"/>
  <c r="N570" i="26"/>
  <c r="O570" i="26" s="1"/>
  <c r="M566" i="26"/>
  <c r="P566" i="26"/>
  <c r="N566" i="26"/>
  <c r="O566" i="26" s="1"/>
  <c r="P562" i="26"/>
  <c r="M562" i="26"/>
  <c r="N562" i="26"/>
  <c r="O562" i="26" s="1"/>
  <c r="M558" i="26"/>
  <c r="P558" i="26"/>
  <c r="N558" i="26"/>
  <c r="O558" i="26" s="1"/>
  <c r="P628" i="26"/>
  <c r="N628" i="26"/>
  <c r="O628" i="26" s="1"/>
  <c r="M628" i="26"/>
  <c r="P616" i="26"/>
  <c r="N616" i="26"/>
  <c r="O616" i="26" s="1"/>
  <c r="M616" i="26"/>
  <c r="P608" i="26"/>
  <c r="N608" i="26"/>
  <c r="O608" i="26" s="1"/>
  <c r="M608" i="26"/>
  <c r="P600" i="26"/>
  <c r="N600" i="26"/>
  <c r="O600" i="26" s="1"/>
  <c r="M600" i="26"/>
  <c r="P588" i="26"/>
  <c r="N588" i="26"/>
  <c r="O588" i="26" s="1"/>
  <c r="M588" i="26"/>
  <c r="P572" i="26"/>
  <c r="N572" i="26"/>
  <c r="O572" i="26" s="1"/>
  <c r="M572" i="26"/>
  <c r="P560" i="26"/>
  <c r="N560" i="26"/>
  <c r="O560" i="26" s="1"/>
  <c r="M560" i="26"/>
  <c r="M629" i="26"/>
  <c r="P629" i="26"/>
  <c r="N629" i="26"/>
  <c r="O629" i="26" s="1"/>
  <c r="M625" i="26"/>
  <c r="P625" i="26"/>
  <c r="N625" i="26"/>
  <c r="O625" i="26" s="1"/>
  <c r="M621" i="26"/>
  <c r="P621" i="26"/>
  <c r="N621" i="26"/>
  <c r="O621" i="26" s="1"/>
  <c r="M617" i="26"/>
  <c r="P617" i="26"/>
  <c r="N617" i="26"/>
  <c r="O617" i="26" s="1"/>
  <c r="M613" i="26"/>
  <c r="P613" i="26"/>
  <c r="N613" i="26"/>
  <c r="O613" i="26" s="1"/>
  <c r="M609" i="26"/>
  <c r="P609" i="26"/>
  <c r="N609" i="26"/>
  <c r="O609" i="26" s="1"/>
  <c r="M605" i="26"/>
  <c r="P605" i="26"/>
  <c r="N605" i="26"/>
  <c r="O605" i="26" s="1"/>
  <c r="M601" i="26"/>
  <c r="P601" i="26"/>
  <c r="N601" i="26"/>
  <c r="O601" i="26" s="1"/>
  <c r="M597" i="26"/>
  <c r="P597" i="26"/>
  <c r="N597" i="26"/>
  <c r="O597" i="26" s="1"/>
  <c r="M593" i="26"/>
  <c r="P593" i="26"/>
  <c r="N593" i="26"/>
  <c r="O593" i="26" s="1"/>
  <c r="M589" i="26"/>
  <c r="P589" i="26"/>
  <c r="N589" i="26"/>
  <c r="O589" i="26" s="1"/>
  <c r="M585" i="26"/>
  <c r="P585" i="26"/>
  <c r="N585" i="26"/>
  <c r="O585" i="26" s="1"/>
  <c r="M581" i="26"/>
  <c r="P581" i="26"/>
  <c r="N581" i="26"/>
  <c r="O581" i="26" s="1"/>
  <c r="M577" i="26"/>
  <c r="P577" i="26"/>
  <c r="N577" i="26"/>
  <c r="O577" i="26" s="1"/>
  <c r="M573" i="26"/>
  <c r="P573" i="26"/>
  <c r="N573" i="26"/>
  <c r="O573" i="26" s="1"/>
  <c r="M569" i="26"/>
  <c r="P569" i="26"/>
  <c r="N569" i="26"/>
  <c r="O569" i="26" s="1"/>
  <c r="M565" i="26"/>
  <c r="P565" i="26"/>
  <c r="N565" i="26"/>
  <c r="O565" i="26" s="1"/>
  <c r="M561" i="26"/>
  <c r="P561" i="26"/>
  <c r="N561" i="26"/>
  <c r="O561" i="26" s="1"/>
  <c r="M557" i="26"/>
  <c r="P557" i="26"/>
  <c r="N557" i="26"/>
  <c r="O557" i="26" s="1"/>
  <c r="P554" i="26"/>
  <c r="N554" i="26"/>
  <c r="O554" i="26" s="1"/>
  <c r="M554" i="26"/>
  <c r="P553" i="26"/>
  <c r="N553" i="26"/>
  <c r="O553" i="26" s="1"/>
  <c r="M553" i="26"/>
  <c r="P552" i="26"/>
  <c r="N552" i="26"/>
  <c r="O552" i="26" s="1"/>
  <c r="M552" i="26"/>
  <c r="P704" i="26"/>
  <c r="N704" i="26"/>
  <c r="O704" i="26" s="1"/>
  <c r="M704" i="26"/>
  <c r="P700" i="26"/>
  <c r="N700" i="26"/>
  <c r="O700" i="26" s="1"/>
  <c r="M700" i="26"/>
  <c r="P696" i="26"/>
  <c r="N696" i="26"/>
  <c r="O696" i="26" s="1"/>
  <c r="M696" i="26"/>
  <c r="P692" i="26"/>
  <c r="N692" i="26"/>
  <c r="O692" i="26" s="1"/>
  <c r="M692" i="26"/>
  <c r="P688" i="26"/>
  <c r="N688" i="26"/>
  <c r="O688" i="26" s="1"/>
  <c r="M688" i="26"/>
  <c r="P684" i="26"/>
  <c r="N684" i="26"/>
  <c r="O684" i="26" s="1"/>
  <c r="M684" i="26"/>
  <c r="P680" i="26"/>
  <c r="N680" i="26"/>
  <c r="O680" i="26" s="1"/>
  <c r="M680" i="26"/>
  <c r="P676" i="26"/>
  <c r="N676" i="26"/>
  <c r="O676" i="26" s="1"/>
  <c r="M676" i="26"/>
  <c r="P672" i="26"/>
  <c r="N672" i="26"/>
  <c r="O672" i="26" s="1"/>
  <c r="M672" i="26"/>
  <c r="P668" i="26"/>
  <c r="N668" i="26"/>
  <c r="O668" i="26" s="1"/>
  <c r="M668" i="26"/>
  <c r="P664" i="26"/>
  <c r="N664" i="26"/>
  <c r="O664" i="26" s="1"/>
  <c r="M664" i="26"/>
  <c r="P660" i="26"/>
  <c r="N660" i="26"/>
  <c r="O660" i="26" s="1"/>
  <c r="M660" i="26"/>
  <c r="P656" i="26"/>
  <c r="N656" i="26"/>
  <c r="O656" i="26" s="1"/>
  <c r="M656" i="26"/>
  <c r="P652" i="26"/>
  <c r="N652" i="26"/>
  <c r="O652" i="26" s="1"/>
  <c r="M652" i="26"/>
  <c r="P648" i="26"/>
  <c r="N648" i="26"/>
  <c r="O648" i="26" s="1"/>
  <c r="M648" i="26"/>
  <c r="P644" i="26"/>
  <c r="N644" i="26"/>
  <c r="O644" i="26" s="1"/>
  <c r="M644" i="26"/>
  <c r="P640" i="26"/>
  <c r="N640" i="26"/>
  <c r="O640" i="26" s="1"/>
  <c r="M640" i="26"/>
  <c r="P636" i="26"/>
  <c r="N636" i="26"/>
  <c r="O636" i="26" s="1"/>
  <c r="M636" i="26"/>
  <c r="P707" i="26"/>
  <c r="N707" i="26"/>
  <c r="O707" i="26" s="1"/>
  <c r="M707" i="26"/>
  <c r="P703" i="26"/>
  <c r="N703" i="26"/>
  <c r="O703" i="26" s="1"/>
  <c r="M703" i="26"/>
  <c r="P699" i="26"/>
  <c r="N699" i="26"/>
  <c r="O699" i="26" s="1"/>
  <c r="M699" i="26"/>
  <c r="P695" i="26"/>
  <c r="N695" i="26"/>
  <c r="O695" i="26" s="1"/>
  <c r="M695" i="26"/>
  <c r="P691" i="26"/>
  <c r="N691" i="26"/>
  <c r="O691" i="26" s="1"/>
  <c r="M691" i="26"/>
  <c r="P687" i="26"/>
  <c r="N687" i="26"/>
  <c r="O687" i="26" s="1"/>
  <c r="M687" i="26"/>
  <c r="P683" i="26"/>
  <c r="N683" i="26"/>
  <c r="O683" i="26" s="1"/>
  <c r="M683" i="26"/>
  <c r="P679" i="26"/>
  <c r="N679" i="26"/>
  <c r="O679" i="26" s="1"/>
  <c r="M679" i="26"/>
  <c r="P675" i="26"/>
  <c r="N675" i="26"/>
  <c r="O675" i="26" s="1"/>
  <c r="M675" i="26"/>
  <c r="P671" i="26"/>
  <c r="N671" i="26"/>
  <c r="O671" i="26" s="1"/>
  <c r="M671" i="26"/>
  <c r="P667" i="26"/>
  <c r="N667" i="26"/>
  <c r="O667" i="26" s="1"/>
  <c r="M667" i="26"/>
  <c r="P663" i="26"/>
  <c r="N663" i="26"/>
  <c r="O663" i="26" s="1"/>
  <c r="M663" i="26"/>
  <c r="P659" i="26"/>
  <c r="N659" i="26"/>
  <c r="O659" i="26" s="1"/>
  <c r="M659" i="26"/>
  <c r="P655" i="26"/>
  <c r="N655" i="26"/>
  <c r="O655" i="26" s="1"/>
  <c r="M655" i="26"/>
  <c r="P651" i="26"/>
  <c r="N651" i="26"/>
  <c r="O651" i="26" s="1"/>
  <c r="M651" i="26"/>
  <c r="P647" i="26"/>
  <c r="N647" i="26"/>
  <c r="O647" i="26" s="1"/>
  <c r="M647" i="26"/>
  <c r="P643" i="26"/>
  <c r="N643" i="26"/>
  <c r="O643" i="26" s="1"/>
  <c r="M643" i="26"/>
  <c r="P639" i="26"/>
  <c r="N639" i="26"/>
  <c r="O639" i="26" s="1"/>
  <c r="M639" i="26"/>
  <c r="P635" i="26"/>
  <c r="N635" i="26"/>
  <c r="O635" i="26" s="1"/>
  <c r="M635" i="26"/>
  <c r="P706" i="26"/>
  <c r="N706" i="26"/>
  <c r="O706" i="26" s="1"/>
  <c r="M706" i="26"/>
  <c r="P702" i="26"/>
  <c r="N702" i="26"/>
  <c r="O702" i="26" s="1"/>
  <c r="M702" i="26"/>
  <c r="P698" i="26"/>
  <c r="N698" i="26"/>
  <c r="O698" i="26" s="1"/>
  <c r="M698" i="26"/>
  <c r="P694" i="26"/>
  <c r="N694" i="26"/>
  <c r="O694" i="26" s="1"/>
  <c r="M694" i="26"/>
  <c r="P690" i="26"/>
  <c r="N690" i="26"/>
  <c r="O690" i="26" s="1"/>
  <c r="M690" i="26"/>
  <c r="P686" i="26"/>
  <c r="N686" i="26"/>
  <c r="O686" i="26" s="1"/>
  <c r="M686" i="26"/>
  <c r="P682" i="26"/>
  <c r="N682" i="26"/>
  <c r="O682" i="26" s="1"/>
  <c r="M682" i="26"/>
  <c r="P678" i="26"/>
  <c r="N678" i="26"/>
  <c r="O678" i="26" s="1"/>
  <c r="M678" i="26"/>
  <c r="P674" i="26"/>
  <c r="N674" i="26"/>
  <c r="O674" i="26" s="1"/>
  <c r="M674" i="26"/>
  <c r="P670" i="26"/>
  <c r="N670" i="26"/>
  <c r="O670" i="26" s="1"/>
  <c r="M670" i="26"/>
  <c r="P666" i="26"/>
  <c r="N666" i="26"/>
  <c r="O666" i="26" s="1"/>
  <c r="M666" i="26"/>
  <c r="P662" i="26"/>
  <c r="N662" i="26"/>
  <c r="O662" i="26" s="1"/>
  <c r="M662" i="26"/>
  <c r="P658" i="26"/>
  <c r="N658" i="26"/>
  <c r="O658" i="26" s="1"/>
  <c r="M658" i="26"/>
  <c r="P654" i="26"/>
  <c r="N654" i="26"/>
  <c r="O654" i="26" s="1"/>
  <c r="M654" i="26"/>
  <c r="P650" i="26"/>
  <c r="N650" i="26"/>
  <c r="O650" i="26" s="1"/>
  <c r="M650" i="26"/>
  <c r="P646" i="26"/>
  <c r="N646" i="26"/>
  <c r="O646" i="26" s="1"/>
  <c r="M646" i="26"/>
  <c r="P642" i="26"/>
  <c r="N642" i="26"/>
  <c r="O642" i="26" s="1"/>
  <c r="M642" i="26"/>
  <c r="P638" i="26"/>
  <c r="N638" i="26"/>
  <c r="O638" i="26" s="1"/>
  <c r="M638" i="26"/>
  <c r="P634" i="26"/>
  <c r="N634" i="26"/>
  <c r="O634" i="26" s="1"/>
  <c r="M634" i="26"/>
  <c r="P705" i="26"/>
  <c r="N705" i="26"/>
  <c r="O705" i="26" s="1"/>
  <c r="M705" i="26"/>
  <c r="P701" i="26"/>
  <c r="N701" i="26"/>
  <c r="O701" i="26" s="1"/>
  <c r="M701" i="26"/>
  <c r="P697" i="26"/>
  <c r="N697" i="26"/>
  <c r="O697" i="26" s="1"/>
  <c r="M697" i="26"/>
  <c r="P693" i="26"/>
  <c r="N693" i="26"/>
  <c r="O693" i="26" s="1"/>
  <c r="M693" i="26"/>
  <c r="P689" i="26"/>
  <c r="N689" i="26"/>
  <c r="O689" i="26" s="1"/>
  <c r="M689" i="26"/>
  <c r="P685" i="26"/>
  <c r="N685" i="26"/>
  <c r="O685" i="26" s="1"/>
  <c r="M685" i="26"/>
  <c r="P681" i="26"/>
  <c r="N681" i="26"/>
  <c r="O681" i="26" s="1"/>
  <c r="M681" i="26"/>
  <c r="P677" i="26"/>
  <c r="N677" i="26"/>
  <c r="O677" i="26" s="1"/>
  <c r="M677" i="26"/>
  <c r="P673" i="26"/>
  <c r="N673" i="26"/>
  <c r="O673" i="26" s="1"/>
  <c r="M673" i="26"/>
  <c r="P669" i="26"/>
  <c r="N669" i="26"/>
  <c r="O669" i="26" s="1"/>
  <c r="M669" i="26"/>
  <c r="P665" i="26"/>
  <c r="N665" i="26"/>
  <c r="O665" i="26" s="1"/>
  <c r="M665" i="26"/>
  <c r="P661" i="26"/>
  <c r="N661" i="26"/>
  <c r="O661" i="26" s="1"/>
  <c r="M661" i="26"/>
  <c r="P657" i="26"/>
  <c r="N657" i="26"/>
  <c r="O657" i="26" s="1"/>
  <c r="M657" i="26"/>
  <c r="P653" i="26"/>
  <c r="N653" i="26"/>
  <c r="O653" i="26" s="1"/>
  <c r="M653" i="26"/>
  <c r="P649" i="26"/>
  <c r="N649" i="26"/>
  <c r="O649" i="26" s="1"/>
  <c r="M649" i="26"/>
  <c r="P645" i="26"/>
  <c r="N645" i="26"/>
  <c r="O645" i="26" s="1"/>
  <c r="M645" i="26"/>
  <c r="P641" i="26"/>
  <c r="N641" i="26"/>
  <c r="O641" i="26" s="1"/>
  <c r="M641" i="26"/>
  <c r="P637" i="26"/>
  <c r="N637" i="26"/>
  <c r="O637" i="26" s="1"/>
  <c r="M637" i="26"/>
  <c r="P633" i="26"/>
  <c r="N633" i="26"/>
  <c r="O633" i="26" s="1"/>
  <c r="M633" i="26"/>
  <c r="M632" i="26"/>
  <c r="P632" i="26"/>
  <c r="N632" i="26"/>
  <c r="O632" i="26" s="1"/>
  <c r="M631" i="26"/>
  <c r="P631" i="26"/>
  <c r="N631" i="26"/>
  <c r="O631" i="26" s="1"/>
  <c r="N630" i="26"/>
  <c r="O630" i="26" s="1"/>
  <c r="P630" i="26"/>
  <c r="M630" i="26"/>
  <c r="K70" i="26"/>
  <c r="L70" i="26" s="1"/>
  <c r="J70" i="26"/>
  <c r="K66" i="26"/>
  <c r="L66" i="26" s="1"/>
  <c r="J66" i="26"/>
  <c r="K62" i="26"/>
  <c r="L62" i="26" s="1"/>
  <c r="J62" i="26"/>
  <c r="K58" i="26"/>
  <c r="L58" i="26" s="1"/>
  <c r="J58" i="26"/>
  <c r="K54" i="26"/>
  <c r="L54" i="26" s="1"/>
  <c r="J54" i="26"/>
  <c r="K50" i="26"/>
  <c r="L50" i="26" s="1"/>
  <c r="J50" i="26"/>
  <c r="K46" i="26"/>
  <c r="L46" i="26" s="1"/>
  <c r="J46" i="26"/>
  <c r="K42" i="26"/>
  <c r="L42" i="26" s="1"/>
  <c r="J42" i="26"/>
  <c r="K38" i="26"/>
  <c r="L38" i="26" s="1"/>
  <c r="J38" i="26"/>
  <c r="K83" i="26"/>
  <c r="L83" i="26" s="1"/>
  <c r="J83" i="26"/>
  <c r="K79" i="26"/>
  <c r="L79" i="26" s="1"/>
  <c r="J79" i="26"/>
  <c r="K75" i="26"/>
  <c r="L75" i="26" s="1"/>
  <c r="J75" i="26"/>
  <c r="K71" i="26"/>
  <c r="L71" i="26" s="1"/>
  <c r="J71" i="26"/>
  <c r="K67" i="26"/>
  <c r="L67" i="26" s="1"/>
  <c r="J67" i="26"/>
  <c r="K63" i="26"/>
  <c r="L63" i="26" s="1"/>
  <c r="J63" i="26"/>
  <c r="K59" i="26"/>
  <c r="L59" i="26" s="1"/>
  <c r="J59" i="26"/>
  <c r="K55" i="26"/>
  <c r="L55" i="26" s="1"/>
  <c r="J55" i="26"/>
  <c r="K51" i="26"/>
  <c r="L51" i="26" s="1"/>
  <c r="J51" i="26"/>
  <c r="K47" i="26"/>
  <c r="L47" i="26" s="1"/>
  <c r="J47" i="26"/>
  <c r="K43" i="26"/>
  <c r="L43" i="26" s="1"/>
  <c r="J43" i="26"/>
  <c r="K39" i="26"/>
  <c r="L39" i="26" s="1"/>
  <c r="J39" i="26"/>
  <c r="K80" i="26"/>
  <c r="L80" i="26" s="1"/>
  <c r="J80" i="26"/>
  <c r="K76" i="26"/>
  <c r="L76" i="26" s="1"/>
  <c r="J76" i="26"/>
  <c r="K72" i="26"/>
  <c r="L72" i="26" s="1"/>
  <c r="J72" i="26"/>
  <c r="K68" i="26"/>
  <c r="L68" i="26" s="1"/>
  <c r="J68" i="26"/>
  <c r="K64" i="26"/>
  <c r="L64" i="26" s="1"/>
  <c r="J64" i="26"/>
  <c r="K60" i="26"/>
  <c r="L60" i="26" s="1"/>
  <c r="J60" i="26"/>
  <c r="K56" i="26"/>
  <c r="L56" i="26" s="1"/>
  <c r="J56" i="26"/>
  <c r="K52" i="26"/>
  <c r="L52" i="26" s="1"/>
  <c r="J52" i="26"/>
  <c r="J48" i="26"/>
  <c r="K48" i="26"/>
  <c r="L48" i="26" s="1"/>
  <c r="K44" i="26"/>
  <c r="L44" i="26" s="1"/>
  <c r="J44" i="26"/>
  <c r="K40" i="26"/>
  <c r="L40" i="26" s="1"/>
  <c r="J40" i="26"/>
  <c r="K81" i="26"/>
  <c r="L81" i="26" s="1"/>
  <c r="J81" i="26"/>
  <c r="K77" i="26"/>
  <c r="L77" i="26" s="1"/>
  <c r="J77" i="26"/>
  <c r="K73" i="26"/>
  <c r="L73" i="26" s="1"/>
  <c r="J73" i="26"/>
  <c r="K69" i="26"/>
  <c r="L69" i="26" s="1"/>
  <c r="J69" i="26"/>
  <c r="K65" i="26"/>
  <c r="L65" i="26" s="1"/>
  <c r="J65" i="26"/>
  <c r="K61" i="26"/>
  <c r="L61" i="26" s="1"/>
  <c r="J61" i="26"/>
  <c r="K57" i="26"/>
  <c r="L57" i="26" s="1"/>
  <c r="J57" i="26"/>
  <c r="K53" i="26"/>
  <c r="L53" i="26" s="1"/>
  <c r="J53" i="26"/>
  <c r="K49" i="26"/>
  <c r="L49" i="26" s="1"/>
  <c r="J49" i="26"/>
  <c r="K45" i="26"/>
  <c r="L45" i="26" s="1"/>
  <c r="J45" i="26"/>
  <c r="K41" i="26"/>
  <c r="L41" i="26" s="1"/>
  <c r="J41" i="26"/>
  <c r="K82" i="26"/>
  <c r="L82" i="26" s="1"/>
  <c r="J82" i="26"/>
  <c r="K78" i="26"/>
  <c r="L78" i="26" s="1"/>
  <c r="J78" i="26"/>
  <c r="K74" i="26"/>
  <c r="L74" i="26" s="1"/>
  <c r="J74" i="26"/>
  <c r="K37" i="26"/>
  <c r="L37" i="26" s="1"/>
  <c r="J37" i="26"/>
  <c r="P160" i="26"/>
  <c r="N160" i="26"/>
  <c r="O160" i="26" s="1"/>
  <c r="M160" i="26"/>
  <c r="N136" i="26"/>
  <c r="O136" i="26" s="1"/>
  <c r="M136" i="26"/>
  <c r="P136" i="26"/>
  <c r="N159" i="26"/>
  <c r="O159" i="26" s="1"/>
  <c r="M159" i="26"/>
  <c r="P159" i="26"/>
  <c r="N151" i="26"/>
  <c r="O151" i="26" s="1"/>
  <c r="M151" i="26"/>
  <c r="P151" i="26"/>
  <c r="N143" i="26"/>
  <c r="O143" i="26" s="1"/>
  <c r="M143" i="26"/>
  <c r="P143" i="26"/>
  <c r="P128" i="26"/>
  <c r="M128" i="26"/>
  <c r="N128" i="26"/>
  <c r="O128" i="26" s="1"/>
  <c r="M126" i="26"/>
  <c r="P126" i="26"/>
  <c r="N126" i="26"/>
  <c r="O126" i="26" s="1"/>
  <c r="N124" i="26"/>
  <c r="O124" i="26" s="1"/>
  <c r="M124" i="26"/>
  <c r="P124" i="26"/>
  <c r="P118" i="26"/>
  <c r="N118" i="26"/>
  <c r="O118" i="26" s="1"/>
  <c r="M118" i="26"/>
  <c r="P116" i="26"/>
  <c r="N116" i="26"/>
  <c r="O116" i="26" s="1"/>
  <c r="M116" i="26"/>
  <c r="P114" i="26"/>
  <c r="M114" i="26"/>
  <c r="N114" i="26"/>
  <c r="O114" i="26" s="1"/>
  <c r="P112" i="26"/>
  <c r="M112" i="26"/>
  <c r="N112" i="26"/>
  <c r="O112" i="26" s="1"/>
  <c r="P110" i="26"/>
  <c r="M110" i="26"/>
  <c r="N110" i="26"/>
  <c r="O110" i="26" s="1"/>
  <c r="N108" i="26"/>
  <c r="O108" i="26" s="1"/>
  <c r="M108" i="26"/>
  <c r="P108" i="26"/>
  <c r="P106" i="26"/>
  <c r="M106" i="26"/>
  <c r="N106" i="26"/>
  <c r="O106" i="26" s="1"/>
  <c r="N104" i="26"/>
  <c r="O104" i="26" s="1"/>
  <c r="M104" i="26"/>
  <c r="P104" i="26"/>
  <c r="P102" i="26"/>
  <c r="N102" i="26"/>
  <c r="O102" i="26" s="1"/>
  <c r="M102" i="26"/>
  <c r="P100" i="26"/>
  <c r="N100" i="26"/>
  <c r="O100" i="26" s="1"/>
  <c r="M100" i="26"/>
  <c r="P98" i="26"/>
  <c r="M98" i="26"/>
  <c r="N98" i="26"/>
  <c r="O98" i="26" s="1"/>
  <c r="P96" i="26"/>
  <c r="N96" i="26"/>
  <c r="O96" i="26" s="1"/>
  <c r="M96" i="26"/>
  <c r="P94" i="26"/>
  <c r="M94" i="26"/>
  <c r="N94" i="26"/>
  <c r="O94" i="26" s="1"/>
  <c r="N92" i="26"/>
  <c r="O92" i="26" s="1"/>
  <c r="M92" i="26"/>
  <c r="P92" i="26"/>
  <c r="P90" i="26"/>
  <c r="M90" i="26"/>
  <c r="N90" i="26"/>
  <c r="O90" i="26" s="1"/>
  <c r="N88" i="26"/>
  <c r="O88" i="26" s="1"/>
  <c r="M88" i="26"/>
  <c r="P88" i="26"/>
  <c r="N156" i="26"/>
  <c r="O156" i="26" s="1"/>
  <c r="M156" i="26"/>
  <c r="P156" i="26"/>
  <c r="P144" i="26"/>
  <c r="M144" i="26"/>
  <c r="N144" i="26"/>
  <c r="O144" i="26" s="1"/>
  <c r="N140" i="26"/>
  <c r="O140" i="26" s="1"/>
  <c r="M140" i="26"/>
  <c r="P140" i="26"/>
  <c r="N155" i="26"/>
  <c r="O155" i="26" s="1"/>
  <c r="P155" i="26"/>
  <c r="M155" i="26"/>
  <c r="N147" i="26"/>
  <c r="O147" i="26" s="1"/>
  <c r="M147" i="26"/>
  <c r="P147" i="26"/>
  <c r="N135" i="26"/>
  <c r="O135" i="26" s="1"/>
  <c r="M135" i="26"/>
  <c r="P135" i="26"/>
  <c r="N131" i="26"/>
  <c r="O131" i="26" s="1"/>
  <c r="M131" i="26"/>
  <c r="P131" i="26"/>
  <c r="P122" i="26"/>
  <c r="M122" i="26"/>
  <c r="N122" i="26"/>
  <c r="O122" i="26" s="1"/>
  <c r="M158" i="26"/>
  <c r="P158" i="26"/>
  <c r="N158" i="26"/>
  <c r="O158" i="26" s="1"/>
  <c r="M154" i="26"/>
  <c r="N154" i="26"/>
  <c r="O154" i="26" s="1"/>
  <c r="P154" i="26"/>
  <c r="P150" i="26"/>
  <c r="N150" i="26"/>
  <c r="O150" i="26" s="1"/>
  <c r="M150" i="26"/>
  <c r="M146" i="26"/>
  <c r="P146" i="26"/>
  <c r="N146" i="26"/>
  <c r="O146" i="26" s="1"/>
  <c r="M142" i="26"/>
  <c r="P142" i="26"/>
  <c r="N142" i="26"/>
  <c r="O142" i="26" s="1"/>
  <c r="M138" i="26"/>
  <c r="P138" i="26"/>
  <c r="N138" i="26"/>
  <c r="O138" i="26" s="1"/>
  <c r="P134" i="26"/>
  <c r="N134" i="26"/>
  <c r="O134" i="26" s="1"/>
  <c r="M134" i="26"/>
  <c r="M130" i="26"/>
  <c r="P130" i="26"/>
  <c r="N130" i="26"/>
  <c r="O130" i="26" s="1"/>
  <c r="N152" i="26"/>
  <c r="O152" i="26" s="1"/>
  <c r="M152" i="26"/>
  <c r="P152" i="26"/>
  <c r="N148" i="26"/>
  <c r="O148" i="26" s="1"/>
  <c r="M148" i="26"/>
  <c r="P148" i="26"/>
  <c r="N132" i="26"/>
  <c r="O132" i="26" s="1"/>
  <c r="M132" i="26"/>
  <c r="P132" i="26"/>
  <c r="N139" i="26"/>
  <c r="O139" i="26" s="1"/>
  <c r="P139" i="26"/>
  <c r="M139" i="26"/>
  <c r="N120" i="26"/>
  <c r="O120" i="26" s="1"/>
  <c r="M120" i="26"/>
  <c r="P120" i="26"/>
  <c r="P161" i="26"/>
  <c r="M161" i="26"/>
  <c r="N161" i="26"/>
  <c r="O161" i="26" s="1"/>
  <c r="P157" i="26"/>
  <c r="M157" i="26"/>
  <c r="N157" i="26"/>
  <c r="O157" i="26" s="1"/>
  <c r="P153" i="26"/>
  <c r="M153" i="26"/>
  <c r="N153" i="26"/>
  <c r="O153" i="26" s="1"/>
  <c r="P149" i="26"/>
  <c r="M149" i="26"/>
  <c r="N149" i="26"/>
  <c r="O149" i="26" s="1"/>
  <c r="P145" i="26"/>
  <c r="M145" i="26"/>
  <c r="N145" i="26"/>
  <c r="O145" i="26" s="1"/>
  <c r="P141" i="26"/>
  <c r="M141" i="26"/>
  <c r="N141" i="26"/>
  <c r="O141" i="26" s="1"/>
  <c r="P137" i="26"/>
  <c r="M137" i="26"/>
  <c r="N137" i="26"/>
  <c r="O137" i="26" s="1"/>
  <c r="P133" i="26"/>
  <c r="M133" i="26"/>
  <c r="N133" i="26"/>
  <c r="O133" i="26" s="1"/>
  <c r="P129" i="26"/>
  <c r="M129" i="26"/>
  <c r="N129" i="26"/>
  <c r="O129" i="26" s="1"/>
  <c r="N127" i="26"/>
  <c r="O127" i="26" s="1"/>
  <c r="M127" i="26"/>
  <c r="P127" i="26"/>
  <c r="P125" i="26"/>
  <c r="M125" i="26"/>
  <c r="N125" i="26"/>
  <c r="O125" i="26" s="1"/>
  <c r="N123" i="26"/>
  <c r="O123" i="26" s="1"/>
  <c r="P123" i="26"/>
  <c r="M123" i="26"/>
  <c r="P121" i="26"/>
  <c r="M121" i="26"/>
  <c r="N121" i="26"/>
  <c r="O121" i="26" s="1"/>
  <c r="N119" i="26"/>
  <c r="O119" i="26" s="1"/>
  <c r="M119" i="26"/>
  <c r="P119" i="26"/>
  <c r="P117" i="26"/>
  <c r="M117" i="26"/>
  <c r="N117" i="26"/>
  <c r="O117" i="26" s="1"/>
  <c r="N115" i="26"/>
  <c r="O115" i="26" s="1"/>
  <c r="P115" i="26"/>
  <c r="M115" i="26"/>
  <c r="P113" i="26"/>
  <c r="M113" i="26"/>
  <c r="N113" i="26"/>
  <c r="O113" i="26" s="1"/>
  <c r="N111" i="26"/>
  <c r="O111" i="26" s="1"/>
  <c r="P111" i="26"/>
  <c r="M111" i="26"/>
  <c r="P109" i="26"/>
  <c r="M109" i="26"/>
  <c r="N109" i="26"/>
  <c r="O109" i="26" s="1"/>
  <c r="N107" i="26"/>
  <c r="O107" i="26" s="1"/>
  <c r="P107" i="26"/>
  <c r="M107" i="26"/>
  <c r="P105" i="26"/>
  <c r="M105" i="26"/>
  <c r="N105" i="26"/>
  <c r="O105" i="26" s="1"/>
  <c r="N103" i="26"/>
  <c r="O103" i="26" s="1"/>
  <c r="M103" i="26"/>
  <c r="P103" i="26"/>
  <c r="P101" i="26"/>
  <c r="M101" i="26"/>
  <c r="N101" i="26"/>
  <c r="O101" i="26" s="1"/>
  <c r="N99" i="26"/>
  <c r="O99" i="26" s="1"/>
  <c r="P99" i="26"/>
  <c r="M99" i="26"/>
  <c r="P97" i="26"/>
  <c r="M97" i="26"/>
  <c r="N97" i="26"/>
  <c r="O97" i="26" s="1"/>
  <c r="N95" i="26"/>
  <c r="O95" i="26" s="1"/>
  <c r="P95" i="26"/>
  <c r="M95" i="26"/>
  <c r="P93" i="26"/>
  <c r="M93" i="26"/>
  <c r="N93" i="26"/>
  <c r="O93" i="26" s="1"/>
  <c r="N91" i="26"/>
  <c r="O91" i="26" s="1"/>
  <c r="P91" i="26"/>
  <c r="M91" i="26"/>
  <c r="P89" i="26"/>
  <c r="M89" i="26"/>
  <c r="N89" i="26"/>
  <c r="O89" i="26" s="1"/>
  <c r="N87" i="26"/>
  <c r="O87" i="26" s="1"/>
  <c r="M87" i="26"/>
  <c r="P87" i="26"/>
  <c r="P170" i="26"/>
  <c r="N170" i="26"/>
  <c r="O170" i="26" s="1"/>
  <c r="M170" i="26"/>
  <c r="P182" i="26"/>
  <c r="M182" i="26"/>
  <c r="N182" i="26"/>
  <c r="O182" i="26" s="1"/>
  <c r="P190" i="26"/>
  <c r="M190" i="26"/>
  <c r="N190" i="26"/>
  <c r="O190" i="26" s="1"/>
  <c r="P194" i="26"/>
  <c r="N194" i="26"/>
  <c r="O194" i="26" s="1"/>
  <c r="M194" i="26"/>
  <c r="P202" i="26"/>
  <c r="N202" i="26"/>
  <c r="O202" i="26" s="1"/>
  <c r="M202" i="26"/>
  <c r="P206" i="26"/>
  <c r="M206" i="26"/>
  <c r="N206" i="26"/>
  <c r="O206" i="26" s="1"/>
  <c r="M214" i="26"/>
  <c r="P214" i="26"/>
  <c r="N214" i="26"/>
  <c r="O214" i="26" s="1"/>
  <c r="M222" i="26"/>
  <c r="P222" i="26"/>
  <c r="N222" i="26"/>
  <c r="O222" i="26" s="1"/>
  <c r="P226" i="26"/>
  <c r="N226" i="26"/>
  <c r="O226" i="26" s="1"/>
  <c r="M226" i="26"/>
  <c r="M238" i="26"/>
  <c r="P238" i="26"/>
  <c r="N238" i="26"/>
  <c r="O238" i="26" s="1"/>
  <c r="M167" i="26"/>
  <c r="N167" i="26"/>
  <c r="O167" i="26" s="1"/>
  <c r="P167" i="26"/>
  <c r="M179" i="26"/>
  <c r="P179" i="26"/>
  <c r="N179" i="26"/>
  <c r="O179" i="26" s="1"/>
  <c r="M183" i="26"/>
  <c r="N183" i="26"/>
  <c r="O183" i="26" s="1"/>
  <c r="P183" i="26"/>
  <c r="M187" i="26"/>
  <c r="P187" i="26"/>
  <c r="N187" i="26"/>
  <c r="O187" i="26" s="1"/>
  <c r="M195" i="26"/>
  <c r="P195" i="26"/>
  <c r="N195" i="26"/>
  <c r="O195" i="26" s="1"/>
  <c r="M203" i="26"/>
  <c r="P203" i="26"/>
  <c r="N203" i="26"/>
  <c r="O203" i="26" s="1"/>
  <c r="M211" i="26"/>
  <c r="N211" i="26"/>
  <c r="O211" i="26" s="1"/>
  <c r="P211" i="26"/>
  <c r="M219" i="26"/>
  <c r="N219" i="26"/>
  <c r="O219" i="26" s="1"/>
  <c r="P219" i="26"/>
  <c r="M231" i="26"/>
  <c r="N231" i="26"/>
  <c r="O231" i="26" s="1"/>
  <c r="P231" i="26"/>
  <c r="M235" i="26"/>
  <c r="N235" i="26"/>
  <c r="O235" i="26" s="1"/>
  <c r="P235" i="26"/>
  <c r="P168" i="26"/>
  <c r="N168" i="26"/>
  <c r="O168" i="26" s="1"/>
  <c r="M168" i="26"/>
  <c r="P172" i="26"/>
  <c r="N172" i="26"/>
  <c r="O172" i="26" s="1"/>
  <c r="M172" i="26"/>
  <c r="P176" i="26"/>
  <c r="N176" i="26"/>
  <c r="O176" i="26" s="1"/>
  <c r="M176" i="26"/>
  <c r="P180" i="26"/>
  <c r="N180" i="26"/>
  <c r="O180" i="26" s="1"/>
  <c r="M180" i="26"/>
  <c r="P184" i="26"/>
  <c r="N184" i="26"/>
  <c r="O184" i="26" s="1"/>
  <c r="M184" i="26"/>
  <c r="P188" i="26"/>
  <c r="N188" i="26"/>
  <c r="O188" i="26" s="1"/>
  <c r="M188" i="26"/>
  <c r="P192" i="26"/>
  <c r="N192" i="26"/>
  <c r="O192" i="26" s="1"/>
  <c r="M192" i="26"/>
  <c r="P196" i="26"/>
  <c r="N196" i="26"/>
  <c r="O196" i="26" s="1"/>
  <c r="M196" i="26"/>
  <c r="P200" i="26"/>
  <c r="N200" i="26"/>
  <c r="O200" i="26" s="1"/>
  <c r="M200" i="26"/>
  <c r="P204" i="26"/>
  <c r="N204" i="26"/>
  <c r="O204" i="26" s="1"/>
  <c r="M204" i="26"/>
  <c r="P208" i="26"/>
  <c r="N208" i="26"/>
  <c r="O208" i="26" s="1"/>
  <c r="M208" i="26"/>
  <c r="P212" i="26"/>
  <c r="N212" i="26"/>
  <c r="O212" i="26" s="1"/>
  <c r="M212" i="26"/>
  <c r="P216" i="26"/>
  <c r="N216" i="26"/>
  <c r="O216" i="26" s="1"/>
  <c r="M216" i="26"/>
  <c r="P220" i="26"/>
  <c r="N220" i="26"/>
  <c r="O220" i="26" s="1"/>
  <c r="M220" i="26"/>
  <c r="P224" i="26"/>
  <c r="N224" i="26"/>
  <c r="O224" i="26" s="1"/>
  <c r="M224" i="26"/>
  <c r="P228" i="26"/>
  <c r="N228" i="26"/>
  <c r="O228" i="26" s="1"/>
  <c r="M228" i="26"/>
  <c r="P232" i="26"/>
  <c r="N232" i="26"/>
  <c r="O232" i="26" s="1"/>
  <c r="M232" i="26"/>
  <c r="P236" i="26"/>
  <c r="N236" i="26"/>
  <c r="O236" i="26" s="1"/>
  <c r="M236" i="26"/>
  <c r="P166" i="26"/>
  <c r="M166" i="26"/>
  <c r="N166" i="26"/>
  <c r="O166" i="26" s="1"/>
  <c r="P174" i="26"/>
  <c r="M174" i="26"/>
  <c r="N174" i="26"/>
  <c r="O174" i="26" s="1"/>
  <c r="P178" i="26"/>
  <c r="N178" i="26"/>
  <c r="O178" i="26" s="1"/>
  <c r="M178" i="26"/>
  <c r="P186" i="26"/>
  <c r="N186" i="26"/>
  <c r="O186" i="26" s="1"/>
  <c r="M186" i="26"/>
  <c r="P198" i="26"/>
  <c r="M198" i="26"/>
  <c r="N198" i="26"/>
  <c r="O198" i="26" s="1"/>
  <c r="P210" i="26"/>
  <c r="N210" i="26"/>
  <c r="O210" i="26" s="1"/>
  <c r="M210" i="26"/>
  <c r="P218" i="26"/>
  <c r="N218" i="26"/>
  <c r="O218" i="26" s="1"/>
  <c r="M218" i="26"/>
  <c r="M230" i="26"/>
  <c r="P230" i="26"/>
  <c r="N230" i="26"/>
  <c r="O230" i="26" s="1"/>
  <c r="P234" i="26"/>
  <c r="N234" i="26"/>
  <c r="O234" i="26" s="1"/>
  <c r="M234" i="26"/>
  <c r="M171" i="26"/>
  <c r="P171" i="26"/>
  <c r="N171" i="26"/>
  <c r="O171" i="26" s="1"/>
  <c r="M175" i="26"/>
  <c r="N175" i="26"/>
  <c r="O175" i="26" s="1"/>
  <c r="P175" i="26"/>
  <c r="M191" i="26"/>
  <c r="N191" i="26"/>
  <c r="O191" i="26" s="1"/>
  <c r="P191" i="26"/>
  <c r="M199" i="26"/>
  <c r="N199" i="26"/>
  <c r="O199" i="26" s="1"/>
  <c r="P199" i="26"/>
  <c r="M207" i="26"/>
  <c r="N207" i="26"/>
  <c r="O207" i="26" s="1"/>
  <c r="P207" i="26"/>
  <c r="M215" i="26"/>
  <c r="N215" i="26"/>
  <c r="O215" i="26" s="1"/>
  <c r="P215" i="26"/>
  <c r="M223" i="26"/>
  <c r="N223" i="26"/>
  <c r="O223" i="26" s="1"/>
  <c r="P223" i="26"/>
  <c r="M227" i="26"/>
  <c r="N227" i="26"/>
  <c r="O227" i="26" s="1"/>
  <c r="P227" i="26"/>
  <c r="M239" i="26"/>
  <c r="N239" i="26"/>
  <c r="O239" i="26" s="1"/>
  <c r="P239" i="26"/>
  <c r="P165" i="26"/>
  <c r="N165" i="26"/>
  <c r="O165" i="26" s="1"/>
  <c r="M165" i="26"/>
  <c r="P169" i="26"/>
  <c r="N169" i="26"/>
  <c r="O169" i="26" s="1"/>
  <c r="M169" i="26"/>
  <c r="P173" i="26"/>
  <c r="N173" i="26"/>
  <c r="O173" i="26" s="1"/>
  <c r="M173" i="26"/>
  <c r="P177" i="26"/>
  <c r="N177" i="26"/>
  <c r="O177" i="26" s="1"/>
  <c r="M177" i="26"/>
  <c r="P181" i="26"/>
  <c r="N181" i="26"/>
  <c r="O181" i="26" s="1"/>
  <c r="M181" i="26"/>
  <c r="P185" i="26"/>
  <c r="N185" i="26"/>
  <c r="O185" i="26" s="1"/>
  <c r="M185" i="26"/>
  <c r="P189" i="26"/>
  <c r="N189" i="26"/>
  <c r="O189" i="26" s="1"/>
  <c r="M189" i="26"/>
  <c r="P193" i="26"/>
  <c r="N193" i="26"/>
  <c r="O193" i="26" s="1"/>
  <c r="M193" i="26"/>
  <c r="P197" i="26"/>
  <c r="N197" i="26"/>
  <c r="O197" i="26" s="1"/>
  <c r="M197" i="26"/>
  <c r="P201" i="26"/>
  <c r="N201" i="26"/>
  <c r="O201" i="26" s="1"/>
  <c r="M201" i="26"/>
  <c r="P205" i="26"/>
  <c r="N205" i="26"/>
  <c r="O205" i="26" s="1"/>
  <c r="M205" i="26"/>
  <c r="P209" i="26"/>
  <c r="N209" i="26"/>
  <c r="O209" i="26" s="1"/>
  <c r="M209" i="26"/>
  <c r="P213" i="26"/>
  <c r="N213" i="26"/>
  <c r="O213" i="26" s="1"/>
  <c r="M213" i="26"/>
  <c r="P217" i="26"/>
  <c r="N217" i="26"/>
  <c r="O217" i="26" s="1"/>
  <c r="M217" i="26"/>
  <c r="P221" i="26"/>
  <c r="N221" i="26"/>
  <c r="O221" i="26" s="1"/>
  <c r="M221" i="26"/>
  <c r="P225" i="26"/>
  <c r="N225" i="26"/>
  <c r="O225" i="26" s="1"/>
  <c r="M225" i="26"/>
  <c r="P229" i="26"/>
  <c r="N229" i="26"/>
  <c r="O229" i="26" s="1"/>
  <c r="M229" i="26"/>
  <c r="P233" i="26"/>
  <c r="N233" i="26"/>
  <c r="O233" i="26" s="1"/>
  <c r="M233" i="26"/>
  <c r="P237" i="26"/>
  <c r="N237" i="26"/>
  <c r="O237" i="26" s="1"/>
  <c r="M237" i="26"/>
  <c r="M163" i="26"/>
  <c r="P163" i="26"/>
  <c r="N163" i="26"/>
  <c r="O163" i="26" s="1"/>
  <c r="M164" i="26"/>
  <c r="P164" i="26"/>
  <c r="N164" i="26"/>
  <c r="O164" i="26" s="1"/>
  <c r="M162" i="26"/>
  <c r="P162" i="26"/>
  <c r="N162" i="26"/>
  <c r="O162" i="26" s="1"/>
  <c r="P315" i="26"/>
  <c r="N315" i="26"/>
  <c r="O315" i="26" s="1"/>
  <c r="M315" i="26"/>
  <c r="P311" i="26"/>
  <c r="N311" i="26"/>
  <c r="O311" i="26" s="1"/>
  <c r="M311" i="26"/>
  <c r="P307" i="26"/>
  <c r="N307" i="26"/>
  <c r="O307" i="26" s="1"/>
  <c r="M307" i="26"/>
  <c r="P303" i="26"/>
  <c r="N303" i="26"/>
  <c r="O303" i="26" s="1"/>
  <c r="M303" i="26"/>
  <c r="P299" i="26"/>
  <c r="N299" i="26"/>
  <c r="O299" i="26" s="1"/>
  <c r="M299" i="26"/>
  <c r="P295" i="26"/>
  <c r="N295" i="26"/>
  <c r="O295" i="26" s="1"/>
  <c r="M295" i="26"/>
  <c r="P291" i="26"/>
  <c r="N291" i="26"/>
  <c r="O291" i="26" s="1"/>
  <c r="M291" i="26"/>
  <c r="P287" i="26"/>
  <c r="N287" i="26"/>
  <c r="O287" i="26" s="1"/>
  <c r="M287" i="26"/>
  <c r="P283" i="26"/>
  <c r="N283" i="26"/>
  <c r="O283" i="26" s="1"/>
  <c r="M283" i="26"/>
  <c r="P279" i="26"/>
  <c r="N279" i="26"/>
  <c r="O279" i="26" s="1"/>
  <c r="M279" i="26"/>
  <c r="P275" i="26"/>
  <c r="N275" i="26"/>
  <c r="O275" i="26" s="1"/>
  <c r="M275" i="26"/>
  <c r="P271" i="26"/>
  <c r="N271" i="26"/>
  <c r="O271" i="26" s="1"/>
  <c r="M271" i="26"/>
  <c r="P267" i="26"/>
  <c r="N267" i="26"/>
  <c r="O267" i="26" s="1"/>
  <c r="M267" i="26"/>
  <c r="P263" i="26"/>
  <c r="N263" i="26"/>
  <c r="O263" i="26" s="1"/>
  <c r="M263" i="26"/>
  <c r="P259" i="26"/>
  <c r="N259" i="26"/>
  <c r="O259" i="26" s="1"/>
  <c r="M259" i="26"/>
  <c r="P255" i="26"/>
  <c r="N255" i="26"/>
  <c r="O255" i="26" s="1"/>
  <c r="M255" i="26"/>
  <c r="P251" i="26"/>
  <c r="N251" i="26"/>
  <c r="O251" i="26" s="1"/>
  <c r="M251" i="26"/>
  <c r="P247" i="26"/>
  <c r="N247" i="26"/>
  <c r="O247" i="26" s="1"/>
  <c r="M247" i="26"/>
  <c r="P243" i="26"/>
  <c r="N243" i="26"/>
  <c r="O243" i="26" s="1"/>
  <c r="M243" i="26"/>
  <c r="M316" i="26"/>
  <c r="P316" i="26"/>
  <c r="N316" i="26"/>
  <c r="O316" i="26" s="1"/>
  <c r="M308" i="26"/>
  <c r="P308" i="26"/>
  <c r="N308" i="26"/>
  <c r="O308" i="26" s="1"/>
  <c r="M300" i="26"/>
  <c r="P300" i="26"/>
  <c r="N300" i="26"/>
  <c r="O300" i="26" s="1"/>
  <c r="M296" i="26"/>
  <c r="P296" i="26"/>
  <c r="N296" i="26"/>
  <c r="O296" i="26" s="1"/>
  <c r="M288" i="26"/>
  <c r="P288" i="26"/>
  <c r="N288" i="26"/>
  <c r="O288" i="26" s="1"/>
  <c r="M280" i="26"/>
  <c r="P280" i="26"/>
  <c r="N280" i="26"/>
  <c r="O280" i="26" s="1"/>
  <c r="M272" i="26"/>
  <c r="P272" i="26"/>
  <c r="N272" i="26"/>
  <c r="O272" i="26" s="1"/>
  <c r="M268" i="26"/>
  <c r="P268" i="26"/>
  <c r="N268" i="26"/>
  <c r="O268" i="26" s="1"/>
  <c r="M260" i="26"/>
  <c r="P260" i="26"/>
  <c r="N260" i="26"/>
  <c r="O260" i="26" s="1"/>
  <c r="M252" i="26"/>
  <c r="P252" i="26"/>
  <c r="N252" i="26"/>
  <c r="O252" i="26" s="1"/>
  <c r="M244" i="26"/>
  <c r="P244" i="26"/>
  <c r="N244" i="26"/>
  <c r="O244" i="26" s="1"/>
  <c r="M314" i="26"/>
  <c r="P314" i="26"/>
  <c r="N314" i="26"/>
  <c r="O314" i="26" s="1"/>
  <c r="M310" i="26"/>
  <c r="N310" i="26"/>
  <c r="O310" i="26" s="1"/>
  <c r="P310" i="26"/>
  <c r="M306" i="26"/>
  <c r="N306" i="26"/>
  <c r="O306" i="26" s="1"/>
  <c r="P306" i="26"/>
  <c r="M302" i="26"/>
  <c r="P302" i="26"/>
  <c r="N302" i="26"/>
  <c r="O302" i="26" s="1"/>
  <c r="M298" i="26"/>
  <c r="P298" i="26"/>
  <c r="N298" i="26"/>
  <c r="O298" i="26" s="1"/>
  <c r="P294" i="26"/>
  <c r="M294" i="26"/>
  <c r="N294" i="26"/>
  <c r="O294" i="26" s="1"/>
  <c r="M290" i="26"/>
  <c r="P290" i="26"/>
  <c r="N290" i="26"/>
  <c r="O290" i="26" s="1"/>
  <c r="P286" i="26"/>
  <c r="M286" i="26"/>
  <c r="N286" i="26"/>
  <c r="O286" i="26" s="1"/>
  <c r="P282" i="26"/>
  <c r="M282" i="26"/>
  <c r="N282" i="26"/>
  <c r="O282" i="26" s="1"/>
  <c r="P278" i="26"/>
  <c r="M278" i="26"/>
  <c r="N278" i="26"/>
  <c r="O278" i="26" s="1"/>
  <c r="P274" i="26"/>
  <c r="M274" i="26"/>
  <c r="N274" i="26"/>
  <c r="O274" i="26" s="1"/>
  <c r="P270" i="26"/>
  <c r="M270" i="26"/>
  <c r="N270" i="26"/>
  <c r="O270" i="26" s="1"/>
  <c r="P266" i="26"/>
  <c r="M266" i="26"/>
  <c r="N266" i="26"/>
  <c r="O266" i="26" s="1"/>
  <c r="P262" i="26"/>
  <c r="M262" i="26"/>
  <c r="N262" i="26"/>
  <c r="O262" i="26" s="1"/>
  <c r="P258" i="26"/>
  <c r="M258" i="26"/>
  <c r="N258" i="26"/>
  <c r="O258" i="26" s="1"/>
  <c r="P254" i="26"/>
  <c r="M254" i="26"/>
  <c r="N254" i="26"/>
  <c r="O254" i="26" s="1"/>
  <c r="P250" i="26"/>
  <c r="M250" i="26"/>
  <c r="N250" i="26"/>
  <c r="O250" i="26" s="1"/>
  <c r="P246" i="26"/>
  <c r="M246" i="26"/>
  <c r="N246" i="26"/>
  <c r="O246" i="26" s="1"/>
  <c r="M312" i="26"/>
  <c r="P312" i="26"/>
  <c r="N312" i="26"/>
  <c r="O312" i="26" s="1"/>
  <c r="M304" i="26"/>
  <c r="P304" i="26"/>
  <c r="N304" i="26"/>
  <c r="O304" i="26" s="1"/>
  <c r="M292" i="26"/>
  <c r="P292" i="26"/>
  <c r="N292" i="26"/>
  <c r="O292" i="26" s="1"/>
  <c r="M284" i="26"/>
  <c r="P284" i="26"/>
  <c r="N284" i="26"/>
  <c r="O284" i="26" s="1"/>
  <c r="M276" i="26"/>
  <c r="P276" i="26"/>
  <c r="N276" i="26"/>
  <c r="O276" i="26" s="1"/>
  <c r="M264" i="26"/>
  <c r="P264" i="26"/>
  <c r="N264" i="26"/>
  <c r="O264" i="26" s="1"/>
  <c r="M256" i="26"/>
  <c r="P256" i="26"/>
  <c r="N256" i="26"/>
  <c r="O256" i="26" s="1"/>
  <c r="M248" i="26"/>
  <c r="P248" i="26"/>
  <c r="N248" i="26"/>
  <c r="O248" i="26" s="1"/>
  <c r="M317" i="26"/>
  <c r="P317" i="26"/>
  <c r="N317" i="26"/>
  <c r="O317" i="26" s="1"/>
  <c r="M313" i="26"/>
  <c r="P313" i="26"/>
  <c r="N313" i="26"/>
  <c r="O313" i="26" s="1"/>
  <c r="M309" i="26"/>
  <c r="P309" i="26"/>
  <c r="N309" i="26"/>
  <c r="O309" i="26" s="1"/>
  <c r="M305" i="26"/>
  <c r="P305" i="26"/>
  <c r="N305" i="26"/>
  <c r="O305" i="26" s="1"/>
  <c r="M301" i="26"/>
  <c r="P301" i="26"/>
  <c r="N301" i="26"/>
  <c r="O301" i="26" s="1"/>
  <c r="M297" i="26"/>
  <c r="P297" i="26"/>
  <c r="N297" i="26"/>
  <c r="O297" i="26" s="1"/>
  <c r="M293" i="26"/>
  <c r="P293" i="26"/>
  <c r="N293" i="26"/>
  <c r="O293" i="26" s="1"/>
  <c r="M289" i="26"/>
  <c r="P289" i="26"/>
  <c r="N289" i="26"/>
  <c r="O289" i="26" s="1"/>
  <c r="M285" i="26"/>
  <c r="P285" i="26"/>
  <c r="N285" i="26"/>
  <c r="O285" i="26" s="1"/>
  <c r="M281" i="26"/>
  <c r="P281" i="26"/>
  <c r="N281" i="26"/>
  <c r="O281" i="26" s="1"/>
  <c r="M277" i="26"/>
  <c r="P277" i="26"/>
  <c r="N277" i="26"/>
  <c r="O277" i="26" s="1"/>
  <c r="M273" i="26"/>
  <c r="P273" i="26"/>
  <c r="N273" i="26"/>
  <c r="O273" i="26" s="1"/>
  <c r="M269" i="26"/>
  <c r="P269" i="26"/>
  <c r="N269" i="26"/>
  <c r="O269" i="26" s="1"/>
  <c r="M265" i="26"/>
  <c r="P265" i="26"/>
  <c r="N265" i="26"/>
  <c r="O265" i="26" s="1"/>
  <c r="M261" i="26"/>
  <c r="P261" i="26"/>
  <c r="N261" i="26"/>
  <c r="O261" i="26" s="1"/>
  <c r="M257" i="26"/>
  <c r="P257" i="26"/>
  <c r="N257" i="26"/>
  <c r="O257" i="26" s="1"/>
  <c r="M253" i="26"/>
  <c r="P253" i="26"/>
  <c r="N253" i="26"/>
  <c r="O253" i="26" s="1"/>
  <c r="M249" i="26"/>
  <c r="P249" i="26"/>
  <c r="N249" i="26"/>
  <c r="O249" i="26" s="1"/>
  <c r="M245" i="26"/>
  <c r="P245" i="26"/>
  <c r="N245" i="26"/>
  <c r="O245" i="26" s="1"/>
  <c r="P242" i="26"/>
  <c r="N242" i="26"/>
  <c r="O242" i="26" s="1"/>
  <c r="M242" i="26"/>
  <c r="P241" i="26"/>
  <c r="N241" i="26"/>
  <c r="O241" i="26" s="1"/>
  <c r="M241" i="26"/>
  <c r="M395" i="26"/>
  <c r="N395" i="26"/>
  <c r="O395" i="26" s="1"/>
  <c r="P395" i="26"/>
  <c r="P383" i="26"/>
  <c r="N383" i="26"/>
  <c r="O383" i="26" s="1"/>
  <c r="M383" i="26"/>
  <c r="P371" i="26"/>
  <c r="N371" i="26"/>
  <c r="O371" i="26" s="1"/>
  <c r="M371" i="26"/>
  <c r="M363" i="26"/>
  <c r="P363" i="26"/>
  <c r="N363" i="26"/>
  <c r="O363" i="26" s="1"/>
  <c r="P359" i="26"/>
  <c r="N359" i="26"/>
  <c r="O359" i="26" s="1"/>
  <c r="M359" i="26"/>
  <c r="M347" i="26"/>
  <c r="P347" i="26"/>
  <c r="N347" i="26"/>
  <c r="O347" i="26" s="1"/>
  <c r="P335" i="26"/>
  <c r="N335" i="26"/>
  <c r="O335" i="26" s="1"/>
  <c r="M335" i="26"/>
  <c r="N323" i="26"/>
  <c r="O323" i="26" s="1"/>
  <c r="P323" i="26"/>
  <c r="M323" i="26"/>
  <c r="P392" i="26"/>
  <c r="N392" i="26"/>
  <c r="O392" i="26" s="1"/>
  <c r="M392" i="26"/>
  <c r="P388" i="26"/>
  <c r="N388" i="26"/>
  <c r="O388" i="26" s="1"/>
  <c r="M388" i="26"/>
  <c r="P384" i="26"/>
  <c r="M384" i="26"/>
  <c r="N384" i="26"/>
  <c r="O384" i="26" s="1"/>
  <c r="P380" i="26"/>
  <c r="N380" i="26"/>
  <c r="O380" i="26" s="1"/>
  <c r="M380" i="26"/>
  <c r="P376" i="26"/>
  <c r="N376" i="26"/>
  <c r="O376" i="26" s="1"/>
  <c r="M376" i="26"/>
  <c r="P372" i="26"/>
  <c r="N372" i="26"/>
  <c r="O372" i="26" s="1"/>
  <c r="M372" i="26"/>
  <c r="P368" i="26"/>
  <c r="M368" i="26"/>
  <c r="N368" i="26"/>
  <c r="O368" i="26" s="1"/>
  <c r="P364" i="26"/>
  <c r="N364" i="26"/>
  <c r="O364" i="26" s="1"/>
  <c r="M364" i="26"/>
  <c r="P360" i="26"/>
  <c r="N360" i="26"/>
  <c r="O360" i="26" s="1"/>
  <c r="M360" i="26"/>
  <c r="P356" i="26"/>
  <c r="N356" i="26"/>
  <c r="O356" i="26" s="1"/>
  <c r="M356" i="26"/>
  <c r="P352" i="26"/>
  <c r="M352" i="26"/>
  <c r="N352" i="26"/>
  <c r="O352" i="26" s="1"/>
  <c r="P348" i="26"/>
  <c r="N348" i="26"/>
  <c r="O348" i="26" s="1"/>
  <c r="M348" i="26"/>
  <c r="P344" i="26"/>
  <c r="N344" i="26"/>
  <c r="O344" i="26" s="1"/>
  <c r="M344" i="26"/>
  <c r="P340" i="26"/>
  <c r="N340" i="26"/>
  <c r="O340" i="26" s="1"/>
  <c r="M340" i="26"/>
  <c r="P336" i="26"/>
  <c r="M336" i="26"/>
  <c r="N336" i="26"/>
  <c r="O336" i="26" s="1"/>
  <c r="P332" i="26"/>
  <c r="N332" i="26"/>
  <c r="O332" i="26" s="1"/>
  <c r="M332" i="26"/>
  <c r="P328" i="26"/>
  <c r="N328" i="26"/>
  <c r="O328" i="26" s="1"/>
  <c r="M328" i="26"/>
  <c r="P324" i="26"/>
  <c r="N324" i="26"/>
  <c r="O324" i="26" s="1"/>
  <c r="M324" i="26"/>
  <c r="P391" i="26"/>
  <c r="N391" i="26"/>
  <c r="O391" i="26" s="1"/>
  <c r="M391" i="26"/>
  <c r="M379" i="26"/>
  <c r="P379" i="26"/>
  <c r="N379" i="26"/>
  <c r="O379" i="26" s="1"/>
  <c r="P367" i="26"/>
  <c r="N367" i="26"/>
  <c r="O367" i="26" s="1"/>
  <c r="M367" i="26"/>
  <c r="N355" i="26"/>
  <c r="O355" i="26" s="1"/>
  <c r="P355" i="26"/>
  <c r="M355" i="26"/>
  <c r="P343" i="26"/>
  <c r="N343" i="26"/>
  <c r="O343" i="26" s="1"/>
  <c r="M343" i="26"/>
  <c r="N339" i="26"/>
  <c r="O339" i="26" s="1"/>
  <c r="P339" i="26"/>
  <c r="M339" i="26"/>
  <c r="P327" i="26"/>
  <c r="N327" i="26"/>
  <c r="O327" i="26" s="1"/>
  <c r="M327" i="26"/>
  <c r="N394" i="26"/>
  <c r="O394" i="26" s="1"/>
  <c r="M394" i="26"/>
  <c r="P394" i="26"/>
  <c r="N390" i="26"/>
  <c r="O390" i="26" s="1"/>
  <c r="M390" i="26"/>
  <c r="P390" i="26"/>
  <c r="N386" i="26"/>
  <c r="O386" i="26" s="1"/>
  <c r="M386" i="26"/>
  <c r="P386" i="26"/>
  <c r="N382" i="26"/>
  <c r="O382" i="26" s="1"/>
  <c r="M382" i="26"/>
  <c r="P382" i="26"/>
  <c r="N378" i="26"/>
  <c r="O378" i="26" s="1"/>
  <c r="M378" i="26"/>
  <c r="P378" i="26"/>
  <c r="N374" i="26"/>
  <c r="O374" i="26" s="1"/>
  <c r="M374" i="26"/>
  <c r="P374" i="26"/>
  <c r="N370" i="26"/>
  <c r="O370" i="26" s="1"/>
  <c r="M370" i="26"/>
  <c r="P370" i="26"/>
  <c r="N366" i="26"/>
  <c r="O366" i="26" s="1"/>
  <c r="M366" i="26"/>
  <c r="P366" i="26"/>
  <c r="N362" i="26"/>
  <c r="O362" i="26" s="1"/>
  <c r="M362" i="26"/>
  <c r="P362" i="26"/>
  <c r="N358" i="26"/>
  <c r="O358" i="26" s="1"/>
  <c r="M358" i="26"/>
  <c r="P358" i="26"/>
  <c r="N354" i="26"/>
  <c r="O354" i="26" s="1"/>
  <c r="M354" i="26"/>
  <c r="P354" i="26"/>
  <c r="N350" i="26"/>
  <c r="O350" i="26" s="1"/>
  <c r="M350" i="26"/>
  <c r="P350" i="26"/>
  <c r="N346" i="26"/>
  <c r="O346" i="26" s="1"/>
  <c r="M346" i="26"/>
  <c r="P346" i="26"/>
  <c r="N342" i="26"/>
  <c r="O342" i="26" s="1"/>
  <c r="M342" i="26"/>
  <c r="P342" i="26"/>
  <c r="N338" i="26"/>
  <c r="O338" i="26" s="1"/>
  <c r="M338" i="26"/>
  <c r="P338" i="26"/>
  <c r="N334" i="26"/>
  <c r="O334" i="26" s="1"/>
  <c r="M334" i="26"/>
  <c r="P334" i="26"/>
  <c r="N330" i="26"/>
  <c r="O330" i="26" s="1"/>
  <c r="M330" i="26"/>
  <c r="P330" i="26"/>
  <c r="N326" i="26"/>
  <c r="O326" i="26" s="1"/>
  <c r="M326" i="26"/>
  <c r="P326" i="26"/>
  <c r="N322" i="26"/>
  <c r="O322" i="26" s="1"/>
  <c r="M322" i="26"/>
  <c r="P322" i="26"/>
  <c r="P387" i="26"/>
  <c r="N387" i="26"/>
  <c r="O387" i="26" s="1"/>
  <c r="M387" i="26"/>
  <c r="P375" i="26"/>
  <c r="N375" i="26"/>
  <c r="O375" i="26" s="1"/>
  <c r="M375" i="26"/>
  <c r="P351" i="26"/>
  <c r="N351" i="26"/>
  <c r="O351" i="26" s="1"/>
  <c r="M351" i="26"/>
  <c r="M331" i="26"/>
  <c r="P331" i="26"/>
  <c r="N331" i="26"/>
  <c r="O331" i="26" s="1"/>
  <c r="P393" i="26"/>
  <c r="N393" i="26"/>
  <c r="O393" i="26" s="1"/>
  <c r="M393" i="26"/>
  <c r="M389" i="26"/>
  <c r="P389" i="26"/>
  <c r="N389" i="26"/>
  <c r="O389" i="26" s="1"/>
  <c r="N385" i="26"/>
  <c r="O385" i="26" s="1"/>
  <c r="M385" i="26"/>
  <c r="P385" i="26"/>
  <c r="P381" i="26"/>
  <c r="N381" i="26"/>
  <c r="O381" i="26" s="1"/>
  <c r="M381" i="26"/>
  <c r="P377" i="26"/>
  <c r="N377" i="26"/>
  <c r="O377" i="26" s="1"/>
  <c r="M377" i="26"/>
  <c r="M373" i="26"/>
  <c r="P373" i="26"/>
  <c r="N373" i="26"/>
  <c r="O373" i="26" s="1"/>
  <c r="N369" i="26"/>
  <c r="O369" i="26" s="1"/>
  <c r="M369" i="26"/>
  <c r="P369" i="26"/>
  <c r="P365" i="26"/>
  <c r="N365" i="26"/>
  <c r="O365" i="26" s="1"/>
  <c r="M365" i="26"/>
  <c r="P361" i="26"/>
  <c r="N361" i="26"/>
  <c r="O361" i="26" s="1"/>
  <c r="M361" i="26"/>
  <c r="P357" i="26"/>
  <c r="M357" i="26"/>
  <c r="N357" i="26"/>
  <c r="O357" i="26" s="1"/>
  <c r="P353" i="26"/>
  <c r="N353" i="26"/>
  <c r="O353" i="26" s="1"/>
  <c r="M353" i="26"/>
  <c r="P349" i="26"/>
  <c r="N349" i="26"/>
  <c r="O349" i="26" s="1"/>
  <c r="M349" i="26"/>
  <c r="P345" i="26"/>
  <c r="N345" i="26"/>
  <c r="O345" i="26" s="1"/>
  <c r="M345" i="26"/>
  <c r="P341" i="26"/>
  <c r="M341" i="26"/>
  <c r="N341" i="26"/>
  <c r="O341" i="26" s="1"/>
  <c r="P337" i="26"/>
  <c r="N337" i="26"/>
  <c r="O337" i="26" s="1"/>
  <c r="M337" i="26"/>
  <c r="P333" i="26"/>
  <c r="N333" i="26"/>
  <c r="O333" i="26" s="1"/>
  <c r="M333" i="26"/>
  <c r="P329" i="26"/>
  <c r="N329" i="26"/>
  <c r="O329" i="26" s="1"/>
  <c r="M329" i="26"/>
  <c r="P325" i="26"/>
  <c r="M325" i="26"/>
  <c r="N325" i="26"/>
  <c r="O325" i="26" s="1"/>
  <c r="P321" i="26"/>
  <c r="N321" i="26"/>
  <c r="O321" i="26" s="1"/>
  <c r="M321" i="26"/>
  <c r="N320" i="26"/>
  <c r="O320" i="26" s="1"/>
  <c r="P320" i="26"/>
  <c r="M320" i="26"/>
  <c r="P319" i="26"/>
  <c r="M319" i="26"/>
  <c r="N319" i="26"/>
  <c r="O319" i="26" s="1"/>
  <c r="P468" i="26"/>
  <c r="N468" i="26"/>
  <c r="O468" i="26" s="1"/>
  <c r="M468" i="26"/>
  <c r="P452" i="26"/>
  <c r="N452" i="26"/>
  <c r="O452" i="26" s="1"/>
  <c r="M452" i="26"/>
  <c r="P436" i="26"/>
  <c r="N436" i="26"/>
  <c r="O436" i="26" s="1"/>
  <c r="M436" i="26"/>
  <c r="P424" i="26"/>
  <c r="N424" i="26"/>
  <c r="O424" i="26" s="1"/>
  <c r="M424" i="26"/>
  <c r="P412" i="26"/>
  <c r="N412" i="26"/>
  <c r="O412" i="26" s="1"/>
  <c r="M412" i="26"/>
  <c r="P404" i="26"/>
  <c r="N404" i="26"/>
  <c r="O404" i="26" s="1"/>
  <c r="M404" i="26"/>
  <c r="M471" i="26"/>
  <c r="N471" i="26"/>
  <c r="O471" i="26" s="1"/>
  <c r="P471" i="26"/>
  <c r="M467" i="26"/>
  <c r="N467" i="26"/>
  <c r="O467" i="26" s="1"/>
  <c r="P467" i="26"/>
  <c r="M463" i="26"/>
  <c r="P463" i="26"/>
  <c r="N463" i="26"/>
  <c r="O463" i="26" s="1"/>
  <c r="M459" i="26"/>
  <c r="N459" i="26"/>
  <c r="O459" i="26" s="1"/>
  <c r="P459" i="26"/>
  <c r="M455" i="26"/>
  <c r="N455" i="26"/>
  <c r="O455" i="26" s="1"/>
  <c r="P455" i="26"/>
  <c r="M451" i="26"/>
  <c r="N451" i="26"/>
  <c r="O451" i="26" s="1"/>
  <c r="P451" i="26"/>
  <c r="M447" i="26"/>
  <c r="N447" i="26"/>
  <c r="O447" i="26" s="1"/>
  <c r="P447" i="26"/>
  <c r="M443" i="26"/>
  <c r="N443" i="26"/>
  <c r="O443" i="26" s="1"/>
  <c r="P443" i="26"/>
  <c r="M439" i="26"/>
  <c r="P439" i="26"/>
  <c r="N439" i="26"/>
  <c r="O439" i="26" s="1"/>
  <c r="M435" i="26"/>
  <c r="P435" i="26"/>
  <c r="N435" i="26"/>
  <c r="O435" i="26" s="1"/>
  <c r="M431" i="26"/>
  <c r="N431" i="26"/>
  <c r="O431" i="26" s="1"/>
  <c r="P431" i="26"/>
  <c r="M427" i="26"/>
  <c r="N427" i="26"/>
  <c r="O427" i="26" s="1"/>
  <c r="P427" i="26"/>
  <c r="M423" i="26"/>
  <c r="P423" i="26"/>
  <c r="N423" i="26"/>
  <c r="O423" i="26" s="1"/>
  <c r="M419" i="26"/>
  <c r="P419" i="26"/>
  <c r="N419" i="26"/>
  <c r="O419" i="26" s="1"/>
  <c r="M415" i="26"/>
  <c r="N415" i="26"/>
  <c r="O415" i="26" s="1"/>
  <c r="P415" i="26"/>
  <c r="M411" i="26"/>
  <c r="N411" i="26"/>
  <c r="O411" i="26" s="1"/>
  <c r="P411" i="26"/>
  <c r="M407" i="26"/>
  <c r="N407" i="26"/>
  <c r="O407" i="26" s="1"/>
  <c r="P407" i="26"/>
  <c r="M403" i="26"/>
  <c r="P403" i="26"/>
  <c r="N403" i="26"/>
  <c r="O403" i="26" s="1"/>
  <c r="M399" i="26"/>
  <c r="P399" i="26"/>
  <c r="N399" i="26"/>
  <c r="O399" i="26" s="1"/>
  <c r="P472" i="26"/>
  <c r="N472" i="26"/>
  <c r="O472" i="26" s="1"/>
  <c r="M472" i="26"/>
  <c r="P460" i="26"/>
  <c r="N460" i="26"/>
  <c r="O460" i="26" s="1"/>
  <c r="M460" i="26"/>
  <c r="P456" i="26"/>
  <c r="N456" i="26"/>
  <c r="O456" i="26" s="1"/>
  <c r="M456" i="26"/>
  <c r="P444" i="26"/>
  <c r="N444" i="26"/>
  <c r="O444" i="26" s="1"/>
  <c r="M444" i="26"/>
  <c r="P432" i="26"/>
  <c r="N432" i="26"/>
  <c r="O432" i="26" s="1"/>
  <c r="M432" i="26"/>
  <c r="P428" i="26"/>
  <c r="N428" i="26"/>
  <c r="O428" i="26" s="1"/>
  <c r="M428" i="26"/>
  <c r="P416" i="26"/>
  <c r="N416" i="26"/>
  <c r="O416" i="26" s="1"/>
  <c r="M416" i="26"/>
  <c r="P400" i="26"/>
  <c r="N400" i="26"/>
  <c r="O400" i="26" s="1"/>
  <c r="M400" i="26"/>
  <c r="P470" i="26"/>
  <c r="M470" i="26"/>
  <c r="N470" i="26"/>
  <c r="O470" i="26" s="1"/>
  <c r="P466" i="26"/>
  <c r="M466" i="26"/>
  <c r="N466" i="26"/>
  <c r="O466" i="26" s="1"/>
  <c r="P462" i="26"/>
  <c r="M462" i="26"/>
  <c r="N462" i="26"/>
  <c r="O462" i="26" s="1"/>
  <c r="P458" i="26"/>
  <c r="M458" i="26"/>
  <c r="N458" i="26"/>
  <c r="O458" i="26" s="1"/>
  <c r="P454" i="26"/>
  <c r="M454" i="26"/>
  <c r="N454" i="26"/>
  <c r="O454" i="26" s="1"/>
  <c r="N450" i="26"/>
  <c r="O450" i="26" s="1"/>
  <c r="P450" i="26"/>
  <c r="M450" i="26"/>
  <c r="P446" i="26"/>
  <c r="M446" i="26"/>
  <c r="N446" i="26"/>
  <c r="O446" i="26" s="1"/>
  <c r="P442" i="26"/>
  <c r="M442" i="26"/>
  <c r="N442" i="26"/>
  <c r="O442" i="26" s="1"/>
  <c r="P438" i="26"/>
  <c r="M438" i="26"/>
  <c r="N438" i="26"/>
  <c r="O438" i="26" s="1"/>
  <c r="P434" i="26"/>
  <c r="N434" i="26"/>
  <c r="O434" i="26" s="1"/>
  <c r="M434" i="26"/>
  <c r="P430" i="26"/>
  <c r="M430" i="26"/>
  <c r="N430" i="26"/>
  <c r="O430" i="26" s="1"/>
  <c r="P426" i="26"/>
  <c r="M426" i="26"/>
  <c r="N426" i="26"/>
  <c r="O426" i="26" s="1"/>
  <c r="P422" i="26"/>
  <c r="M422" i="26"/>
  <c r="N422" i="26"/>
  <c r="O422" i="26" s="1"/>
  <c r="P418" i="26"/>
  <c r="N418" i="26"/>
  <c r="O418" i="26" s="1"/>
  <c r="M418" i="26"/>
  <c r="P414" i="26"/>
  <c r="M414" i="26"/>
  <c r="N414" i="26"/>
  <c r="O414" i="26" s="1"/>
  <c r="P410" i="26"/>
  <c r="M410" i="26"/>
  <c r="N410" i="26"/>
  <c r="O410" i="26" s="1"/>
  <c r="P406" i="26"/>
  <c r="M406" i="26"/>
  <c r="N406" i="26"/>
  <c r="O406" i="26" s="1"/>
  <c r="P402" i="26"/>
  <c r="N402" i="26"/>
  <c r="O402" i="26" s="1"/>
  <c r="M402" i="26"/>
  <c r="P464" i="26"/>
  <c r="N464" i="26"/>
  <c r="O464" i="26" s="1"/>
  <c r="M464" i="26"/>
  <c r="P448" i="26"/>
  <c r="N448" i="26"/>
  <c r="O448" i="26" s="1"/>
  <c r="M448" i="26"/>
  <c r="P440" i="26"/>
  <c r="N440" i="26"/>
  <c r="O440" i="26" s="1"/>
  <c r="M440" i="26"/>
  <c r="P420" i="26"/>
  <c r="N420" i="26"/>
  <c r="O420" i="26" s="1"/>
  <c r="M420" i="26"/>
  <c r="P408" i="26"/>
  <c r="N408" i="26"/>
  <c r="O408" i="26" s="1"/>
  <c r="M408" i="26"/>
  <c r="P473" i="26"/>
  <c r="N473" i="26"/>
  <c r="O473" i="26" s="1"/>
  <c r="M473" i="26"/>
  <c r="P469" i="26"/>
  <c r="N469" i="26"/>
  <c r="O469" i="26" s="1"/>
  <c r="M469" i="26"/>
  <c r="P465" i="26"/>
  <c r="N465" i="26"/>
  <c r="O465" i="26" s="1"/>
  <c r="M465" i="26"/>
  <c r="P461" i="26"/>
  <c r="N461" i="26"/>
  <c r="O461" i="26" s="1"/>
  <c r="M461" i="26"/>
  <c r="P457" i="26"/>
  <c r="N457" i="26"/>
  <c r="O457" i="26" s="1"/>
  <c r="M457" i="26"/>
  <c r="P453" i="26"/>
  <c r="N453" i="26"/>
  <c r="O453" i="26" s="1"/>
  <c r="M453" i="26"/>
  <c r="P449" i="26"/>
  <c r="N449" i="26"/>
  <c r="O449" i="26" s="1"/>
  <c r="M449" i="26"/>
  <c r="P445" i="26"/>
  <c r="N445" i="26"/>
  <c r="O445" i="26" s="1"/>
  <c r="M445" i="26"/>
  <c r="P441" i="26"/>
  <c r="N441" i="26"/>
  <c r="O441" i="26" s="1"/>
  <c r="M441" i="26"/>
  <c r="P437" i="26"/>
  <c r="N437" i="26"/>
  <c r="O437" i="26" s="1"/>
  <c r="M437" i="26"/>
  <c r="P433" i="26"/>
  <c r="N433" i="26"/>
  <c r="O433" i="26" s="1"/>
  <c r="M433" i="26"/>
  <c r="P429" i="26"/>
  <c r="N429" i="26"/>
  <c r="O429" i="26" s="1"/>
  <c r="M429" i="26"/>
  <c r="P425" i="26"/>
  <c r="N425" i="26"/>
  <c r="O425" i="26" s="1"/>
  <c r="M425" i="26"/>
  <c r="P421" i="26"/>
  <c r="N421" i="26"/>
  <c r="O421" i="26" s="1"/>
  <c r="M421" i="26"/>
  <c r="P417" i="26"/>
  <c r="N417" i="26"/>
  <c r="O417" i="26" s="1"/>
  <c r="M417" i="26"/>
  <c r="P413" i="26"/>
  <c r="N413" i="26"/>
  <c r="O413" i="26" s="1"/>
  <c r="M413" i="26"/>
  <c r="P409" i="26"/>
  <c r="N409" i="26"/>
  <c r="O409" i="26" s="1"/>
  <c r="M409" i="26"/>
  <c r="P405" i="26"/>
  <c r="N405" i="26"/>
  <c r="O405" i="26" s="1"/>
  <c r="M405" i="26"/>
  <c r="P401" i="26"/>
  <c r="N401" i="26"/>
  <c r="O401" i="26" s="1"/>
  <c r="M401" i="26"/>
  <c r="P398" i="26"/>
  <c r="N398" i="26"/>
  <c r="O398" i="26" s="1"/>
  <c r="M398" i="26"/>
  <c r="M397" i="26"/>
  <c r="P397" i="26"/>
  <c r="N397" i="26"/>
  <c r="O397" i="26" s="1"/>
  <c r="N550" i="26"/>
  <c r="O550" i="26" s="1"/>
  <c r="P550" i="26"/>
  <c r="M550" i="26"/>
  <c r="N546" i="26"/>
  <c r="O546" i="26" s="1"/>
  <c r="P546" i="26"/>
  <c r="M546" i="26"/>
  <c r="N542" i="26"/>
  <c r="O542" i="26" s="1"/>
  <c r="M542" i="26"/>
  <c r="P542" i="26"/>
  <c r="N538" i="26"/>
  <c r="O538" i="26" s="1"/>
  <c r="P538" i="26"/>
  <c r="M538" i="26"/>
  <c r="N534" i="26"/>
  <c r="O534" i="26" s="1"/>
  <c r="P534" i="26"/>
  <c r="M534" i="26"/>
  <c r="N530" i="26"/>
  <c r="O530" i="26" s="1"/>
  <c r="M530" i="26"/>
  <c r="P530" i="26"/>
  <c r="N526" i="26"/>
  <c r="O526" i="26" s="1"/>
  <c r="M526" i="26"/>
  <c r="P526" i="26"/>
  <c r="N522" i="26"/>
  <c r="O522" i="26" s="1"/>
  <c r="P522" i="26"/>
  <c r="M522" i="26"/>
  <c r="N518" i="26"/>
  <c r="O518" i="26" s="1"/>
  <c r="M518" i="26"/>
  <c r="P518" i="26"/>
  <c r="N514" i="26"/>
  <c r="O514" i="26" s="1"/>
  <c r="P514" i="26"/>
  <c r="M514" i="26"/>
  <c r="N510" i="26"/>
  <c r="O510" i="26" s="1"/>
  <c r="M510" i="26"/>
  <c r="P510" i="26"/>
  <c r="N506" i="26"/>
  <c r="O506" i="26" s="1"/>
  <c r="P506" i="26"/>
  <c r="M506" i="26"/>
  <c r="N502" i="26"/>
  <c r="O502" i="26" s="1"/>
  <c r="M502" i="26"/>
  <c r="P502" i="26"/>
  <c r="N498" i="26"/>
  <c r="O498" i="26" s="1"/>
  <c r="P498" i="26"/>
  <c r="M498" i="26"/>
  <c r="N494" i="26"/>
  <c r="O494" i="26" s="1"/>
  <c r="M494" i="26"/>
  <c r="P494" i="26"/>
  <c r="N490" i="26"/>
  <c r="O490" i="26" s="1"/>
  <c r="P490" i="26"/>
  <c r="M490" i="26"/>
  <c r="N486" i="26"/>
  <c r="O486" i="26" s="1"/>
  <c r="M486" i="26"/>
  <c r="P486" i="26"/>
  <c r="N482" i="26"/>
  <c r="O482" i="26" s="1"/>
  <c r="P482" i="26"/>
  <c r="M482" i="26"/>
  <c r="N478" i="26"/>
  <c r="O478" i="26" s="1"/>
  <c r="M478" i="26"/>
  <c r="P478" i="26"/>
  <c r="P548" i="26"/>
  <c r="M548" i="26"/>
  <c r="N548" i="26"/>
  <c r="O548" i="26" s="1"/>
  <c r="P544" i="26"/>
  <c r="M544" i="26"/>
  <c r="N544" i="26"/>
  <c r="O544" i="26" s="1"/>
  <c r="P540" i="26"/>
  <c r="M540" i="26"/>
  <c r="N540" i="26"/>
  <c r="O540" i="26" s="1"/>
  <c r="P536" i="26"/>
  <c r="M536" i="26"/>
  <c r="N536" i="26"/>
  <c r="O536" i="26" s="1"/>
  <c r="P532" i="26"/>
  <c r="M532" i="26"/>
  <c r="N532" i="26"/>
  <c r="O532" i="26" s="1"/>
  <c r="P528" i="26"/>
  <c r="M528" i="26"/>
  <c r="N528" i="26"/>
  <c r="O528" i="26" s="1"/>
  <c r="P524" i="26"/>
  <c r="M524" i="26"/>
  <c r="N524" i="26"/>
  <c r="O524" i="26" s="1"/>
  <c r="P520" i="26"/>
  <c r="M520" i="26"/>
  <c r="N520" i="26"/>
  <c r="O520" i="26" s="1"/>
  <c r="P516" i="26"/>
  <c r="M516" i="26"/>
  <c r="N516" i="26"/>
  <c r="O516" i="26" s="1"/>
  <c r="P512" i="26"/>
  <c r="M512" i="26"/>
  <c r="N512" i="26"/>
  <c r="O512" i="26" s="1"/>
  <c r="P508" i="26"/>
  <c r="M508" i="26"/>
  <c r="N508" i="26"/>
  <c r="O508" i="26" s="1"/>
  <c r="P504" i="26"/>
  <c r="M504" i="26"/>
  <c r="N504" i="26"/>
  <c r="O504" i="26" s="1"/>
  <c r="P500" i="26"/>
  <c r="M500" i="26"/>
  <c r="N500" i="26"/>
  <c r="O500" i="26" s="1"/>
  <c r="P496" i="26"/>
  <c r="M496" i="26"/>
  <c r="N496" i="26"/>
  <c r="O496" i="26" s="1"/>
  <c r="P492" i="26"/>
  <c r="M492" i="26"/>
  <c r="N492" i="26"/>
  <c r="O492" i="26" s="1"/>
  <c r="P488" i="26"/>
  <c r="M488" i="26"/>
  <c r="N488" i="26"/>
  <c r="O488" i="26" s="1"/>
  <c r="P484" i="26"/>
  <c r="M484" i="26"/>
  <c r="N484" i="26"/>
  <c r="O484" i="26" s="1"/>
  <c r="P480" i="26"/>
  <c r="M480" i="26"/>
  <c r="N480" i="26"/>
  <c r="O480" i="26" s="1"/>
  <c r="M551" i="26"/>
  <c r="P551" i="26"/>
  <c r="N551" i="26"/>
  <c r="O551" i="26" s="1"/>
  <c r="N547" i="26"/>
  <c r="O547" i="26" s="1"/>
  <c r="M547" i="26"/>
  <c r="P547" i="26"/>
  <c r="P543" i="26"/>
  <c r="M543" i="26"/>
  <c r="N543" i="26"/>
  <c r="O543" i="26" s="1"/>
  <c r="P539" i="26"/>
  <c r="N539" i="26"/>
  <c r="O539" i="26" s="1"/>
  <c r="M539" i="26"/>
  <c r="M535" i="26"/>
  <c r="P535" i="26"/>
  <c r="N535" i="26"/>
  <c r="O535" i="26" s="1"/>
  <c r="N531" i="26"/>
  <c r="O531" i="26" s="1"/>
  <c r="M531" i="26"/>
  <c r="P531" i="26"/>
  <c r="P527" i="26"/>
  <c r="N527" i="26"/>
  <c r="O527" i="26" s="1"/>
  <c r="M527" i="26"/>
  <c r="P523" i="26"/>
  <c r="M523" i="26"/>
  <c r="N523" i="26"/>
  <c r="O523" i="26" s="1"/>
  <c r="P519" i="26"/>
  <c r="N519" i="26"/>
  <c r="O519" i="26" s="1"/>
  <c r="M519" i="26"/>
  <c r="N515" i="26"/>
  <c r="O515" i="26" s="1"/>
  <c r="M515" i="26"/>
  <c r="P515" i="26"/>
  <c r="N511" i="26"/>
  <c r="O511" i="26" s="1"/>
  <c r="P511" i="26"/>
  <c r="M511" i="26"/>
  <c r="P507" i="26"/>
  <c r="M507" i="26"/>
  <c r="N507" i="26"/>
  <c r="O507" i="26" s="1"/>
  <c r="P503" i="26"/>
  <c r="N503" i="26"/>
  <c r="O503" i="26" s="1"/>
  <c r="M503" i="26"/>
  <c r="N499" i="26"/>
  <c r="O499" i="26" s="1"/>
  <c r="M499" i="26"/>
  <c r="P499" i="26"/>
  <c r="N495" i="26"/>
  <c r="O495" i="26" s="1"/>
  <c r="M495" i="26"/>
  <c r="P495" i="26"/>
  <c r="P491" i="26"/>
  <c r="N491" i="26"/>
  <c r="O491" i="26" s="1"/>
  <c r="M491" i="26"/>
  <c r="P487" i="26"/>
  <c r="M487" i="26"/>
  <c r="N487" i="26"/>
  <c r="O487" i="26" s="1"/>
  <c r="N483" i="26"/>
  <c r="O483" i="26" s="1"/>
  <c r="M483" i="26"/>
  <c r="P483" i="26"/>
  <c r="N479" i="26"/>
  <c r="O479" i="26" s="1"/>
  <c r="M479" i="26"/>
  <c r="P479" i="26"/>
  <c r="P549" i="26"/>
  <c r="N549" i="26"/>
  <c r="O549" i="26" s="1"/>
  <c r="M549" i="26"/>
  <c r="P545" i="26"/>
  <c r="N545" i="26"/>
  <c r="O545" i="26" s="1"/>
  <c r="M545" i="26"/>
  <c r="N541" i="26"/>
  <c r="O541" i="26" s="1"/>
  <c r="P541" i="26"/>
  <c r="M541" i="26"/>
  <c r="M537" i="26"/>
  <c r="N537" i="26"/>
  <c r="O537" i="26" s="1"/>
  <c r="P537" i="26"/>
  <c r="P533" i="26"/>
  <c r="N533" i="26"/>
  <c r="O533" i="26" s="1"/>
  <c r="M533" i="26"/>
  <c r="P529" i="26"/>
  <c r="M529" i="26"/>
  <c r="N529" i="26"/>
  <c r="O529" i="26" s="1"/>
  <c r="N525" i="26"/>
  <c r="O525" i="26" s="1"/>
  <c r="P525" i="26"/>
  <c r="M525" i="26"/>
  <c r="P521" i="26"/>
  <c r="M521" i="26"/>
  <c r="N521" i="26"/>
  <c r="O521" i="26" s="1"/>
  <c r="P517" i="26"/>
  <c r="N517" i="26"/>
  <c r="O517" i="26" s="1"/>
  <c r="M517" i="26"/>
  <c r="P513" i="26"/>
  <c r="N513" i="26"/>
  <c r="O513" i="26" s="1"/>
  <c r="M513" i="26"/>
  <c r="P509" i="26"/>
  <c r="N509" i="26"/>
  <c r="O509" i="26" s="1"/>
  <c r="M509" i="26"/>
  <c r="P505" i="26"/>
  <c r="M505" i="26"/>
  <c r="N505" i="26"/>
  <c r="O505" i="26" s="1"/>
  <c r="P501" i="26"/>
  <c r="N501" i="26"/>
  <c r="O501" i="26" s="1"/>
  <c r="M501" i="26"/>
  <c r="P497" i="26"/>
  <c r="M497" i="26"/>
  <c r="N497" i="26"/>
  <c r="O497" i="26" s="1"/>
  <c r="P493" i="26"/>
  <c r="N493" i="26"/>
  <c r="O493" i="26" s="1"/>
  <c r="M493" i="26"/>
  <c r="P489" i="26"/>
  <c r="M489" i="26"/>
  <c r="N489" i="26"/>
  <c r="O489" i="26" s="1"/>
  <c r="P485" i="26"/>
  <c r="N485" i="26"/>
  <c r="O485" i="26" s="1"/>
  <c r="M485" i="26"/>
  <c r="P481" i="26"/>
  <c r="N481" i="26"/>
  <c r="O481" i="26" s="1"/>
  <c r="M481" i="26"/>
  <c r="P477" i="26"/>
  <c r="N477" i="26"/>
  <c r="O477" i="26" s="1"/>
  <c r="M477" i="26"/>
  <c r="P475" i="26"/>
  <c r="N475" i="26"/>
  <c r="O475" i="26" s="1"/>
  <c r="M475" i="26"/>
  <c r="P476" i="26"/>
  <c r="N476" i="26"/>
  <c r="O476" i="26" s="1"/>
  <c r="M476" i="26"/>
  <c r="P474" i="26"/>
  <c r="N474" i="26"/>
  <c r="O474" i="26" s="1"/>
  <c r="M474" i="26"/>
  <c r="M76" i="26"/>
  <c r="P76" i="26"/>
  <c r="N76" i="26"/>
  <c r="O76" i="26" s="1"/>
  <c r="M68" i="26"/>
  <c r="P68" i="26"/>
  <c r="N68" i="26"/>
  <c r="O68" i="26" s="1"/>
  <c r="M60" i="26"/>
  <c r="P60" i="26"/>
  <c r="N60" i="26"/>
  <c r="O60" i="26" s="1"/>
  <c r="M52" i="26"/>
  <c r="P52" i="26"/>
  <c r="N52" i="26"/>
  <c r="O52" i="26" s="1"/>
  <c r="N48" i="26"/>
  <c r="O48" i="26" s="1"/>
  <c r="P48" i="26"/>
  <c r="M48" i="26"/>
  <c r="M36" i="26"/>
  <c r="P36" i="26"/>
  <c r="N36" i="26"/>
  <c r="O36" i="26" s="1"/>
  <c r="P28" i="26"/>
  <c r="M28" i="26"/>
  <c r="N28" i="26"/>
  <c r="O28" i="26" s="1"/>
  <c r="P24" i="26"/>
  <c r="N24" i="26"/>
  <c r="O24" i="26" s="1"/>
  <c r="M24" i="26"/>
  <c r="N16" i="26"/>
  <c r="O16" i="26" s="1"/>
  <c r="P16" i="26"/>
  <c r="M16" i="26"/>
  <c r="P77" i="26"/>
  <c r="N77" i="26"/>
  <c r="O77" i="26" s="1"/>
  <c r="M77" i="26"/>
  <c r="P69" i="26"/>
  <c r="N69" i="26"/>
  <c r="O69" i="26" s="1"/>
  <c r="M69" i="26"/>
  <c r="P61" i="26"/>
  <c r="N61" i="26"/>
  <c r="O61" i="26" s="1"/>
  <c r="M61" i="26"/>
  <c r="P49" i="26"/>
  <c r="M49" i="26"/>
  <c r="N49" i="26"/>
  <c r="O49" i="26" s="1"/>
  <c r="P29" i="26"/>
  <c r="N29" i="26"/>
  <c r="O29" i="26" s="1"/>
  <c r="M29" i="26"/>
  <c r="P13" i="26"/>
  <c r="N13" i="26"/>
  <c r="O13" i="26" s="1"/>
  <c r="M13" i="26"/>
  <c r="P65" i="26"/>
  <c r="M65" i="26"/>
  <c r="N65" i="26"/>
  <c r="O65" i="26" s="1"/>
  <c r="P53" i="26"/>
  <c r="N53" i="26"/>
  <c r="O53" i="26" s="1"/>
  <c r="M53" i="26"/>
  <c r="P45" i="26"/>
  <c r="N45" i="26"/>
  <c r="O45" i="26" s="1"/>
  <c r="M45" i="26"/>
  <c r="P41" i="26"/>
  <c r="M41" i="26"/>
  <c r="N41" i="26"/>
  <c r="O41" i="26" s="1"/>
  <c r="P37" i="26"/>
  <c r="N37" i="26"/>
  <c r="O37" i="26" s="1"/>
  <c r="M37" i="26"/>
  <c r="P33" i="26"/>
  <c r="M33" i="26"/>
  <c r="N33" i="26"/>
  <c r="O33" i="26" s="1"/>
  <c r="P25" i="26"/>
  <c r="M25" i="26"/>
  <c r="N25" i="26"/>
  <c r="O25" i="26" s="1"/>
  <c r="P21" i="26"/>
  <c r="N21" i="26"/>
  <c r="O21" i="26" s="1"/>
  <c r="M21" i="26"/>
  <c r="P17" i="26"/>
  <c r="M17" i="26"/>
  <c r="N17" i="26"/>
  <c r="O17" i="26" s="1"/>
  <c r="P9" i="26"/>
  <c r="M9" i="26"/>
  <c r="N9" i="26"/>
  <c r="O9" i="26" s="1"/>
  <c r="N82" i="26"/>
  <c r="O82" i="26" s="1"/>
  <c r="M82" i="26"/>
  <c r="P82" i="26"/>
  <c r="N78" i="26"/>
  <c r="O78" i="26" s="1"/>
  <c r="M78" i="26"/>
  <c r="P78" i="26"/>
  <c r="N74" i="26"/>
  <c r="O74" i="26" s="1"/>
  <c r="M74" i="26"/>
  <c r="P74" i="26"/>
  <c r="N70" i="26"/>
  <c r="O70" i="26" s="1"/>
  <c r="M70" i="26"/>
  <c r="P70" i="26"/>
  <c r="N66" i="26"/>
  <c r="O66" i="26" s="1"/>
  <c r="M66" i="26"/>
  <c r="P66" i="26"/>
  <c r="N62" i="26"/>
  <c r="O62" i="26" s="1"/>
  <c r="M62" i="26"/>
  <c r="P62" i="26"/>
  <c r="N58" i="26"/>
  <c r="O58" i="26" s="1"/>
  <c r="M58" i="26"/>
  <c r="P58" i="26"/>
  <c r="N54" i="26"/>
  <c r="O54" i="26" s="1"/>
  <c r="M54" i="26"/>
  <c r="P54" i="26"/>
  <c r="N50" i="26"/>
  <c r="O50" i="26" s="1"/>
  <c r="M50" i="26"/>
  <c r="P50" i="26"/>
  <c r="N46" i="26"/>
  <c r="O46" i="26" s="1"/>
  <c r="M46" i="26"/>
  <c r="P46" i="26"/>
  <c r="N42" i="26"/>
  <c r="O42" i="26" s="1"/>
  <c r="M42" i="26"/>
  <c r="P42" i="26"/>
  <c r="N38" i="26"/>
  <c r="O38" i="26" s="1"/>
  <c r="M38" i="26"/>
  <c r="P38" i="26"/>
  <c r="N34" i="26"/>
  <c r="O34" i="26" s="1"/>
  <c r="M34" i="26"/>
  <c r="P34" i="26"/>
  <c r="N30" i="26"/>
  <c r="O30" i="26" s="1"/>
  <c r="M30" i="26"/>
  <c r="P30" i="26"/>
  <c r="N26" i="26"/>
  <c r="O26" i="26" s="1"/>
  <c r="M26" i="26"/>
  <c r="P26" i="26"/>
  <c r="N22" i="26"/>
  <c r="O22" i="26" s="1"/>
  <c r="M22" i="26"/>
  <c r="P22" i="26"/>
  <c r="N18" i="26"/>
  <c r="O18" i="26" s="1"/>
  <c r="M18" i="26"/>
  <c r="P18" i="26"/>
  <c r="N14" i="26"/>
  <c r="O14" i="26" s="1"/>
  <c r="M14" i="26"/>
  <c r="P14" i="26"/>
  <c r="N10" i="26"/>
  <c r="O10" i="26" s="1"/>
  <c r="M10" i="26"/>
  <c r="P10" i="26"/>
  <c r="P80" i="26"/>
  <c r="N80" i="26"/>
  <c r="O80" i="26" s="1"/>
  <c r="M80" i="26"/>
  <c r="P72" i="26"/>
  <c r="N72" i="26"/>
  <c r="O72" i="26" s="1"/>
  <c r="M72" i="26"/>
  <c r="P64" i="26"/>
  <c r="N64" i="26"/>
  <c r="O64" i="26" s="1"/>
  <c r="M64" i="26"/>
  <c r="P56" i="26"/>
  <c r="N56" i="26"/>
  <c r="O56" i="26" s="1"/>
  <c r="M56" i="26"/>
  <c r="P44" i="26"/>
  <c r="M44" i="26"/>
  <c r="N44" i="26"/>
  <c r="O44" i="26" s="1"/>
  <c r="P40" i="26"/>
  <c r="N40" i="26"/>
  <c r="O40" i="26" s="1"/>
  <c r="M40" i="26"/>
  <c r="N32" i="26"/>
  <c r="O32" i="26" s="1"/>
  <c r="P32" i="26"/>
  <c r="M32" i="26"/>
  <c r="M20" i="26"/>
  <c r="P20" i="26"/>
  <c r="N20" i="26"/>
  <c r="O20" i="26" s="1"/>
  <c r="P12" i="26"/>
  <c r="M12" i="26"/>
  <c r="N12" i="26"/>
  <c r="O12" i="26" s="1"/>
  <c r="P81" i="26"/>
  <c r="M81" i="26"/>
  <c r="N81" i="26"/>
  <c r="O81" i="26" s="1"/>
  <c r="P73" i="26"/>
  <c r="M73" i="26"/>
  <c r="N73" i="26"/>
  <c r="O73" i="26" s="1"/>
  <c r="P57" i="26"/>
  <c r="M57" i="26"/>
  <c r="N57" i="26"/>
  <c r="O57" i="26" s="1"/>
  <c r="N83" i="26"/>
  <c r="O83" i="26" s="1"/>
  <c r="M83" i="26"/>
  <c r="P83" i="26"/>
  <c r="N79" i="26"/>
  <c r="O79" i="26" s="1"/>
  <c r="M79" i="26"/>
  <c r="P79" i="26"/>
  <c r="N75" i="26"/>
  <c r="O75" i="26" s="1"/>
  <c r="M75" i="26"/>
  <c r="P75" i="26"/>
  <c r="N71" i="26"/>
  <c r="O71" i="26" s="1"/>
  <c r="M71" i="26"/>
  <c r="P71" i="26"/>
  <c r="N67" i="26"/>
  <c r="O67" i="26" s="1"/>
  <c r="M67" i="26"/>
  <c r="P67" i="26"/>
  <c r="N63" i="26"/>
  <c r="O63" i="26" s="1"/>
  <c r="M63" i="26"/>
  <c r="P63" i="26"/>
  <c r="N59" i="26"/>
  <c r="O59" i="26" s="1"/>
  <c r="M59" i="26"/>
  <c r="P59" i="26"/>
  <c r="N55" i="26"/>
  <c r="O55" i="26" s="1"/>
  <c r="M55" i="26"/>
  <c r="P55" i="26"/>
  <c r="N51" i="26"/>
  <c r="O51" i="26" s="1"/>
  <c r="M51" i="26"/>
  <c r="P51" i="26"/>
  <c r="N47" i="26"/>
  <c r="O47" i="26" s="1"/>
  <c r="M47" i="26"/>
  <c r="P47" i="26"/>
  <c r="N43" i="26"/>
  <c r="O43" i="26" s="1"/>
  <c r="M43" i="26"/>
  <c r="P43" i="26"/>
  <c r="N39" i="26"/>
  <c r="O39" i="26" s="1"/>
  <c r="M39" i="26"/>
  <c r="P39" i="26"/>
  <c r="N35" i="26"/>
  <c r="O35" i="26" s="1"/>
  <c r="M35" i="26"/>
  <c r="P35" i="26"/>
  <c r="N31" i="26"/>
  <c r="O31" i="26" s="1"/>
  <c r="M31" i="26"/>
  <c r="P31" i="26"/>
  <c r="N27" i="26"/>
  <c r="O27" i="26" s="1"/>
  <c r="M27" i="26"/>
  <c r="P27" i="26"/>
  <c r="N23" i="26"/>
  <c r="O23" i="26" s="1"/>
  <c r="M23" i="26"/>
  <c r="P23" i="26"/>
  <c r="N19" i="26"/>
  <c r="O19" i="26" s="1"/>
  <c r="M19" i="26"/>
  <c r="P19" i="26"/>
  <c r="N15" i="26"/>
  <c r="O15" i="26" s="1"/>
  <c r="M15" i="26"/>
  <c r="P15" i="26"/>
  <c r="N11" i="26"/>
  <c r="O11" i="26" s="1"/>
  <c r="M11" i="26"/>
  <c r="P11" i="26"/>
  <c r="M7" i="26"/>
  <c r="P7" i="26"/>
  <c r="N7" i="26"/>
  <c r="O7" i="26" s="1"/>
  <c r="N6" i="26"/>
  <c r="O6" i="26" s="1"/>
  <c r="M6" i="26"/>
  <c r="P6" i="26"/>
  <c r="M929" i="26"/>
  <c r="P929" i="26"/>
  <c r="N929" i="26"/>
  <c r="O929" i="26" s="1"/>
  <c r="N932" i="26"/>
  <c r="O932" i="26" s="1"/>
  <c r="P932" i="26"/>
  <c r="M932" i="26"/>
  <c r="N928" i="26"/>
  <c r="O928" i="26" s="1"/>
  <c r="P928" i="26"/>
  <c r="M928" i="26"/>
  <c r="N924" i="26"/>
  <c r="O924" i="26" s="1"/>
  <c r="M924" i="26"/>
  <c r="P924" i="26"/>
  <c r="N920" i="26"/>
  <c r="O920" i="26" s="1"/>
  <c r="M920" i="26"/>
  <c r="P920" i="26"/>
  <c r="N916" i="26"/>
  <c r="O916" i="26" s="1"/>
  <c r="M916" i="26"/>
  <c r="P916" i="26"/>
  <c r="N912" i="26"/>
  <c r="O912" i="26" s="1"/>
  <c r="P912" i="26"/>
  <c r="M912" i="26"/>
  <c r="N908" i="26"/>
  <c r="O908" i="26" s="1"/>
  <c r="M908" i="26"/>
  <c r="P908" i="26"/>
  <c r="N904" i="26"/>
  <c r="O904" i="26" s="1"/>
  <c r="P904" i="26"/>
  <c r="M904" i="26"/>
  <c r="N900" i="26"/>
  <c r="O900" i="26" s="1"/>
  <c r="M900" i="26"/>
  <c r="P900" i="26"/>
  <c r="N896" i="26"/>
  <c r="O896" i="26" s="1"/>
  <c r="P896" i="26"/>
  <c r="M896" i="26"/>
  <c r="N892" i="26"/>
  <c r="O892" i="26" s="1"/>
  <c r="M892" i="26"/>
  <c r="P892" i="26"/>
  <c r="N888" i="26"/>
  <c r="O888" i="26" s="1"/>
  <c r="P888" i="26"/>
  <c r="M888" i="26"/>
  <c r="N884" i="26"/>
  <c r="O884" i="26" s="1"/>
  <c r="M884" i="26"/>
  <c r="P884" i="26"/>
  <c r="N880" i="26"/>
  <c r="O880" i="26" s="1"/>
  <c r="P880" i="26"/>
  <c r="M880" i="26"/>
  <c r="N876" i="26"/>
  <c r="O876" i="26" s="1"/>
  <c r="M876" i="26"/>
  <c r="P876" i="26"/>
  <c r="N872" i="26"/>
  <c r="O872" i="26" s="1"/>
  <c r="P872" i="26"/>
  <c r="M872" i="26"/>
  <c r="N868" i="26"/>
  <c r="O868" i="26" s="1"/>
  <c r="M868" i="26"/>
  <c r="P868" i="26"/>
  <c r="M941" i="26"/>
  <c r="N941" i="26"/>
  <c r="O941" i="26" s="1"/>
  <c r="P941" i="26"/>
  <c r="M937" i="26"/>
  <c r="N937" i="26"/>
  <c r="O937" i="26" s="1"/>
  <c r="P937" i="26"/>
  <c r="M921" i="26"/>
  <c r="N921" i="26"/>
  <c r="O921" i="26" s="1"/>
  <c r="P921" i="26"/>
  <c r="M913" i="26"/>
  <c r="P913" i="26"/>
  <c r="N913" i="26"/>
  <c r="O913" i="26" s="1"/>
  <c r="M905" i="26"/>
  <c r="N905" i="26"/>
  <c r="O905" i="26" s="1"/>
  <c r="P905" i="26"/>
  <c r="M897" i="26"/>
  <c r="P897" i="26"/>
  <c r="N897" i="26"/>
  <c r="O897" i="26" s="1"/>
  <c r="M889" i="26"/>
  <c r="N889" i="26"/>
  <c r="O889" i="26" s="1"/>
  <c r="P889" i="26"/>
  <c r="M881" i="26"/>
  <c r="P881" i="26"/>
  <c r="N881" i="26"/>
  <c r="O881" i="26" s="1"/>
  <c r="M873" i="26"/>
  <c r="N873" i="26"/>
  <c r="O873" i="26" s="1"/>
  <c r="P873" i="26"/>
  <c r="P938" i="26"/>
  <c r="N938" i="26"/>
  <c r="O938" i="26" s="1"/>
  <c r="M938" i="26"/>
  <c r="N931" i="26"/>
  <c r="O931" i="26" s="1"/>
  <c r="M931" i="26"/>
  <c r="P931" i="26"/>
  <c r="N927" i="26"/>
  <c r="O927" i="26" s="1"/>
  <c r="M927" i="26"/>
  <c r="P927" i="26"/>
  <c r="P923" i="26"/>
  <c r="M923" i="26"/>
  <c r="N923" i="26"/>
  <c r="O923" i="26" s="1"/>
  <c r="N919" i="26"/>
  <c r="O919" i="26" s="1"/>
  <c r="M919" i="26"/>
  <c r="P919" i="26"/>
  <c r="N915" i="26"/>
  <c r="O915" i="26" s="1"/>
  <c r="M915" i="26"/>
  <c r="P915" i="26"/>
  <c r="P911" i="26"/>
  <c r="N911" i="26"/>
  <c r="O911" i="26" s="1"/>
  <c r="M911" i="26"/>
  <c r="P907" i="26"/>
  <c r="N907" i="26"/>
  <c r="O907" i="26" s="1"/>
  <c r="M907" i="26"/>
  <c r="P903" i="26"/>
  <c r="N903" i="26"/>
  <c r="O903" i="26" s="1"/>
  <c r="M903" i="26"/>
  <c r="P899" i="26"/>
  <c r="N899" i="26"/>
  <c r="O899" i="26" s="1"/>
  <c r="M899" i="26"/>
  <c r="P895" i="26"/>
  <c r="N895" i="26"/>
  <c r="O895" i="26" s="1"/>
  <c r="M895" i="26"/>
  <c r="P891" i="26"/>
  <c r="M891" i="26"/>
  <c r="N891" i="26"/>
  <c r="O891" i="26" s="1"/>
  <c r="P887" i="26"/>
  <c r="N887" i="26"/>
  <c r="O887" i="26" s="1"/>
  <c r="M887" i="26"/>
  <c r="P883" i="26"/>
  <c r="N883" i="26"/>
  <c r="O883" i="26" s="1"/>
  <c r="M883" i="26"/>
  <c r="P879" i="26"/>
  <c r="N879" i="26"/>
  <c r="O879" i="26" s="1"/>
  <c r="M879" i="26"/>
  <c r="P875" i="26"/>
  <c r="M875" i="26"/>
  <c r="N875" i="26"/>
  <c r="O875" i="26" s="1"/>
  <c r="P871" i="26"/>
  <c r="N871" i="26"/>
  <c r="O871" i="26" s="1"/>
  <c r="M871" i="26"/>
  <c r="N940" i="26"/>
  <c r="O940" i="26" s="1"/>
  <c r="P940" i="26"/>
  <c r="M940" i="26"/>
  <c r="N936" i="26"/>
  <c r="O936" i="26" s="1"/>
  <c r="M936" i="26"/>
  <c r="P936" i="26"/>
  <c r="M933" i="26"/>
  <c r="P933" i="26"/>
  <c r="N933" i="26"/>
  <c r="O933" i="26" s="1"/>
  <c r="M925" i="26"/>
  <c r="N925" i="26"/>
  <c r="O925" i="26" s="1"/>
  <c r="P925" i="26"/>
  <c r="M917" i="26"/>
  <c r="P917" i="26"/>
  <c r="N917" i="26"/>
  <c r="O917" i="26" s="1"/>
  <c r="M909" i="26"/>
  <c r="P909" i="26"/>
  <c r="N909" i="26"/>
  <c r="O909" i="26" s="1"/>
  <c r="M901" i="26"/>
  <c r="P901" i="26"/>
  <c r="N901" i="26"/>
  <c r="O901" i="26" s="1"/>
  <c r="M893" i="26"/>
  <c r="P893" i="26"/>
  <c r="N893" i="26"/>
  <c r="O893" i="26" s="1"/>
  <c r="M885" i="26"/>
  <c r="N885" i="26"/>
  <c r="O885" i="26" s="1"/>
  <c r="P885" i="26"/>
  <c r="M877" i="26"/>
  <c r="P877" i="26"/>
  <c r="N877" i="26"/>
  <c r="O877" i="26" s="1"/>
  <c r="M869" i="26"/>
  <c r="N869" i="26"/>
  <c r="O869" i="26" s="1"/>
  <c r="P869" i="26"/>
  <c r="P934" i="26"/>
  <c r="M934" i="26"/>
  <c r="N934" i="26"/>
  <c r="O934" i="26" s="1"/>
  <c r="P930" i="26"/>
  <c r="N930" i="26"/>
  <c r="O930" i="26" s="1"/>
  <c r="M930" i="26"/>
  <c r="P926" i="26"/>
  <c r="N926" i="26"/>
  <c r="O926" i="26" s="1"/>
  <c r="M926" i="26"/>
  <c r="P922" i="26"/>
  <c r="N922" i="26"/>
  <c r="O922" i="26" s="1"/>
  <c r="M922" i="26"/>
  <c r="P918" i="26"/>
  <c r="M918" i="26"/>
  <c r="N918" i="26"/>
  <c r="O918" i="26" s="1"/>
  <c r="P914" i="26"/>
  <c r="N914" i="26"/>
  <c r="O914" i="26" s="1"/>
  <c r="M914" i="26"/>
  <c r="P910" i="26"/>
  <c r="N910" i="26"/>
  <c r="O910" i="26" s="1"/>
  <c r="M910" i="26"/>
  <c r="P906" i="26"/>
  <c r="N906" i="26"/>
  <c r="O906" i="26" s="1"/>
  <c r="M906" i="26"/>
  <c r="P902" i="26"/>
  <c r="M902" i="26"/>
  <c r="N902" i="26"/>
  <c r="O902" i="26" s="1"/>
  <c r="P898" i="26"/>
  <c r="N898" i="26"/>
  <c r="O898" i="26" s="1"/>
  <c r="M898" i="26"/>
  <c r="P894" i="26"/>
  <c r="N894" i="26"/>
  <c r="O894" i="26" s="1"/>
  <c r="M894" i="26"/>
  <c r="P890" i="26"/>
  <c r="N890" i="26"/>
  <c r="O890" i="26" s="1"/>
  <c r="M890" i="26"/>
  <c r="P886" i="26"/>
  <c r="N886" i="26"/>
  <c r="O886" i="26" s="1"/>
  <c r="M886" i="26"/>
  <c r="P882" i="26"/>
  <c r="N882" i="26"/>
  <c r="O882" i="26" s="1"/>
  <c r="M882" i="26"/>
  <c r="P878" i="26"/>
  <c r="N878" i="26"/>
  <c r="O878" i="26" s="1"/>
  <c r="M878" i="26"/>
  <c r="P874" i="26"/>
  <c r="M874" i="26"/>
  <c r="N874" i="26"/>
  <c r="O874" i="26" s="1"/>
  <c r="P870" i="26"/>
  <c r="M870" i="26"/>
  <c r="N870" i="26"/>
  <c r="O870" i="26" s="1"/>
  <c r="P939" i="26"/>
  <c r="N939" i="26"/>
  <c r="O939" i="26" s="1"/>
  <c r="M939" i="26"/>
  <c r="N935" i="26"/>
  <c r="O935" i="26" s="1"/>
  <c r="M935" i="26"/>
  <c r="P935" i="26"/>
  <c r="P865" i="26"/>
  <c r="N865" i="26"/>
  <c r="O865" i="26" s="1"/>
  <c r="M865" i="26"/>
  <c r="N864" i="26"/>
  <c r="O864" i="26" s="1"/>
  <c r="M864" i="26"/>
  <c r="P864" i="26"/>
  <c r="M784" i="26"/>
  <c r="P784" i="26"/>
  <c r="N784" i="26"/>
  <c r="O784" i="26" s="1"/>
  <c r="P780" i="26"/>
  <c r="M780" i="26"/>
  <c r="N780" i="26"/>
  <c r="O780" i="26" s="1"/>
  <c r="P772" i="26"/>
  <c r="N772" i="26"/>
  <c r="O772" i="26" s="1"/>
  <c r="M772" i="26"/>
  <c r="P764" i="26"/>
  <c r="N764" i="26"/>
  <c r="O764" i="26" s="1"/>
  <c r="M764" i="26"/>
  <c r="P752" i="26"/>
  <c r="N752" i="26"/>
  <c r="O752" i="26" s="1"/>
  <c r="M752" i="26"/>
  <c r="P744" i="26"/>
  <c r="N744" i="26"/>
  <c r="O744" i="26" s="1"/>
  <c r="M744" i="26"/>
  <c r="P740" i="26"/>
  <c r="N740" i="26"/>
  <c r="O740" i="26" s="1"/>
  <c r="M740" i="26"/>
  <c r="P732" i="26"/>
  <c r="N732" i="26"/>
  <c r="O732" i="26" s="1"/>
  <c r="M732" i="26"/>
  <c r="P724" i="26"/>
  <c r="N724" i="26"/>
  <c r="O724" i="26" s="1"/>
  <c r="M724" i="26"/>
  <c r="P712" i="26"/>
  <c r="N712" i="26"/>
  <c r="O712" i="26" s="1"/>
  <c r="M712" i="26"/>
  <c r="P783" i="26"/>
  <c r="N783" i="26"/>
  <c r="O783" i="26" s="1"/>
  <c r="M783" i="26"/>
  <c r="P779" i="26"/>
  <c r="N779" i="26"/>
  <c r="O779" i="26" s="1"/>
  <c r="M779" i="26"/>
  <c r="P775" i="26"/>
  <c r="N775" i="26"/>
  <c r="O775" i="26" s="1"/>
  <c r="M775" i="26"/>
  <c r="P771" i="26"/>
  <c r="N771" i="26"/>
  <c r="O771" i="26" s="1"/>
  <c r="M771" i="26"/>
  <c r="P767" i="26"/>
  <c r="N767" i="26"/>
  <c r="O767" i="26" s="1"/>
  <c r="M767" i="26"/>
  <c r="P763" i="26"/>
  <c r="M763" i="26"/>
  <c r="N763" i="26"/>
  <c r="O763" i="26" s="1"/>
  <c r="P759" i="26"/>
  <c r="N759" i="26"/>
  <c r="O759" i="26" s="1"/>
  <c r="M759" i="26"/>
  <c r="P755" i="26"/>
  <c r="N755" i="26"/>
  <c r="O755" i="26" s="1"/>
  <c r="M755" i="26"/>
  <c r="P751" i="26"/>
  <c r="N751" i="26"/>
  <c r="O751" i="26" s="1"/>
  <c r="M751" i="26"/>
  <c r="P747" i="26"/>
  <c r="N747" i="26"/>
  <c r="O747" i="26" s="1"/>
  <c r="M747" i="26"/>
  <c r="P743" i="26"/>
  <c r="N743" i="26"/>
  <c r="O743" i="26" s="1"/>
  <c r="M743" i="26"/>
  <c r="P739" i="26"/>
  <c r="N739" i="26"/>
  <c r="O739" i="26" s="1"/>
  <c r="M739" i="26"/>
  <c r="P735" i="26"/>
  <c r="N735" i="26"/>
  <c r="O735" i="26" s="1"/>
  <c r="M735" i="26"/>
  <c r="P731" i="26"/>
  <c r="N731" i="26"/>
  <c r="O731" i="26" s="1"/>
  <c r="M731" i="26"/>
  <c r="P727" i="26"/>
  <c r="N727" i="26"/>
  <c r="O727" i="26" s="1"/>
  <c r="M727" i="26"/>
  <c r="P723" i="26"/>
  <c r="N723" i="26"/>
  <c r="O723" i="26" s="1"/>
  <c r="M723" i="26"/>
  <c r="P719" i="26"/>
  <c r="N719" i="26"/>
  <c r="O719" i="26" s="1"/>
  <c r="M719" i="26"/>
  <c r="P715" i="26"/>
  <c r="N715" i="26"/>
  <c r="O715" i="26" s="1"/>
  <c r="M715" i="26"/>
  <c r="N776" i="26"/>
  <c r="O776" i="26" s="1"/>
  <c r="M776" i="26"/>
  <c r="P776" i="26"/>
  <c r="N768" i="26"/>
  <c r="O768" i="26" s="1"/>
  <c r="M768" i="26"/>
  <c r="P768" i="26"/>
  <c r="P756" i="26"/>
  <c r="N756" i="26"/>
  <c r="O756" i="26" s="1"/>
  <c r="M756" i="26"/>
  <c r="P748" i="26"/>
  <c r="N748" i="26"/>
  <c r="O748" i="26" s="1"/>
  <c r="M748" i="26"/>
  <c r="P736" i="26"/>
  <c r="N736" i="26"/>
  <c r="O736" i="26" s="1"/>
  <c r="M736" i="26"/>
  <c r="P728" i="26"/>
  <c r="N728" i="26"/>
  <c r="O728" i="26" s="1"/>
  <c r="M728" i="26"/>
  <c r="P720" i="26"/>
  <c r="M720" i="26"/>
  <c r="N720" i="26"/>
  <c r="O720" i="26" s="1"/>
  <c r="P716" i="26"/>
  <c r="N716" i="26"/>
  <c r="O716" i="26" s="1"/>
  <c r="M716" i="26"/>
  <c r="P782" i="26"/>
  <c r="M782" i="26"/>
  <c r="N782" i="26"/>
  <c r="O782" i="26" s="1"/>
  <c r="P778" i="26"/>
  <c r="M778" i="26"/>
  <c r="N778" i="26"/>
  <c r="O778" i="26" s="1"/>
  <c r="P774" i="26"/>
  <c r="M774" i="26"/>
  <c r="N774" i="26"/>
  <c r="O774" i="26" s="1"/>
  <c r="P770" i="26"/>
  <c r="M770" i="26"/>
  <c r="N770" i="26"/>
  <c r="O770" i="26" s="1"/>
  <c r="P766" i="26"/>
  <c r="M766" i="26"/>
  <c r="N766" i="26"/>
  <c r="O766" i="26" s="1"/>
  <c r="P762" i="26"/>
  <c r="M762" i="26"/>
  <c r="N762" i="26"/>
  <c r="O762" i="26" s="1"/>
  <c r="P758" i="26"/>
  <c r="M758" i="26"/>
  <c r="N758" i="26"/>
  <c r="O758" i="26" s="1"/>
  <c r="P754" i="26"/>
  <c r="M754" i="26"/>
  <c r="N754" i="26"/>
  <c r="O754" i="26" s="1"/>
  <c r="P750" i="26"/>
  <c r="M750" i="26"/>
  <c r="N750" i="26"/>
  <c r="O750" i="26" s="1"/>
  <c r="P746" i="26"/>
  <c r="M746" i="26"/>
  <c r="N746" i="26"/>
  <c r="O746" i="26" s="1"/>
  <c r="P742" i="26"/>
  <c r="M742" i="26"/>
  <c r="N742" i="26"/>
  <c r="O742" i="26" s="1"/>
  <c r="P738" i="26"/>
  <c r="M738" i="26"/>
  <c r="N738" i="26"/>
  <c r="O738" i="26" s="1"/>
  <c r="P734" i="26"/>
  <c r="M734" i="26"/>
  <c r="N734" i="26"/>
  <c r="O734" i="26" s="1"/>
  <c r="P730" i="26"/>
  <c r="M730" i="26"/>
  <c r="N730" i="26"/>
  <c r="O730" i="26" s="1"/>
  <c r="P726" i="26"/>
  <c r="M726" i="26"/>
  <c r="N726" i="26"/>
  <c r="O726" i="26" s="1"/>
  <c r="P722" i="26"/>
  <c r="M722" i="26"/>
  <c r="N722" i="26"/>
  <c r="O722" i="26" s="1"/>
  <c r="P718" i="26"/>
  <c r="M718" i="26"/>
  <c r="N718" i="26"/>
  <c r="O718" i="26" s="1"/>
  <c r="P714" i="26"/>
  <c r="M714" i="26"/>
  <c r="N714" i="26"/>
  <c r="O714" i="26" s="1"/>
  <c r="N760" i="26"/>
  <c r="O760" i="26" s="1"/>
  <c r="M760" i="26"/>
  <c r="P760" i="26"/>
  <c r="N785" i="26"/>
  <c r="O785" i="26" s="1"/>
  <c r="P785" i="26"/>
  <c r="M785" i="26"/>
  <c r="N781" i="26"/>
  <c r="O781" i="26" s="1"/>
  <c r="M781" i="26"/>
  <c r="P781" i="26"/>
  <c r="N777" i="26"/>
  <c r="O777" i="26" s="1"/>
  <c r="P777" i="26"/>
  <c r="M777" i="26"/>
  <c r="N773" i="26"/>
  <c r="O773" i="26" s="1"/>
  <c r="P773" i="26"/>
  <c r="M773" i="26"/>
  <c r="N769" i="26"/>
  <c r="O769" i="26" s="1"/>
  <c r="P769" i="26"/>
  <c r="M769" i="26"/>
  <c r="N765" i="26"/>
  <c r="O765" i="26" s="1"/>
  <c r="M765" i="26"/>
  <c r="P765" i="26"/>
  <c r="N761" i="26"/>
  <c r="O761" i="26" s="1"/>
  <c r="P761" i="26"/>
  <c r="M761" i="26"/>
  <c r="N757" i="26"/>
  <c r="O757" i="26" s="1"/>
  <c r="P757" i="26"/>
  <c r="M757" i="26"/>
  <c r="N753" i="26"/>
  <c r="O753" i="26" s="1"/>
  <c r="P753" i="26"/>
  <c r="M753" i="26"/>
  <c r="N749" i="26"/>
  <c r="O749" i="26" s="1"/>
  <c r="M749" i="26"/>
  <c r="P749" i="26"/>
  <c r="N745" i="26"/>
  <c r="O745" i="26" s="1"/>
  <c r="M745" i="26"/>
  <c r="P745" i="26"/>
  <c r="N741" i="26"/>
  <c r="O741" i="26" s="1"/>
  <c r="P741" i="26"/>
  <c r="M741" i="26"/>
  <c r="N737" i="26"/>
  <c r="O737" i="26" s="1"/>
  <c r="P737" i="26"/>
  <c r="M737" i="26"/>
  <c r="N733" i="26"/>
  <c r="O733" i="26" s="1"/>
  <c r="M733" i="26"/>
  <c r="P733" i="26"/>
  <c r="N729" i="26"/>
  <c r="O729" i="26" s="1"/>
  <c r="M729" i="26"/>
  <c r="P729" i="26"/>
  <c r="N725" i="26"/>
  <c r="O725" i="26" s="1"/>
  <c r="P725" i="26"/>
  <c r="M725" i="26"/>
  <c r="N721" i="26"/>
  <c r="O721" i="26" s="1"/>
  <c r="P721" i="26"/>
  <c r="M721" i="26"/>
  <c r="N717" i="26"/>
  <c r="O717" i="26" s="1"/>
  <c r="M717" i="26"/>
  <c r="P717" i="26"/>
  <c r="N713" i="26"/>
  <c r="O713" i="26" s="1"/>
  <c r="M713" i="26"/>
  <c r="P713" i="26"/>
  <c r="M710" i="26"/>
  <c r="P710" i="26"/>
  <c r="N710" i="26"/>
  <c r="O710" i="26" s="1"/>
  <c r="N709" i="26"/>
  <c r="O709" i="26" s="1"/>
  <c r="M709" i="26"/>
  <c r="P709" i="26"/>
  <c r="M708" i="26"/>
  <c r="P708" i="26"/>
  <c r="N708" i="26"/>
  <c r="O708" i="26" s="1"/>
  <c r="P838" i="26"/>
  <c r="M838" i="26"/>
  <c r="N838" i="26"/>
  <c r="O838" i="26" s="1"/>
  <c r="P834" i="26"/>
  <c r="M834" i="26"/>
  <c r="N834" i="26"/>
  <c r="O834" i="26" s="1"/>
  <c r="P830" i="26"/>
  <c r="N830" i="26"/>
  <c r="O830" i="26" s="1"/>
  <c r="M830" i="26"/>
  <c r="P826" i="26"/>
  <c r="M826" i="26"/>
  <c r="N826" i="26"/>
  <c r="O826" i="26" s="1"/>
  <c r="P822" i="26"/>
  <c r="M822" i="26"/>
  <c r="N822" i="26"/>
  <c r="O822" i="26" s="1"/>
  <c r="P818" i="26"/>
  <c r="M818" i="26"/>
  <c r="N818" i="26"/>
  <c r="O818" i="26" s="1"/>
  <c r="P814" i="26"/>
  <c r="N814" i="26"/>
  <c r="O814" i="26" s="1"/>
  <c r="M814" i="26"/>
  <c r="P810" i="26"/>
  <c r="M810" i="26"/>
  <c r="N810" i="26"/>
  <c r="O810" i="26" s="1"/>
  <c r="P806" i="26"/>
  <c r="M806" i="26"/>
  <c r="N806" i="26"/>
  <c r="O806" i="26" s="1"/>
  <c r="P802" i="26"/>
  <c r="M802" i="26"/>
  <c r="N802" i="26"/>
  <c r="O802" i="26" s="1"/>
  <c r="P798" i="26"/>
  <c r="N798" i="26"/>
  <c r="O798" i="26" s="1"/>
  <c r="M798" i="26"/>
  <c r="P794" i="26"/>
  <c r="M794" i="26"/>
  <c r="N794" i="26"/>
  <c r="O794" i="26" s="1"/>
  <c r="P790" i="26"/>
  <c r="M790" i="26"/>
  <c r="N790" i="26"/>
  <c r="O790" i="26" s="1"/>
  <c r="M849" i="26"/>
  <c r="P849" i="26"/>
  <c r="N849" i="26"/>
  <c r="O849" i="26" s="1"/>
  <c r="M845" i="26"/>
  <c r="P845" i="26"/>
  <c r="N845" i="26"/>
  <c r="O845" i="26" s="1"/>
  <c r="P841" i="26"/>
  <c r="N841" i="26"/>
  <c r="O841" i="26" s="1"/>
  <c r="M841" i="26"/>
  <c r="M861" i="26"/>
  <c r="P861" i="26"/>
  <c r="N861" i="26"/>
  <c r="O861" i="26" s="1"/>
  <c r="P857" i="26"/>
  <c r="N857" i="26"/>
  <c r="O857" i="26" s="1"/>
  <c r="M857" i="26"/>
  <c r="M853" i="26"/>
  <c r="P853" i="26"/>
  <c r="N853" i="26"/>
  <c r="O853" i="26" s="1"/>
  <c r="M863" i="26"/>
  <c r="P863" i="26"/>
  <c r="N863" i="26"/>
  <c r="O863" i="26" s="1"/>
  <c r="M837" i="26"/>
  <c r="P837" i="26"/>
  <c r="N837" i="26"/>
  <c r="O837" i="26" s="1"/>
  <c r="M833" i="26"/>
  <c r="P833" i="26"/>
  <c r="N833" i="26"/>
  <c r="O833" i="26" s="1"/>
  <c r="M829" i="26"/>
  <c r="P829" i="26"/>
  <c r="N829" i="26"/>
  <c r="O829" i="26" s="1"/>
  <c r="N825" i="26"/>
  <c r="O825" i="26" s="1"/>
  <c r="P825" i="26"/>
  <c r="M825" i="26"/>
  <c r="M821" i="26"/>
  <c r="N821" i="26"/>
  <c r="O821" i="26" s="1"/>
  <c r="P821" i="26"/>
  <c r="P817" i="26"/>
  <c r="M817" i="26"/>
  <c r="N817" i="26"/>
  <c r="O817" i="26" s="1"/>
  <c r="M813" i="26"/>
  <c r="P813" i="26"/>
  <c r="N813" i="26"/>
  <c r="O813" i="26" s="1"/>
  <c r="N809" i="26"/>
  <c r="O809" i="26" s="1"/>
  <c r="P809" i="26"/>
  <c r="M809" i="26"/>
  <c r="M805" i="26"/>
  <c r="N805" i="26"/>
  <c r="O805" i="26" s="1"/>
  <c r="P805" i="26"/>
  <c r="P801" i="26"/>
  <c r="M801" i="26"/>
  <c r="N801" i="26"/>
  <c r="O801" i="26" s="1"/>
  <c r="M797" i="26"/>
  <c r="P797" i="26"/>
  <c r="N797" i="26"/>
  <c r="O797" i="26" s="1"/>
  <c r="N793" i="26"/>
  <c r="O793" i="26" s="1"/>
  <c r="P793" i="26"/>
  <c r="M793" i="26"/>
  <c r="M789" i="26"/>
  <c r="N789" i="26"/>
  <c r="O789" i="26" s="1"/>
  <c r="P789" i="26"/>
  <c r="N848" i="26"/>
  <c r="O848" i="26" s="1"/>
  <c r="M848" i="26"/>
  <c r="P848" i="26"/>
  <c r="N844" i="26"/>
  <c r="O844" i="26" s="1"/>
  <c r="M844" i="26"/>
  <c r="P844" i="26"/>
  <c r="N840" i="26"/>
  <c r="O840" i="26" s="1"/>
  <c r="M840" i="26"/>
  <c r="P840" i="26"/>
  <c r="N860" i="26"/>
  <c r="O860" i="26" s="1"/>
  <c r="M860" i="26"/>
  <c r="P860" i="26"/>
  <c r="N856" i="26"/>
  <c r="O856" i="26" s="1"/>
  <c r="M856" i="26"/>
  <c r="P856" i="26"/>
  <c r="N852" i="26"/>
  <c r="O852" i="26" s="1"/>
  <c r="P852" i="26"/>
  <c r="M852" i="26"/>
  <c r="M835" i="26"/>
  <c r="N835" i="26"/>
  <c r="O835" i="26" s="1"/>
  <c r="P835" i="26"/>
  <c r="M831" i="26"/>
  <c r="P831" i="26"/>
  <c r="N831" i="26"/>
  <c r="O831" i="26" s="1"/>
  <c r="M827" i="26"/>
  <c r="P827" i="26"/>
  <c r="N827" i="26"/>
  <c r="O827" i="26" s="1"/>
  <c r="M823" i="26"/>
  <c r="P823" i="26"/>
  <c r="N823" i="26"/>
  <c r="O823" i="26" s="1"/>
  <c r="M819" i="26"/>
  <c r="P819" i="26"/>
  <c r="N819" i="26"/>
  <c r="O819" i="26" s="1"/>
  <c r="M815" i="26"/>
  <c r="P815" i="26"/>
  <c r="N815" i="26"/>
  <c r="O815" i="26" s="1"/>
  <c r="M811" i="26"/>
  <c r="P811" i="26"/>
  <c r="N811" i="26"/>
  <c r="O811" i="26" s="1"/>
  <c r="M807" i="26"/>
  <c r="P807" i="26"/>
  <c r="N807" i="26"/>
  <c r="O807" i="26" s="1"/>
  <c r="M803" i="26"/>
  <c r="P803" i="26"/>
  <c r="N803" i="26"/>
  <c r="O803" i="26" s="1"/>
  <c r="M799" i="26"/>
  <c r="P799" i="26"/>
  <c r="N799" i="26"/>
  <c r="O799" i="26" s="1"/>
  <c r="M795" i="26"/>
  <c r="P795" i="26"/>
  <c r="N795" i="26"/>
  <c r="O795" i="26" s="1"/>
  <c r="M791" i="26"/>
  <c r="P791" i="26"/>
  <c r="N791" i="26"/>
  <c r="O791" i="26" s="1"/>
  <c r="P846" i="26"/>
  <c r="N846" i="26"/>
  <c r="O846" i="26" s="1"/>
  <c r="M846" i="26"/>
  <c r="P842" i="26"/>
  <c r="M842" i="26"/>
  <c r="N842" i="26"/>
  <c r="O842" i="26" s="1"/>
  <c r="P862" i="26"/>
  <c r="N862" i="26"/>
  <c r="O862" i="26" s="1"/>
  <c r="M862" i="26"/>
  <c r="P858" i="26"/>
  <c r="M858" i="26"/>
  <c r="N858" i="26"/>
  <c r="O858" i="26" s="1"/>
  <c r="P854" i="26"/>
  <c r="M854" i="26"/>
  <c r="N854" i="26"/>
  <c r="O854" i="26" s="1"/>
  <c r="P850" i="26"/>
  <c r="M850" i="26"/>
  <c r="N850" i="26"/>
  <c r="O850" i="26" s="1"/>
  <c r="N836" i="26"/>
  <c r="O836" i="26" s="1"/>
  <c r="P836" i="26"/>
  <c r="M836" i="26"/>
  <c r="N832" i="26"/>
  <c r="O832" i="26" s="1"/>
  <c r="M832" i="26"/>
  <c r="P832" i="26"/>
  <c r="N828" i="26"/>
  <c r="O828" i="26" s="1"/>
  <c r="M828" i="26"/>
  <c r="P828" i="26"/>
  <c r="N824" i="26"/>
  <c r="O824" i="26" s="1"/>
  <c r="P824" i="26"/>
  <c r="M824" i="26"/>
  <c r="N820" i="26"/>
  <c r="O820" i="26" s="1"/>
  <c r="P820" i="26"/>
  <c r="M820" i="26"/>
  <c r="N816" i="26"/>
  <c r="O816" i="26" s="1"/>
  <c r="P816" i="26"/>
  <c r="M816" i="26"/>
  <c r="N812" i="26"/>
  <c r="O812" i="26" s="1"/>
  <c r="M812" i="26"/>
  <c r="P812" i="26"/>
  <c r="N808" i="26"/>
  <c r="O808" i="26" s="1"/>
  <c r="P808" i="26"/>
  <c r="M808" i="26"/>
  <c r="N804" i="26"/>
  <c r="O804" i="26" s="1"/>
  <c r="P804" i="26"/>
  <c r="M804" i="26"/>
  <c r="N800" i="26"/>
  <c r="O800" i="26" s="1"/>
  <c r="P800" i="26"/>
  <c r="M800" i="26"/>
  <c r="N796" i="26"/>
  <c r="O796" i="26" s="1"/>
  <c r="M796" i="26"/>
  <c r="P796" i="26"/>
  <c r="N792" i="26"/>
  <c r="O792" i="26" s="1"/>
  <c r="P792" i="26"/>
  <c r="M792" i="26"/>
  <c r="M847" i="26"/>
  <c r="P847" i="26"/>
  <c r="N847" i="26"/>
  <c r="O847" i="26" s="1"/>
  <c r="M843" i="26"/>
  <c r="P843" i="26"/>
  <c r="N843" i="26"/>
  <c r="O843" i="26" s="1"/>
  <c r="M839" i="26"/>
  <c r="P839" i="26"/>
  <c r="N839" i="26"/>
  <c r="O839" i="26" s="1"/>
  <c r="M859" i="26"/>
  <c r="P859" i="26"/>
  <c r="N859" i="26"/>
  <c r="O859" i="26" s="1"/>
  <c r="M855" i="26"/>
  <c r="P855" i="26"/>
  <c r="N855" i="26"/>
  <c r="O855" i="26" s="1"/>
  <c r="M851" i="26"/>
  <c r="N851" i="26"/>
  <c r="O851" i="26" s="1"/>
  <c r="P851" i="26"/>
  <c r="M787" i="26"/>
  <c r="N787" i="26"/>
  <c r="O787" i="26" s="1"/>
  <c r="P787" i="26"/>
  <c r="P788" i="26"/>
  <c r="M788" i="26"/>
  <c r="N788" i="26"/>
  <c r="O788" i="26" s="1"/>
  <c r="P786" i="26"/>
  <c r="N786" i="26"/>
  <c r="O786" i="26" s="1"/>
  <c r="M786" i="26"/>
  <c r="J576" i="26"/>
  <c r="K576" i="26"/>
  <c r="L576" i="26" s="1"/>
  <c r="J568" i="26"/>
  <c r="K568" i="26"/>
  <c r="L568" i="26" s="1"/>
  <c r="K556" i="26"/>
  <c r="L556" i="26" s="1"/>
  <c r="J556" i="26"/>
  <c r="J579" i="26"/>
  <c r="K579" i="26"/>
  <c r="L579" i="26" s="1"/>
  <c r="K575" i="26"/>
  <c r="L575" i="26" s="1"/>
  <c r="J575" i="26"/>
  <c r="J571" i="26"/>
  <c r="K571" i="26"/>
  <c r="L571" i="26" s="1"/>
  <c r="K567" i="26"/>
  <c r="L567" i="26" s="1"/>
  <c r="J567" i="26"/>
  <c r="J563" i="26"/>
  <c r="K563" i="26"/>
  <c r="L563" i="26" s="1"/>
  <c r="J559" i="26"/>
  <c r="K559" i="26"/>
  <c r="L559" i="26" s="1"/>
  <c r="K555" i="26"/>
  <c r="L555" i="26" s="1"/>
  <c r="J555" i="26"/>
  <c r="K580" i="26"/>
  <c r="L580" i="26" s="1"/>
  <c r="J580" i="26"/>
  <c r="K572" i="26"/>
  <c r="L572" i="26" s="1"/>
  <c r="J572" i="26"/>
  <c r="K564" i="26"/>
  <c r="L564" i="26" s="1"/>
  <c r="J564" i="26"/>
  <c r="J560" i="26"/>
  <c r="K560" i="26"/>
  <c r="L560" i="26" s="1"/>
  <c r="J582" i="26"/>
  <c r="K582" i="26"/>
  <c r="L582" i="26" s="1"/>
  <c r="J578" i="26"/>
  <c r="K578" i="26"/>
  <c r="L578" i="26" s="1"/>
  <c r="J574" i="26"/>
  <c r="K574" i="26"/>
  <c r="L574" i="26" s="1"/>
  <c r="J570" i="26"/>
  <c r="K570" i="26"/>
  <c r="L570" i="26" s="1"/>
  <c r="J566" i="26"/>
  <c r="K566" i="26"/>
  <c r="L566" i="26" s="1"/>
  <c r="J562" i="26"/>
  <c r="K562" i="26"/>
  <c r="L562" i="26" s="1"/>
  <c r="J558" i="26"/>
  <c r="K558" i="26"/>
  <c r="L558" i="26" s="1"/>
  <c r="J554" i="26"/>
  <c r="K554" i="26"/>
  <c r="L554" i="26" s="1"/>
  <c r="K581" i="26"/>
  <c r="L581" i="26" s="1"/>
  <c r="J581" i="26"/>
  <c r="K577" i="26"/>
  <c r="L577" i="26" s="1"/>
  <c r="J577" i="26"/>
  <c r="K573" i="26"/>
  <c r="L573" i="26" s="1"/>
  <c r="J573" i="26"/>
  <c r="K569" i="26"/>
  <c r="L569" i="26" s="1"/>
  <c r="J569" i="26"/>
  <c r="K565" i="26"/>
  <c r="L565" i="26" s="1"/>
  <c r="J565" i="26"/>
  <c r="K561" i="26"/>
  <c r="L561" i="26" s="1"/>
  <c r="J561" i="26"/>
  <c r="K557" i="26"/>
  <c r="L557" i="26" s="1"/>
  <c r="J557" i="26"/>
  <c r="K553" i="26"/>
  <c r="L553" i="26" s="1"/>
  <c r="J553" i="26"/>
  <c r="K552" i="26"/>
  <c r="L552" i="26" s="1"/>
  <c r="J552" i="26"/>
  <c r="P866" i="26"/>
  <c r="N866" i="26"/>
  <c r="O866" i="26" s="1"/>
  <c r="M866" i="26"/>
  <c r="N711" i="26"/>
  <c r="O711" i="26" s="1"/>
  <c r="P711" i="26"/>
  <c r="M711" i="26"/>
  <c r="M867" i="26"/>
  <c r="P867" i="26"/>
  <c r="N867" i="26"/>
  <c r="O867" i="26" s="1"/>
  <c r="N8" i="26"/>
  <c r="O8" i="26" s="1"/>
  <c r="M8" i="26"/>
  <c r="P8" i="26"/>
  <c r="P318" i="26"/>
  <c r="N318" i="26"/>
  <c r="O318" i="26" s="1"/>
  <c r="M318" i="26"/>
  <c r="P86" i="26"/>
  <c r="M86" i="26"/>
  <c r="N86" i="26"/>
  <c r="O86" i="26" s="1"/>
  <c r="M85" i="26"/>
  <c r="N85" i="26"/>
  <c r="O85" i="26" s="1"/>
  <c r="D18" i="38" l="1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 s="1"/>
  <c r="H19" i="38"/>
  <c r="H20" i="38" s="1"/>
  <c r="M19" i="38"/>
  <c r="E19" i="38"/>
  <c r="I19" i="38"/>
  <c r="I20" i="38" s="1"/>
  <c r="N19" i="38"/>
  <c r="N20" i="38" s="1"/>
  <c r="F19" i="38"/>
  <c r="F20" i="38" s="1"/>
  <c r="J19" i="38"/>
  <c r="C19" i="38"/>
  <c r="C20" i="38" s="1"/>
  <c r="G19" i="38"/>
  <c r="G20" i="38" s="1"/>
  <c r="K19" i="38"/>
  <c r="K20" i="38" s="1"/>
  <c r="L19" i="38"/>
  <c r="M16" i="30"/>
  <c r="F9" i="29"/>
  <c r="H9" i="29"/>
  <c r="L9" i="29"/>
  <c r="I10" i="29"/>
  <c r="N9" i="11" s="1"/>
  <c r="M10" i="29"/>
  <c r="N9" i="15" s="1"/>
  <c r="C9" i="29"/>
  <c r="N8" i="1" s="1"/>
  <c r="I9" i="29"/>
  <c r="N8" i="11" s="1"/>
  <c r="M9" i="29"/>
  <c r="N8" i="15" s="1"/>
  <c r="F10" i="29"/>
  <c r="N8" i="6" s="1"/>
  <c r="J10" i="29"/>
  <c r="N9" i="12" s="1"/>
  <c r="N10" i="29"/>
  <c r="N9" i="16" s="1"/>
  <c r="G9" i="29"/>
  <c r="H10" i="29"/>
  <c r="N9" i="10" s="1"/>
  <c r="J9" i="29"/>
  <c r="N8" i="12" s="1"/>
  <c r="N9" i="29"/>
  <c r="N8" i="16" s="1"/>
  <c r="G10" i="29"/>
  <c r="K10" i="29"/>
  <c r="N9" i="13" s="1"/>
  <c r="C10" i="29"/>
  <c r="N9" i="1" s="1"/>
  <c r="K9" i="29"/>
  <c r="N8" i="13" s="1"/>
  <c r="L10" i="29"/>
  <c r="N9" i="14" s="1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 s="1"/>
  <c r="B91" i="23"/>
  <c r="J91" i="23" s="1"/>
  <c r="B92" i="23"/>
  <c r="N92" i="23" s="1"/>
  <c r="B93" i="23"/>
  <c r="B94" i="23"/>
  <c r="K94" i="23" s="1"/>
  <c r="B95" i="23"/>
  <c r="K95" i="23" s="1"/>
  <c r="B96" i="23"/>
  <c r="G96" i="23" s="1"/>
  <c r="B97" i="23"/>
  <c r="B98" i="23"/>
  <c r="G98" i="23" s="1"/>
  <c r="B99" i="23"/>
  <c r="N99" i="23" s="1"/>
  <c r="B88" i="23"/>
  <c r="B76" i="23"/>
  <c r="B77" i="23"/>
  <c r="C77" i="23" s="1"/>
  <c r="B78" i="23"/>
  <c r="J78" i="23" s="1"/>
  <c r="B79" i="23"/>
  <c r="K79" i="23" s="1"/>
  <c r="B80" i="23"/>
  <c r="B81" i="23"/>
  <c r="K81" i="23" s="1"/>
  <c r="B82" i="23"/>
  <c r="K82" i="23" s="1"/>
  <c r="B83" i="23"/>
  <c r="C83" i="23" s="1"/>
  <c r="B84" i="23"/>
  <c r="B85" i="23"/>
  <c r="C85" i="23" s="1"/>
  <c r="B86" i="23"/>
  <c r="B75" i="23"/>
  <c r="B63" i="23"/>
  <c r="B64" i="23"/>
  <c r="N64" i="23" s="1"/>
  <c r="B65" i="23"/>
  <c r="N65" i="23" s="1"/>
  <c r="B66" i="23"/>
  <c r="B67" i="23"/>
  <c r="B68" i="23"/>
  <c r="H68" i="23" s="1"/>
  <c r="B69" i="23"/>
  <c r="B70" i="23"/>
  <c r="B71" i="23"/>
  <c r="B72" i="23"/>
  <c r="L72" i="23" s="1"/>
  <c r="B73" i="23"/>
  <c r="G73" i="23" s="1"/>
  <c r="B62" i="23"/>
  <c r="B50" i="23"/>
  <c r="B51" i="23"/>
  <c r="K51" i="23" s="1"/>
  <c r="B52" i="23"/>
  <c r="F52" i="23" s="1"/>
  <c r="B53" i="23"/>
  <c r="F53" i="23" s="1"/>
  <c r="B54" i="23"/>
  <c r="K54" i="23" s="1"/>
  <c r="B55" i="23"/>
  <c r="K55" i="23" s="1"/>
  <c r="B56" i="23"/>
  <c r="N56" i="23" s="1"/>
  <c r="B57" i="23"/>
  <c r="B58" i="23"/>
  <c r="B59" i="23"/>
  <c r="K59" i="23" s="1"/>
  <c r="B60" i="23"/>
  <c r="K60" i="23" s="1"/>
  <c r="B49" i="23"/>
  <c r="B37" i="23"/>
  <c r="B38" i="23"/>
  <c r="K38" i="23" s="1"/>
  <c r="B39" i="23"/>
  <c r="F39" i="23" s="1"/>
  <c r="B40" i="23"/>
  <c r="F40" i="23" s="1"/>
  <c r="B41" i="23"/>
  <c r="B42" i="23"/>
  <c r="K42" i="23" s="1"/>
  <c r="B43" i="23"/>
  <c r="D43" i="23" s="1"/>
  <c r="B44" i="23"/>
  <c r="B45" i="23"/>
  <c r="B46" i="23"/>
  <c r="K46" i="23" s="1"/>
  <c r="B47" i="23"/>
  <c r="K47" i="23" s="1"/>
  <c r="B36" i="23"/>
  <c r="B23" i="23"/>
  <c r="B24" i="23"/>
  <c r="I24" i="23" s="1"/>
  <c r="B25" i="23"/>
  <c r="B26" i="23"/>
  <c r="B27" i="23"/>
  <c r="B28" i="23"/>
  <c r="M28" i="23" s="1"/>
  <c r="B29" i="23"/>
  <c r="L29" i="23" s="1"/>
  <c r="B30" i="23"/>
  <c r="N30" i="23" s="1"/>
  <c r="B31" i="23"/>
  <c r="N31" i="23" s="1"/>
  <c r="B32" i="23"/>
  <c r="M32" i="23" s="1"/>
  <c r="B33" i="23"/>
  <c r="B22" i="23"/>
  <c r="B12" i="23"/>
  <c r="B13" i="23"/>
  <c r="B14" i="23"/>
  <c r="B15" i="23"/>
  <c r="B10" i="23"/>
  <c r="B9" i="23"/>
  <c r="P8" i="23"/>
  <c r="N9" i="9" l="1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 s="1"/>
  <c r="J9" i="23" s="1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 s="1"/>
  <c r="C32" i="23"/>
  <c r="E27" i="23"/>
  <c r="F26" i="23"/>
  <c r="F31" i="23"/>
  <c r="F22" i="23" s="1"/>
  <c r="F9" i="23" s="1"/>
  <c r="G26" i="23"/>
  <c r="G31" i="23"/>
  <c r="H31" i="23"/>
  <c r="I30" i="23"/>
  <c r="J30" i="23"/>
  <c r="K24" i="23"/>
  <c r="K30" i="23"/>
  <c r="L24" i="23"/>
  <c r="P24" i="23" s="1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 s="1"/>
  <c r="J12" i="23" s="1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 s="1"/>
  <c r="D72" i="23"/>
  <c r="C76" i="23"/>
  <c r="G77" i="23"/>
  <c r="G79" i="23"/>
  <c r="O79" i="23" s="1"/>
  <c r="K80" i="23"/>
  <c r="C84" i="23"/>
  <c r="G85" i="23"/>
  <c r="F89" i="23"/>
  <c r="F88" i="23" s="1"/>
  <c r="F15" i="23" s="1"/>
  <c r="J90" i="23"/>
  <c r="J92" i="23"/>
  <c r="C94" i="23"/>
  <c r="C96" i="23"/>
  <c r="P96" i="23" s="1"/>
  <c r="G97" i="23"/>
  <c r="K98" i="23"/>
  <c r="G25" i="23"/>
  <c r="P25" i="23" s="1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 s="1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 s="1"/>
  <c r="P80" i="23"/>
  <c r="O27" i="23"/>
  <c r="O26" i="23"/>
  <c r="P95" i="23"/>
  <c r="O32" i="23"/>
  <c r="P81" i="23"/>
  <c r="O51" i="23"/>
  <c r="O43" i="23"/>
  <c r="K22" i="23"/>
  <c r="K9" i="23" s="1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 s="1"/>
  <c r="F8" i="22"/>
  <c r="G8" i="22"/>
  <c r="G16" i="22" s="1"/>
  <c r="H8" i="22"/>
  <c r="H16" i="22" s="1"/>
  <c r="I8" i="22"/>
  <c r="J8" i="22"/>
  <c r="K8" i="22"/>
  <c r="K16" i="22" s="1"/>
  <c r="L8" i="22"/>
  <c r="M8" i="22"/>
  <c r="M16" i="22" s="1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 s="1"/>
  <c r="O12" i="21"/>
  <c r="O13" i="21"/>
  <c r="P58" i="23" l="1"/>
  <c r="O33" i="23"/>
  <c r="L75" i="23"/>
  <c r="L14" i="23" s="1"/>
  <c r="O40" i="23"/>
  <c r="O82" i="23"/>
  <c r="O63" i="23"/>
  <c r="P40" i="23"/>
  <c r="C22" i="23"/>
  <c r="C9" i="23" s="1"/>
  <c r="P63" i="23"/>
  <c r="P52" i="23"/>
  <c r="P32" i="23"/>
  <c r="P13" i="38"/>
  <c r="O20" i="38"/>
  <c r="C14" i="38"/>
  <c r="D10" i="38" s="1"/>
  <c r="D14" i="38" s="1"/>
  <c r="E10" i="38" s="1"/>
  <c r="E14" i="38" s="1"/>
  <c r="F10" i="38" s="1"/>
  <c r="F14" i="38" s="1"/>
  <c r="O13" i="38"/>
  <c r="K88" i="23"/>
  <c r="K15" i="23" s="1"/>
  <c r="P98" i="23"/>
  <c r="P85" i="23"/>
  <c r="P68" i="23"/>
  <c r="O72" i="23"/>
  <c r="O38" i="23"/>
  <c r="O24" i="23"/>
  <c r="N22" i="23"/>
  <c r="N9" i="23" s="1"/>
  <c r="P51" i="23"/>
  <c r="L22" i="23"/>
  <c r="L9" i="23" s="1"/>
  <c r="H22" i="23"/>
  <c r="H9" i="23" s="1"/>
  <c r="O66" i="23"/>
  <c r="O42" i="23"/>
  <c r="P23" i="23"/>
  <c r="O92" i="23"/>
  <c r="P83" i="23"/>
  <c r="M75" i="23"/>
  <c r="M14" i="23" s="1"/>
  <c r="O30" i="23"/>
  <c r="P89" i="23"/>
  <c r="O97" i="23"/>
  <c r="I75" i="23"/>
  <c r="I14" i="23" s="1"/>
  <c r="O80" i="23"/>
  <c r="P84" i="23"/>
  <c r="P71" i="23"/>
  <c r="I22" i="23"/>
  <c r="I9" i="23" s="1"/>
  <c r="E22" i="23"/>
  <c r="E9" i="23" s="1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 s="1"/>
  <c r="G88" i="23"/>
  <c r="G15" i="23" s="1"/>
  <c r="P93" i="23"/>
  <c r="F75" i="23"/>
  <c r="F14" i="23" s="1"/>
  <c r="O67" i="23"/>
  <c r="M36" i="23"/>
  <c r="M10" i="23" s="1"/>
  <c r="O45" i="23"/>
  <c r="M22" i="23"/>
  <c r="M9" i="23" s="1"/>
  <c r="N88" i="23"/>
  <c r="N15" i="23" s="1"/>
  <c r="O69" i="23"/>
  <c r="O52" i="23"/>
  <c r="P56" i="23"/>
  <c r="P33" i="23"/>
  <c r="P29" i="23"/>
  <c r="O93" i="23"/>
  <c r="D22" i="23"/>
  <c r="D9" i="23" s="1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 s="1"/>
  <c r="P26" i="23"/>
  <c r="O90" i="23"/>
  <c r="D88" i="23"/>
  <c r="D15" i="23" s="1"/>
  <c r="O91" i="23"/>
  <c r="P82" i="23"/>
  <c r="O65" i="23"/>
  <c r="O25" i="23"/>
  <c r="O85" i="23"/>
  <c r="O77" i="23"/>
  <c r="O68" i="23"/>
  <c r="O59" i="23"/>
  <c r="O54" i="23"/>
  <c r="I49" i="23"/>
  <c r="I12" i="23" s="1"/>
  <c r="P44" i="23"/>
  <c r="P38" i="23"/>
  <c r="O31" i="23"/>
  <c r="P90" i="23"/>
  <c r="O98" i="23"/>
  <c r="O23" i="23"/>
  <c r="P69" i="23"/>
  <c r="C49" i="23"/>
  <c r="C12" i="23" s="1"/>
  <c r="O96" i="23"/>
  <c r="P46" i="23"/>
  <c r="P97" i="23"/>
  <c r="P92" i="23"/>
  <c r="O83" i="23"/>
  <c r="P86" i="23"/>
  <c r="O78" i="23"/>
  <c r="P47" i="23"/>
  <c r="O39" i="23"/>
  <c r="O84" i="23"/>
  <c r="C75" i="23"/>
  <c r="C14" i="23" s="1"/>
  <c r="P67" i="23"/>
  <c r="K62" i="23"/>
  <c r="K13" i="23" s="1"/>
  <c r="O55" i="23"/>
  <c r="O28" i="23"/>
  <c r="O29" i="23"/>
  <c r="P31" i="23"/>
  <c r="O95" i="23"/>
  <c r="P43" i="23"/>
  <c r="F62" i="23"/>
  <c r="F13" i="23" s="1"/>
  <c r="K49" i="23"/>
  <c r="K12" i="23" s="1"/>
  <c r="N9" i="30"/>
  <c r="M9" i="30"/>
  <c r="L62" i="23"/>
  <c r="L13" i="23" s="1"/>
  <c r="J36" i="23"/>
  <c r="J10" i="23" s="1"/>
  <c r="M49" i="23"/>
  <c r="M12" i="23" s="1"/>
  <c r="G36" i="23"/>
  <c r="G10" i="23" s="1"/>
  <c r="C62" i="23"/>
  <c r="C13" i="23" s="1"/>
  <c r="L88" i="23"/>
  <c r="L15" i="23" s="1"/>
  <c r="H75" i="23"/>
  <c r="H14" i="23" s="1"/>
  <c r="I62" i="23"/>
  <c r="I13" i="23" s="1"/>
  <c r="D49" i="23"/>
  <c r="D12" i="23" s="1"/>
  <c r="D15" i="30"/>
  <c r="C15" i="30"/>
  <c r="E15" i="30" s="1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 s="1"/>
  <c r="G62" i="23"/>
  <c r="G13" i="23" s="1"/>
  <c r="D36" i="23"/>
  <c r="D10" i="23" s="1"/>
  <c r="D11" i="23" s="1"/>
  <c r="J62" i="23"/>
  <c r="J13" i="23" s="1"/>
  <c r="G49" i="23"/>
  <c r="G12" i="23" s="1"/>
  <c r="J88" i="23"/>
  <c r="J15" i="23" s="1"/>
  <c r="I88" i="23"/>
  <c r="I15" i="23" s="1"/>
  <c r="J75" i="23"/>
  <c r="J14" i="23" s="1"/>
  <c r="M62" i="23"/>
  <c r="M13" i="23" s="1"/>
  <c r="H49" i="23"/>
  <c r="H12" i="23" s="1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 s="1"/>
  <c r="N11" i="23" s="1"/>
  <c r="D62" i="23"/>
  <c r="D13" i="23" s="1"/>
  <c r="E49" i="23"/>
  <c r="E12" i="23" s="1"/>
  <c r="K75" i="23"/>
  <c r="K14" i="23" s="1"/>
  <c r="N62" i="23"/>
  <c r="N13" i="23" s="1"/>
  <c r="K36" i="23"/>
  <c r="K10" i="23" s="1"/>
  <c r="K11" i="23" s="1"/>
  <c r="M88" i="23"/>
  <c r="M15" i="23" s="1"/>
  <c r="N75" i="23"/>
  <c r="N14" i="23" s="1"/>
  <c r="E75" i="23"/>
  <c r="E14" i="23" s="1"/>
  <c r="L49" i="23"/>
  <c r="L12" i="23" s="1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 s="1"/>
  <c r="H16" i="29"/>
  <c r="H18" i="29" s="1"/>
  <c r="E17" i="29"/>
  <c r="F17" i="29"/>
  <c r="G17" i="29"/>
  <c r="D10" i="29"/>
  <c r="N9" i="3" s="1"/>
  <c r="C18" i="30"/>
  <c r="L16" i="29"/>
  <c r="I17" i="29"/>
  <c r="J17" i="29"/>
  <c r="K17" i="29"/>
  <c r="F16" i="29"/>
  <c r="F18" i="29" s="1"/>
  <c r="K16" i="29"/>
  <c r="J16" i="29"/>
  <c r="J18" i="29" s="1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 s="1"/>
  <c r="N16" i="23" s="1"/>
  <c r="P65" i="23"/>
  <c r="K16" i="23"/>
  <c r="C16" i="30"/>
  <c r="D16" i="30"/>
  <c r="D12" i="30"/>
  <c r="C12" i="30"/>
  <c r="D8" i="30"/>
  <c r="C8" i="30"/>
  <c r="E10" i="29"/>
  <c r="N9" i="4" s="1"/>
  <c r="E9" i="29"/>
  <c r="N8" i="4" s="1"/>
  <c r="M10" i="30"/>
  <c r="N10" i="30"/>
  <c r="H17" i="30"/>
  <c r="I17" i="30"/>
  <c r="H13" i="30"/>
  <c r="I13" i="30"/>
  <c r="H9" i="30"/>
  <c r="I9" i="30"/>
  <c r="G22" i="23"/>
  <c r="G9" i="23" s="1"/>
  <c r="G11" i="23" s="1"/>
  <c r="M11" i="23"/>
  <c r="O47" i="23"/>
  <c r="O57" i="23"/>
  <c r="O76" i="23"/>
  <c r="P76" i="23"/>
  <c r="L16" i="23"/>
  <c r="H36" i="23"/>
  <c r="H10" i="23" s="1"/>
  <c r="H11" i="23" s="1"/>
  <c r="G75" i="23"/>
  <c r="G14" i="23" s="1"/>
  <c r="L36" i="23"/>
  <c r="L10" i="23" s="1"/>
  <c r="L11" i="23" s="1"/>
  <c r="H62" i="23"/>
  <c r="H13" i="23" s="1"/>
  <c r="F49" i="23"/>
  <c r="F12" i="23" s="1"/>
  <c r="F16" i="23" s="1"/>
  <c r="F36" i="23"/>
  <c r="F10" i="23" s="1"/>
  <c r="F11" i="23" s="1"/>
  <c r="F17" i="23" s="1"/>
  <c r="F18" i="23" s="1"/>
  <c r="H88" i="23"/>
  <c r="H15" i="23" s="1"/>
  <c r="D75" i="23"/>
  <c r="D14" i="23" s="1"/>
  <c r="E62" i="23"/>
  <c r="E13" i="23" s="1"/>
  <c r="I36" i="23"/>
  <c r="I10" i="23" s="1"/>
  <c r="I11" i="23" s="1"/>
  <c r="L10" i="19"/>
  <c r="F16" i="22"/>
  <c r="B9" i="19"/>
  <c r="P11" i="22"/>
  <c r="I16" i="22"/>
  <c r="P8" i="22"/>
  <c r="O8" i="22"/>
  <c r="C16" i="22"/>
  <c r="C17" i="22" s="1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 l="1"/>
  <c r="O15" i="23" s="1"/>
  <c r="C11" i="23"/>
  <c r="O22" i="23"/>
  <c r="O9" i="23" s="1"/>
  <c r="C16" i="23"/>
  <c r="P88" i="23"/>
  <c r="P15" i="23" s="1"/>
  <c r="P22" i="23"/>
  <c r="P9" i="23" s="1"/>
  <c r="O62" i="23"/>
  <c r="O13" i="23" s="1"/>
  <c r="O75" i="23"/>
  <c r="O14" i="23" s="1"/>
  <c r="O36" i="23"/>
  <c r="O10" i="23" s="1"/>
  <c r="I18" i="29"/>
  <c r="G10" i="38"/>
  <c r="J9" i="30"/>
  <c r="J17" i="30"/>
  <c r="J18" i="30"/>
  <c r="O49" i="23"/>
  <c r="O12" i="23" s="1"/>
  <c r="K17" i="23"/>
  <c r="K18" i="23" s="1"/>
  <c r="P49" i="23"/>
  <c r="P12" i="23" s="1"/>
  <c r="P36" i="23"/>
  <c r="P10" i="23" s="1"/>
  <c r="P62" i="23"/>
  <c r="P13" i="23" s="1"/>
  <c r="E9" i="30"/>
  <c r="C17" i="23"/>
  <c r="C18" i="23" s="1"/>
  <c r="D8" i="23" s="1"/>
  <c r="L17" i="23"/>
  <c r="L18" i="23" s="1"/>
  <c r="P75" i="23"/>
  <c r="P14" i="23" s="1"/>
  <c r="E8" i="30"/>
  <c r="N17" i="23"/>
  <c r="N18" i="23" s="1"/>
  <c r="G16" i="23"/>
  <c r="K18" i="29"/>
  <c r="J16" i="23"/>
  <c r="J17" i="23" s="1"/>
  <c r="J18" i="23" s="1"/>
  <c r="D16" i="23"/>
  <c r="D17" i="23" s="1"/>
  <c r="D18" i="23" s="1"/>
  <c r="J14" i="30"/>
  <c r="L18" i="29"/>
  <c r="E18" i="29"/>
  <c r="I16" i="23"/>
  <c r="I17" i="23" s="1"/>
  <c r="I18" i="23" s="1"/>
  <c r="O11" i="30"/>
  <c r="E17" i="30"/>
  <c r="G18" i="29"/>
  <c r="O8" i="30"/>
  <c r="J11" i="30"/>
  <c r="J15" i="30"/>
  <c r="O9" i="30"/>
  <c r="N8" i="3"/>
  <c r="C9" i="19" s="1"/>
  <c r="O9" i="29"/>
  <c r="P9" i="29"/>
  <c r="M18" i="29"/>
  <c r="N17" i="30"/>
  <c r="M16" i="23"/>
  <c r="M17" i="23" s="1"/>
  <c r="M18" i="23" s="1"/>
  <c r="G17" i="23"/>
  <c r="G18" i="23" s="1"/>
  <c r="J13" i="30"/>
  <c r="O10" i="30"/>
  <c r="E16" i="30"/>
  <c r="O17" i="29"/>
  <c r="O16" i="29"/>
  <c r="C18" i="29"/>
  <c r="E18" i="30"/>
  <c r="D18" i="29"/>
  <c r="J8" i="30"/>
  <c r="E11" i="30"/>
  <c r="E16" i="23"/>
  <c r="E17" i="23" s="1"/>
  <c r="E18" i="23" s="1"/>
  <c r="J16" i="30"/>
  <c r="O11" i="23"/>
  <c r="E12" i="30"/>
  <c r="E13" i="30"/>
  <c r="N18" i="29"/>
  <c r="E14" i="30"/>
  <c r="O13" i="30"/>
  <c r="J10" i="30"/>
  <c r="O12" i="30"/>
  <c r="H16" i="23"/>
  <c r="H17" i="23" s="1"/>
  <c r="H18" i="23" s="1"/>
  <c r="E10" i="30"/>
  <c r="J12" i="30"/>
  <c r="P11" i="23"/>
  <c r="F11" i="29"/>
  <c r="N9" i="6" s="1"/>
  <c r="E10" i="19" s="1"/>
  <c r="E11" i="19" s="1"/>
  <c r="H10" i="19"/>
  <c r="I11" i="29"/>
  <c r="F10" i="19"/>
  <c r="F9" i="19"/>
  <c r="D10" i="19"/>
  <c r="G10" i="19"/>
  <c r="J10" i="19"/>
  <c r="K11" i="29"/>
  <c r="B10" i="19"/>
  <c r="B11" i="19" s="1"/>
  <c r="B12" i="19" s="1"/>
  <c r="C8" i="19" s="1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 s="1"/>
  <c r="N10" i="15"/>
  <c r="I10" i="19"/>
  <c r="N10" i="9"/>
  <c r="M10" i="19"/>
  <c r="M11" i="19" s="1"/>
  <c r="N10" i="14"/>
  <c r="N10" i="11"/>
  <c r="H9" i="19"/>
  <c r="N10" i="10"/>
  <c r="N10" i="4"/>
  <c r="N10" i="1"/>
  <c r="O16" i="23" l="1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 s="1"/>
  <c r="D8" i="19" s="1"/>
  <c r="N11" i="29"/>
  <c r="N10" i="16" s="1"/>
  <c r="L11" i="29"/>
  <c r="G11" i="29"/>
  <c r="F7" i="42" s="1"/>
  <c r="P10" i="29"/>
  <c r="P11" i="29" s="1"/>
  <c r="O10" i="29"/>
  <c r="C11" i="29"/>
  <c r="D11" i="29"/>
  <c r="M11" i="29"/>
  <c r="D7" i="22"/>
  <c r="D17" i="22" s="1"/>
  <c r="N10" i="19"/>
  <c r="N9" i="19"/>
  <c r="I11" i="19"/>
  <c r="O10" i="19"/>
  <c r="O9" i="19"/>
  <c r="H10" i="38" l="1"/>
  <c r="D12" i="19"/>
  <c r="E8" i="19" s="1"/>
  <c r="E12" i="19" s="1"/>
  <c r="F8" i="19" s="1"/>
  <c r="F12" i="19" s="1"/>
  <c r="G8" i="19" s="1"/>
  <c r="G12" i="19" s="1"/>
  <c r="H8" i="19" s="1"/>
  <c r="H12" i="19" s="1"/>
  <c r="I8" i="19" s="1"/>
  <c r="I12" i="19" s="1"/>
  <c r="J8" i="19" s="1"/>
  <c r="J12" i="19" s="1"/>
  <c r="K8" i="19" s="1"/>
  <c r="K12" i="19" s="1"/>
  <c r="L8" i="19" s="1"/>
  <c r="L12" i="19" s="1"/>
  <c r="M8" i="19" s="1"/>
  <c r="M12" i="19" s="1"/>
  <c r="O12" i="19" s="1"/>
  <c r="N11" i="19"/>
  <c r="O11" i="29"/>
  <c r="C12" i="29"/>
  <c r="D8" i="29" s="1"/>
  <c r="D12" i="29" s="1"/>
  <c r="E8" i="29" s="1"/>
  <c r="E12" i="29" s="1"/>
  <c r="F8" i="29" s="1"/>
  <c r="F12" i="29" s="1"/>
  <c r="G8" i="29" s="1"/>
  <c r="E8" i="23"/>
  <c r="O11" i="19"/>
  <c r="H14" i="38" l="1"/>
  <c r="I10" i="38" s="1"/>
  <c r="I14" i="38" s="1"/>
  <c r="J10" i="38" s="1"/>
  <c r="J14" i="38" s="1"/>
  <c r="K10" i="38" s="1"/>
  <c r="K14" i="38" s="1"/>
  <c r="L10" i="38" s="1"/>
  <c r="L14" i="38" s="1"/>
  <c r="M10" i="38" s="1"/>
  <c r="M14" i="38" s="1"/>
  <c r="N10" i="38" s="1"/>
  <c r="N14" i="38" s="1"/>
  <c r="G12" i="29"/>
  <c r="F8" i="42" s="1"/>
  <c r="E7" i="22"/>
  <c r="N12" i="19"/>
  <c r="N8" i="19"/>
  <c r="O10" i="38" l="1"/>
  <c r="P14" i="38"/>
  <c r="O14" i="38"/>
  <c r="H8" i="29"/>
  <c r="F8" i="23"/>
  <c r="E17" i="22"/>
  <c r="H12" i="29" l="1"/>
  <c r="I8" i="29" s="1"/>
  <c r="I12" i="29" s="1"/>
  <c r="J8" i="29" s="1"/>
  <c r="J12" i="29" s="1"/>
  <c r="K8" i="29" s="1"/>
  <c r="K12" i="29" s="1"/>
  <c r="L8" i="29" s="1"/>
  <c r="L12" i="29" s="1"/>
  <c r="M8" i="29" s="1"/>
  <c r="M12" i="29" s="1"/>
  <c r="N8" i="29" s="1"/>
  <c r="N12" i="29" s="1"/>
  <c r="F7" i="22"/>
  <c r="O8" i="29" l="1"/>
  <c r="P12" i="29"/>
  <c r="O12" i="29"/>
  <c r="G8" i="23"/>
  <c r="F17" i="22"/>
  <c r="G7" i="22" l="1"/>
  <c r="H8" i="23" l="1"/>
  <c r="G17" i="22"/>
  <c r="I8" i="23" l="1"/>
  <c r="J8" i="23" s="1"/>
  <c r="K8" i="23" s="1"/>
  <c r="H7" i="22"/>
  <c r="L8" i="23" l="1"/>
  <c r="H17" i="22"/>
  <c r="I7" i="22" s="1"/>
  <c r="I17" i="22" s="1"/>
  <c r="J7" i="22" s="1"/>
  <c r="J17" i="22" s="1"/>
  <c r="K7" i="22" s="1"/>
  <c r="K17" i="22" s="1"/>
  <c r="L7" i="22" s="1"/>
  <c r="L17" i="22" s="1"/>
  <c r="M7" i="22" s="1"/>
  <c r="M17" i="22" s="1"/>
  <c r="N7" i="22" s="1"/>
  <c r="N17" i="22" s="1"/>
  <c r="M8" i="23" l="1"/>
  <c r="N8" i="23" s="1"/>
  <c r="O7" i="22"/>
  <c r="P17" i="22"/>
  <c r="O17" i="22"/>
  <c r="O8" i="23" l="1"/>
  <c r="P18" i="23"/>
  <c r="M17" i="30" l="1"/>
  <c r="O17" i="30" s="1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sharedStrings.xml><?xml version="1.0" encoding="utf-8"?>
<sst xmlns="http://schemas.openxmlformats.org/spreadsheetml/2006/main" count="3004" uniqueCount="192">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</sst>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0" fillId="13" borderId="0" xfId="0" applyFill="1"/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0" fillId="0" borderId="0" xfId="0" applyFill="1" applyBorder="1"/>
  </cellXfs>
  <cellStyles count="1">
    <cellStyle name="Normal" xfId="0" builtinId="0"/>
  </cellStyles>
  <dxfs count="571"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1.xml"/><Relationship Id="rId28" Type="http://schemas.openxmlformats.org/officeDocument/2006/relationships/worksheet" Target="worksheets/sheet2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8038136"/>
        <c:axId val="308032256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38136"/>
        <c:axId val="308032256"/>
      </c:lineChart>
      <c:catAx>
        <c:axId val="30803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32256"/>
        <c:crosses val="autoZero"/>
        <c:auto val="1"/>
        <c:lblAlgn val="ctr"/>
        <c:lblOffset val="100"/>
        <c:noMultiLvlLbl val="0"/>
      </c:catAx>
      <c:valAx>
        <c:axId val="3080322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0803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8034608"/>
        <c:axId val="308035392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34608"/>
        <c:axId val="308035392"/>
      </c:lineChart>
      <c:catAx>
        <c:axId val="30803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35392"/>
        <c:crosses val="autoZero"/>
        <c:auto val="1"/>
        <c:lblAlgn val="ctr"/>
        <c:lblOffset val="100"/>
        <c:noMultiLvlLbl val="0"/>
      </c:catAx>
      <c:valAx>
        <c:axId val="30803539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080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8039704"/>
        <c:axId val="307412008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39704"/>
        <c:axId val="307412008"/>
      </c:lineChart>
      <c:catAx>
        <c:axId val="30803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12008"/>
        <c:crosses val="autoZero"/>
        <c:auto val="1"/>
        <c:lblAlgn val="ctr"/>
        <c:lblOffset val="100"/>
        <c:noMultiLvlLbl val="0"/>
      </c:catAx>
      <c:valAx>
        <c:axId val="30741200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0803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42605864"/>
        <c:axId val="342607824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05864"/>
        <c:axId val="342607824"/>
      </c:lineChart>
      <c:catAx>
        <c:axId val="342605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07824"/>
        <c:crosses val="autoZero"/>
        <c:auto val="1"/>
        <c:lblAlgn val="ctr"/>
        <c:lblOffset val="100"/>
        <c:noMultiLvlLbl val="0"/>
      </c:catAx>
      <c:valAx>
        <c:axId val="34260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4260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6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7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6.xml"/><Relationship Id="rId16" Type="http://schemas.openxmlformats.org/officeDocument/2006/relationships/hyperlink" Target="#'CENTRO DE CUSTO'!A1"/><Relationship Id="rId1" Type="http://schemas.openxmlformats.org/officeDocument/2006/relationships/chart" Target="../charts/chart5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9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8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011151" cy="62288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>
      <selection activeCell="G4" sqref="G4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 t="shared" ref="N9:N12" si="1"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 t="shared" si="1"/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2">C9-C10</f>
        <v>784</v>
      </c>
      <c r="D11" s="47">
        <f t="shared" si="2"/>
        <v>198</v>
      </c>
      <c r="E11" s="47">
        <f t="shared" si="2"/>
        <v>0</v>
      </c>
      <c r="F11" s="47">
        <f t="shared" si="2"/>
        <v>1174</v>
      </c>
      <c r="G11" s="47">
        <f t="shared" si="2"/>
        <v>0</v>
      </c>
      <c r="H11" s="47">
        <f t="shared" si="2"/>
        <v>390</v>
      </c>
      <c r="I11" s="47">
        <f t="shared" si="2"/>
        <v>0</v>
      </c>
      <c r="J11" s="47">
        <f t="shared" si="2"/>
        <v>-606</v>
      </c>
      <c r="K11" s="47">
        <f t="shared" si="2"/>
        <v>-1446.3999999999996</v>
      </c>
      <c r="L11" s="47">
        <f t="shared" si="2"/>
        <v>-285.6666666666664</v>
      </c>
      <c r="M11" s="47">
        <f t="shared" si="2"/>
        <v>-285.6666666666664</v>
      </c>
      <c r="N11" s="47">
        <f t="shared" si="1"/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3">C8+C11</f>
        <v>1195</v>
      </c>
      <c r="D12" s="47">
        <f t="shared" si="3"/>
        <v>1393</v>
      </c>
      <c r="E12" s="47">
        <f t="shared" si="3"/>
        <v>1393</v>
      </c>
      <c r="F12" s="47">
        <f t="shared" si="3"/>
        <v>2567</v>
      </c>
      <c r="G12" s="47">
        <f t="shared" si="3"/>
        <v>2567</v>
      </c>
      <c r="H12" s="47">
        <f t="shared" si="3"/>
        <v>2957</v>
      </c>
      <c r="I12" s="47">
        <f t="shared" si="3"/>
        <v>2957</v>
      </c>
      <c r="J12" s="47">
        <f t="shared" si="3"/>
        <v>2351</v>
      </c>
      <c r="K12" s="47">
        <f t="shared" si="3"/>
        <v>904.60000000000036</v>
      </c>
      <c r="L12" s="47">
        <f t="shared" si="3"/>
        <v>618.93333333333396</v>
      </c>
      <c r="M12" s="47">
        <f t="shared" si="3"/>
        <v>333.26666666666756</v>
      </c>
      <c r="N12" s="47">
        <f t="shared" si="1"/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70" priority="16" operator="equal">
      <formula>"RECEITA"</formula>
    </cfRule>
    <cfRule type="cellIs" dxfId="569" priority="17" operator="equal">
      <formula>"DESPESA"</formula>
    </cfRule>
    <cfRule type="cellIs" dxfId="568" priority="18" operator="equal">
      <formula>"RECEITA"</formula>
    </cfRule>
    <cfRule type="cellIs" dxfId="567" priority="19" operator="equal">
      <formula>"DESPESA"</formula>
    </cfRule>
    <cfRule type="cellIs" dxfId="566" priority="20" operator="equal">
      <formula>"RECEITA"</formula>
    </cfRule>
    <cfRule type="cellIs" dxfId="565" priority="21" operator="equal">
      <formula>"DESPESA"</formula>
    </cfRule>
  </conditionalFormatting>
  <conditionalFormatting sqref="A9">
    <cfRule type="cellIs" dxfId="564" priority="10" operator="equal">
      <formula>"RECEITA"</formula>
    </cfRule>
    <cfRule type="cellIs" dxfId="563" priority="11" operator="equal">
      <formula>"DESPESA"</formula>
    </cfRule>
    <cfRule type="cellIs" dxfId="562" priority="12" operator="equal">
      <formula>"RECEITA"</formula>
    </cfRule>
    <cfRule type="cellIs" dxfId="561" priority="13" operator="equal">
      <formula>"DESPESA"</formula>
    </cfRule>
    <cfRule type="cellIs" dxfId="560" priority="14" operator="equal">
      <formula>"RECEITA"</formula>
    </cfRule>
    <cfRule type="cellIs" dxfId="559" priority="15" operator="equal">
      <formula>"DESPESA"</formula>
    </cfRule>
  </conditionalFormatting>
  <conditionalFormatting sqref="B11:N11">
    <cfRule type="cellIs" dxfId="558" priority="3" operator="lessThan">
      <formula>0</formula>
    </cfRule>
    <cfRule type="cellIs" dxfId="557" priority="4" operator="greaterThan">
      <formula>0</formula>
    </cfRule>
  </conditionalFormatting>
  <conditionalFormatting sqref="B12:O12">
    <cfRule type="cellIs" dxfId="556" priority="1" operator="lessThan">
      <formula>0</formula>
    </cfRule>
    <cfRule type="cellIs" dxfId="55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G9" sqref="G9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54" priority="20" operator="equal">
      <formula>"RECEITA"</formula>
    </cfRule>
    <cfRule type="cellIs" dxfId="553" priority="21" operator="equal">
      <formula>"DESPESA"</formula>
    </cfRule>
    <cfRule type="cellIs" dxfId="552" priority="22" operator="equal">
      <formula>"RECEITA"</formula>
    </cfRule>
    <cfRule type="cellIs" dxfId="551" priority="23" operator="equal">
      <formula>"DESPESA"</formula>
    </cfRule>
  </conditionalFormatting>
  <conditionalFormatting sqref="M8">
    <cfRule type="cellIs" dxfId="550" priority="12" operator="equal">
      <formula>"RECEITA"</formula>
    </cfRule>
    <cfRule type="cellIs" dxfId="549" priority="13" operator="equal">
      <formula>"DESPESA"</formula>
    </cfRule>
    <cfRule type="cellIs" dxfId="548" priority="14" operator="equal">
      <formula>"RECEITA"</formula>
    </cfRule>
    <cfRule type="cellIs" dxfId="547" priority="15" operator="equal">
      <formula>"DESPESA"</formula>
    </cfRule>
    <cfRule type="cellIs" dxfId="546" priority="16" operator="equal">
      <formula>"RECEITA"</formula>
    </cfRule>
    <cfRule type="cellIs" dxfId="545" priority="17" operator="equal">
      <formula>"DESPESA"</formula>
    </cfRule>
  </conditionalFormatting>
  <conditionalFormatting sqref="M9">
    <cfRule type="cellIs" dxfId="544" priority="6" operator="equal">
      <formula>"RECEITA"</formula>
    </cfRule>
    <cfRule type="cellIs" dxfId="543" priority="7" operator="equal">
      <formula>"DESPESA"</formula>
    </cfRule>
    <cfRule type="cellIs" dxfId="542" priority="8" operator="equal">
      <formula>"RECEITA"</formula>
    </cfRule>
    <cfRule type="cellIs" dxfId="541" priority="9" operator="equal">
      <formula>"DESPESA"</formula>
    </cfRule>
    <cfRule type="cellIs" dxfId="540" priority="10" operator="equal">
      <formula>"RECEITA"</formula>
    </cfRule>
    <cfRule type="cellIs" dxfId="539" priority="11" operator="equal">
      <formula>"DESPESA"</formula>
    </cfRule>
  </conditionalFormatting>
  <conditionalFormatting sqref="N10">
    <cfRule type="cellIs" dxfId="538" priority="1" operator="greaterThan">
      <formula>0</formula>
    </cfRule>
    <cfRule type="cellIs" dxfId="537" priority="2" operator="greaterThan">
      <formula>0</formula>
    </cfRule>
    <cfRule type="cellIs" dxfId="536" priority="3" operator="greaterThan">
      <formula>0</formula>
    </cfRule>
    <cfRule type="cellIs" dxfId="535" priority="4" operator="lessThan">
      <formula>0</formula>
    </cfRule>
    <cfRule type="cellIs" dxfId="534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31" priority="36" operator="equal">
      <formula>"RECEITA"</formula>
    </cfRule>
    <cfRule type="cellIs" dxfId="530" priority="37" operator="equal">
      <formula>"DESPESA"</formula>
    </cfRule>
    <cfRule type="cellIs" dxfId="529" priority="38" operator="equal">
      <formula>"RECEITA"</formula>
    </cfRule>
    <cfRule type="cellIs" dxfId="528" priority="39" operator="equal">
      <formula>"DESPESA"</formula>
    </cfRule>
    <cfRule type="cellIs" dxfId="527" priority="40" operator="equal">
      <formula>"RECEITA"</formula>
    </cfRule>
    <cfRule type="cellIs" dxfId="526" priority="41" operator="equal">
      <formula>"DESPESA"</formula>
    </cfRule>
  </conditionalFormatting>
  <conditionalFormatting sqref="M8">
    <cfRule type="cellIs" dxfId="525" priority="30" operator="equal">
      <formula>"RECEITA"</formula>
    </cfRule>
    <cfRule type="cellIs" dxfId="524" priority="31" operator="equal">
      <formula>"DESPESA"</formula>
    </cfRule>
    <cfRule type="cellIs" dxfId="523" priority="32" operator="equal">
      <formula>"RECEITA"</formula>
    </cfRule>
    <cfRule type="cellIs" dxfId="522" priority="33" operator="equal">
      <formula>"DESPESA"</formula>
    </cfRule>
    <cfRule type="cellIs" dxfId="521" priority="34" operator="equal">
      <formula>"RECEITA"</formula>
    </cfRule>
    <cfRule type="cellIs" dxfId="520" priority="35" operator="equal">
      <formula>"DESPESA"</formula>
    </cfRule>
  </conditionalFormatting>
  <conditionalFormatting sqref="M9">
    <cfRule type="cellIs" dxfId="519" priority="24" operator="equal">
      <formula>"RECEITA"</formula>
    </cfRule>
    <cfRule type="cellIs" dxfId="518" priority="25" operator="equal">
      <formula>"DESPESA"</formula>
    </cfRule>
    <cfRule type="cellIs" dxfId="517" priority="26" operator="equal">
      <formula>"RECEITA"</formula>
    </cfRule>
    <cfRule type="cellIs" dxfId="516" priority="27" operator="equal">
      <formula>"DESPESA"</formula>
    </cfRule>
    <cfRule type="cellIs" dxfId="515" priority="28" operator="equal">
      <formula>"RECEITA"</formula>
    </cfRule>
    <cfRule type="cellIs" dxfId="514" priority="29" operator="equal">
      <formula>"DESPESA"</formula>
    </cfRule>
  </conditionalFormatting>
  <conditionalFormatting sqref="N10">
    <cfRule type="cellIs" dxfId="513" priority="19" operator="greaterThan">
      <formula>0</formula>
    </cfRule>
    <cfRule type="cellIs" dxfId="512" priority="20" operator="greaterThan">
      <formula>0</formula>
    </cfRule>
    <cfRule type="cellIs" dxfId="511" priority="21" operator="greaterThan">
      <formula>0</formula>
    </cfRule>
    <cfRule type="cellIs" dxfId="510" priority="22" operator="lessThan">
      <formula>0</formula>
    </cfRule>
    <cfRule type="cellIs" dxfId="509" priority="23" operator="greaterThan">
      <formula>0</formula>
    </cfRule>
  </conditionalFormatting>
  <conditionalFormatting sqref="E7:E84">
    <cfRule type="cellIs" dxfId="508" priority="7" operator="equal">
      <formula>"RECEITA"</formula>
    </cfRule>
    <cfRule type="cellIs" dxfId="507" priority="8" operator="equal">
      <formula>"DESPESA"</formula>
    </cfRule>
    <cfRule type="cellIs" dxfId="506" priority="9" operator="equal">
      <formula>"RECEITA"</formula>
    </cfRule>
    <cfRule type="cellIs" dxfId="505" priority="10" operator="equal">
      <formula>"DESPESA"</formula>
    </cfRule>
    <cfRule type="cellIs" dxfId="504" priority="11" operator="equal">
      <formula>"RECEITA"</formula>
    </cfRule>
    <cfRule type="cellIs" dxfId="503" priority="12" operator="equal">
      <formula>"DESPESA"</formula>
    </cfRule>
  </conditionalFormatting>
  <conditionalFormatting sqref="D7:D84">
    <cfRule type="cellIs" dxfId="502" priority="3" operator="equal">
      <formula>"RECEITA"</formula>
    </cfRule>
    <cfRule type="cellIs" dxfId="501" priority="4" operator="equal">
      <formula>"DESPESA"</formula>
    </cfRule>
    <cfRule type="cellIs" dxfId="500" priority="5" operator="equal">
      <formula>"RECEITA"</formula>
    </cfRule>
    <cfRule type="cellIs" dxfId="49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496" priority="36" operator="equal">
      <formula>"RECEITA"</formula>
    </cfRule>
    <cfRule type="cellIs" dxfId="495" priority="37" operator="equal">
      <formula>"DESPESA"</formula>
    </cfRule>
    <cfRule type="cellIs" dxfId="494" priority="38" operator="equal">
      <formula>"RECEITA"</formula>
    </cfRule>
    <cfRule type="cellIs" dxfId="493" priority="39" operator="equal">
      <formula>"DESPESA"</formula>
    </cfRule>
    <cfRule type="cellIs" dxfId="492" priority="40" operator="equal">
      <formula>"RECEITA"</formula>
    </cfRule>
    <cfRule type="cellIs" dxfId="491" priority="41" operator="equal">
      <formula>"DESPESA"</formula>
    </cfRule>
  </conditionalFormatting>
  <conditionalFormatting sqref="M8">
    <cfRule type="cellIs" dxfId="490" priority="30" operator="equal">
      <formula>"RECEITA"</formula>
    </cfRule>
    <cfRule type="cellIs" dxfId="489" priority="31" operator="equal">
      <formula>"DESPESA"</formula>
    </cfRule>
    <cfRule type="cellIs" dxfId="488" priority="32" operator="equal">
      <formula>"RECEITA"</formula>
    </cfRule>
    <cfRule type="cellIs" dxfId="487" priority="33" operator="equal">
      <formula>"DESPESA"</formula>
    </cfRule>
    <cfRule type="cellIs" dxfId="486" priority="34" operator="equal">
      <formula>"RECEITA"</formula>
    </cfRule>
    <cfRule type="cellIs" dxfId="485" priority="35" operator="equal">
      <formula>"DESPESA"</formula>
    </cfRule>
  </conditionalFormatting>
  <conditionalFormatting sqref="M9">
    <cfRule type="cellIs" dxfId="484" priority="24" operator="equal">
      <formula>"RECEITA"</formula>
    </cfRule>
    <cfRule type="cellIs" dxfId="483" priority="25" operator="equal">
      <formula>"DESPESA"</formula>
    </cfRule>
    <cfRule type="cellIs" dxfId="482" priority="26" operator="equal">
      <formula>"RECEITA"</formula>
    </cfRule>
    <cfRule type="cellIs" dxfId="481" priority="27" operator="equal">
      <formula>"DESPESA"</formula>
    </cfRule>
    <cfRule type="cellIs" dxfId="480" priority="28" operator="equal">
      <formula>"RECEITA"</formula>
    </cfRule>
    <cfRule type="cellIs" dxfId="479" priority="29" operator="equal">
      <formula>"DESPESA"</formula>
    </cfRule>
  </conditionalFormatting>
  <conditionalFormatting sqref="N10">
    <cfRule type="cellIs" dxfId="478" priority="19" operator="greaterThan">
      <formula>0</formula>
    </cfRule>
    <cfRule type="cellIs" dxfId="477" priority="20" operator="greaterThan">
      <formula>0</formula>
    </cfRule>
    <cfRule type="cellIs" dxfId="476" priority="21" operator="greaterThan">
      <formula>0</formula>
    </cfRule>
    <cfRule type="cellIs" dxfId="475" priority="22" operator="lessThan">
      <formula>0</formula>
    </cfRule>
    <cfRule type="cellIs" dxfId="474" priority="23" operator="greaterThan">
      <formula>0</formula>
    </cfRule>
  </conditionalFormatting>
  <conditionalFormatting sqref="E7:E84">
    <cfRule type="cellIs" dxfId="473" priority="7" operator="equal">
      <formula>"RECEITA"</formula>
    </cfRule>
    <cfRule type="cellIs" dxfId="472" priority="8" operator="equal">
      <formula>"DESPESA"</formula>
    </cfRule>
    <cfRule type="cellIs" dxfId="471" priority="9" operator="equal">
      <formula>"RECEITA"</formula>
    </cfRule>
    <cfRule type="cellIs" dxfId="470" priority="10" operator="equal">
      <formula>"DESPESA"</formula>
    </cfRule>
    <cfRule type="cellIs" dxfId="469" priority="11" operator="equal">
      <formula>"RECEITA"</formula>
    </cfRule>
    <cfRule type="cellIs" dxfId="468" priority="12" operator="equal">
      <formula>"DESPESA"</formula>
    </cfRule>
  </conditionalFormatting>
  <conditionalFormatting sqref="D7:D84">
    <cfRule type="cellIs" dxfId="467" priority="3" operator="equal">
      <formula>"RECEITA"</formula>
    </cfRule>
    <cfRule type="cellIs" dxfId="466" priority="4" operator="equal">
      <formula>"DESPESA"</formula>
    </cfRule>
    <cfRule type="cellIs" dxfId="465" priority="5" operator="equal">
      <formula>"RECEITA"</formula>
    </cfRule>
    <cfRule type="cellIs" dxfId="46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61" priority="36" operator="equal">
      <formula>"RECEITA"</formula>
    </cfRule>
    <cfRule type="cellIs" dxfId="460" priority="37" operator="equal">
      <formula>"DESPESA"</formula>
    </cfRule>
    <cfRule type="cellIs" dxfId="459" priority="38" operator="equal">
      <formula>"RECEITA"</formula>
    </cfRule>
    <cfRule type="cellIs" dxfId="458" priority="39" operator="equal">
      <formula>"DESPESA"</formula>
    </cfRule>
    <cfRule type="cellIs" dxfId="457" priority="40" operator="equal">
      <formula>"RECEITA"</formula>
    </cfRule>
    <cfRule type="cellIs" dxfId="456" priority="41" operator="equal">
      <formula>"DESPESA"</formula>
    </cfRule>
  </conditionalFormatting>
  <conditionalFormatting sqref="M8">
    <cfRule type="cellIs" dxfId="455" priority="30" operator="equal">
      <formula>"RECEITA"</formula>
    </cfRule>
    <cfRule type="cellIs" dxfId="454" priority="31" operator="equal">
      <formula>"DESPESA"</formula>
    </cfRule>
    <cfRule type="cellIs" dxfId="453" priority="32" operator="equal">
      <formula>"RECEITA"</formula>
    </cfRule>
    <cfRule type="cellIs" dxfId="452" priority="33" operator="equal">
      <formula>"DESPESA"</formula>
    </cfRule>
    <cfRule type="cellIs" dxfId="451" priority="34" operator="equal">
      <formula>"RECEITA"</formula>
    </cfRule>
    <cfRule type="cellIs" dxfId="450" priority="35" operator="equal">
      <formula>"DESPESA"</formula>
    </cfRule>
  </conditionalFormatting>
  <conditionalFormatting sqref="M9">
    <cfRule type="cellIs" dxfId="449" priority="24" operator="equal">
      <formula>"RECEITA"</formula>
    </cfRule>
    <cfRule type="cellIs" dxfId="448" priority="25" operator="equal">
      <formula>"DESPESA"</formula>
    </cfRule>
    <cfRule type="cellIs" dxfId="447" priority="26" operator="equal">
      <formula>"RECEITA"</formula>
    </cfRule>
    <cfRule type="cellIs" dxfId="446" priority="27" operator="equal">
      <formula>"DESPESA"</formula>
    </cfRule>
    <cfRule type="cellIs" dxfId="445" priority="28" operator="equal">
      <formula>"RECEITA"</formula>
    </cfRule>
    <cfRule type="cellIs" dxfId="444" priority="29" operator="equal">
      <formula>"DESPESA"</formula>
    </cfRule>
  </conditionalFormatting>
  <conditionalFormatting sqref="N10">
    <cfRule type="cellIs" dxfId="443" priority="19" operator="greaterThan">
      <formula>0</formula>
    </cfRule>
    <cfRule type="cellIs" dxfId="442" priority="20" operator="greaterThan">
      <formula>0</formula>
    </cfRule>
    <cfRule type="cellIs" dxfId="441" priority="21" operator="greaterThan">
      <formula>0</formula>
    </cfRule>
    <cfRule type="cellIs" dxfId="440" priority="22" operator="lessThan">
      <formula>0</formula>
    </cfRule>
    <cfRule type="cellIs" dxfId="439" priority="23" operator="greaterThan">
      <formula>0</formula>
    </cfRule>
  </conditionalFormatting>
  <conditionalFormatting sqref="E7:E84">
    <cfRule type="cellIs" dxfId="438" priority="7" operator="equal">
      <formula>"RECEITA"</formula>
    </cfRule>
    <cfRule type="cellIs" dxfId="437" priority="8" operator="equal">
      <formula>"DESPESA"</formula>
    </cfRule>
    <cfRule type="cellIs" dxfId="436" priority="9" operator="equal">
      <formula>"RECEITA"</formula>
    </cfRule>
    <cfRule type="cellIs" dxfId="435" priority="10" operator="equal">
      <formula>"DESPESA"</formula>
    </cfRule>
    <cfRule type="cellIs" dxfId="434" priority="11" operator="equal">
      <formula>"RECEITA"</formula>
    </cfRule>
    <cfRule type="cellIs" dxfId="433" priority="12" operator="equal">
      <formula>"DESPESA"</formula>
    </cfRule>
  </conditionalFormatting>
  <conditionalFormatting sqref="D7:D84">
    <cfRule type="cellIs" dxfId="432" priority="3" operator="equal">
      <formula>"RECEITA"</formula>
    </cfRule>
    <cfRule type="cellIs" dxfId="431" priority="4" operator="equal">
      <formula>"DESPESA"</formula>
    </cfRule>
    <cfRule type="cellIs" dxfId="430" priority="5" operator="equal">
      <formula>"RECEITA"</formula>
    </cfRule>
    <cfRule type="cellIs" dxfId="42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26" priority="36" operator="equal">
      <formula>"RECEITA"</formula>
    </cfRule>
    <cfRule type="cellIs" dxfId="425" priority="37" operator="equal">
      <formula>"DESPESA"</formula>
    </cfRule>
    <cfRule type="cellIs" dxfId="424" priority="38" operator="equal">
      <formula>"RECEITA"</formula>
    </cfRule>
    <cfRule type="cellIs" dxfId="423" priority="39" operator="equal">
      <formula>"DESPESA"</formula>
    </cfRule>
    <cfRule type="cellIs" dxfId="422" priority="40" operator="equal">
      <formula>"RECEITA"</formula>
    </cfRule>
    <cfRule type="cellIs" dxfId="421" priority="41" operator="equal">
      <formula>"DESPESA"</formula>
    </cfRule>
  </conditionalFormatting>
  <conditionalFormatting sqref="M8">
    <cfRule type="cellIs" dxfId="420" priority="30" operator="equal">
      <formula>"RECEITA"</formula>
    </cfRule>
    <cfRule type="cellIs" dxfId="419" priority="31" operator="equal">
      <formula>"DESPESA"</formula>
    </cfRule>
    <cfRule type="cellIs" dxfId="418" priority="32" operator="equal">
      <formula>"RECEITA"</formula>
    </cfRule>
    <cfRule type="cellIs" dxfId="417" priority="33" operator="equal">
      <formula>"DESPESA"</formula>
    </cfRule>
    <cfRule type="cellIs" dxfId="416" priority="34" operator="equal">
      <formula>"RECEITA"</formula>
    </cfRule>
    <cfRule type="cellIs" dxfId="415" priority="35" operator="equal">
      <formula>"DESPESA"</formula>
    </cfRule>
  </conditionalFormatting>
  <conditionalFormatting sqref="M9">
    <cfRule type="cellIs" dxfId="414" priority="24" operator="equal">
      <formula>"RECEITA"</formula>
    </cfRule>
    <cfRule type="cellIs" dxfId="413" priority="25" operator="equal">
      <formula>"DESPESA"</formula>
    </cfRule>
    <cfRule type="cellIs" dxfId="412" priority="26" operator="equal">
      <formula>"RECEITA"</formula>
    </cfRule>
    <cfRule type="cellIs" dxfId="411" priority="27" operator="equal">
      <formula>"DESPESA"</formula>
    </cfRule>
    <cfRule type="cellIs" dxfId="410" priority="28" operator="equal">
      <formula>"RECEITA"</formula>
    </cfRule>
    <cfRule type="cellIs" dxfId="409" priority="29" operator="equal">
      <formula>"DESPESA"</formula>
    </cfRule>
  </conditionalFormatting>
  <conditionalFormatting sqref="N10">
    <cfRule type="cellIs" dxfId="408" priority="19" operator="greaterThan">
      <formula>0</formula>
    </cfRule>
    <cfRule type="cellIs" dxfId="407" priority="20" operator="greaterThan">
      <formula>0</formula>
    </cfRule>
    <cfRule type="cellIs" dxfId="406" priority="21" operator="greaterThan">
      <formula>0</formula>
    </cfRule>
    <cfRule type="cellIs" dxfId="405" priority="22" operator="lessThan">
      <formula>0</formula>
    </cfRule>
    <cfRule type="cellIs" dxfId="404" priority="23" operator="greaterThan">
      <formula>0</formula>
    </cfRule>
  </conditionalFormatting>
  <conditionalFormatting sqref="E7:E84">
    <cfRule type="cellIs" dxfId="403" priority="7" operator="equal">
      <formula>"RECEITA"</formula>
    </cfRule>
    <cfRule type="cellIs" dxfId="402" priority="8" operator="equal">
      <formula>"DESPESA"</formula>
    </cfRule>
    <cfRule type="cellIs" dxfId="401" priority="9" operator="equal">
      <formula>"RECEITA"</formula>
    </cfRule>
    <cfRule type="cellIs" dxfId="400" priority="10" operator="equal">
      <formula>"DESPESA"</formula>
    </cfRule>
    <cfRule type="cellIs" dxfId="399" priority="11" operator="equal">
      <formula>"RECEITA"</formula>
    </cfRule>
    <cfRule type="cellIs" dxfId="398" priority="12" operator="equal">
      <formula>"DESPESA"</formula>
    </cfRule>
  </conditionalFormatting>
  <conditionalFormatting sqref="D7:D84">
    <cfRule type="cellIs" dxfId="397" priority="3" operator="equal">
      <formula>"RECEITA"</formula>
    </cfRule>
    <cfRule type="cellIs" dxfId="396" priority="4" operator="equal">
      <formula>"DESPESA"</formula>
    </cfRule>
    <cfRule type="cellIs" dxfId="395" priority="5" operator="equal">
      <formula>"RECEITA"</formula>
    </cfRule>
    <cfRule type="cellIs" dxfId="39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391" priority="36" operator="equal">
      <formula>"RECEITA"</formula>
    </cfRule>
    <cfRule type="cellIs" dxfId="390" priority="37" operator="equal">
      <formula>"DESPESA"</formula>
    </cfRule>
    <cfRule type="cellIs" dxfId="389" priority="38" operator="equal">
      <formula>"RECEITA"</formula>
    </cfRule>
    <cfRule type="cellIs" dxfId="388" priority="39" operator="equal">
      <formula>"DESPESA"</formula>
    </cfRule>
    <cfRule type="cellIs" dxfId="387" priority="40" operator="equal">
      <formula>"RECEITA"</formula>
    </cfRule>
    <cfRule type="cellIs" dxfId="386" priority="41" operator="equal">
      <formula>"DESPESA"</formula>
    </cfRule>
  </conditionalFormatting>
  <conditionalFormatting sqref="M8">
    <cfRule type="cellIs" dxfId="385" priority="30" operator="equal">
      <formula>"RECEITA"</formula>
    </cfRule>
    <cfRule type="cellIs" dxfId="384" priority="31" operator="equal">
      <formula>"DESPESA"</formula>
    </cfRule>
    <cfRule type="cellIs" dxfId="383" priority="32" operator="equal">
      <formula>"RECEITA"</formula>
    </cfRule>
    <cfRule type="cellIs" dxfId="382" priority="33" operator="equal">
      <formula>"DESPESA"</formula>
    </cfRule>
    <cfRule type="cellIs" dxfId="381" priority="34" operator="equal">
      <formula>"RECEITA"</formula>
    </cfRule>
    <cfRule type="cellIs" dxfId="380" priority="35" operator="equal">
      <formula>"DESPESA"</formula>
    </cfRule>
  </conditionalFormatting>
  <conditionalFormatting sqref="M9">
    <cfRule type="cellIs" dxfId="379" priority="24" operator="equal">
      <formula>"RECEITA"</formula>
    </cfRule>
    <cfRule type="cellIs" dxfId="378" priority="25" operator="equal">
      <formula>"DESPESA"</formula>
    </cfRule>
    <cfRule type="cellIs" dxfId="377" priority="26" operator="equal">
      <formula>"RECEITA"</formula>
    </cfRule>
    <cfRule type="cellIs" dxfId="376" priority="27" operator="equal">
      <formula>"DESPESA"</formula>
    </cfRule>
    <cfRule type="cellIs" dxfId="375" priority="28" operator="equal">
      <formula>"RECEITA"</formula>
    </cfRule>
    <cfRule type="cellIs" dxfId="374" priority="29" operator="equal">
      <formula>"DESPESA"</formula>
    </cfRule>
  </conditionalFormatting>
  <conditionalFormatting sqref="N10">
    <cfRule type="cellIs" dxfId="373" priority="19" operator="greaterThan">
      <formula>0</formula>
    </cfRule>
    <cfRule type="cellIs" dxfId="372" priority="20" operator="greaterThan">
      <formula>0</formula>
    </cfRule>
    <cfRule type="cellIs" dxfId="371" priority="21" operator="greaterThan">
      <formula>0</formula>
    </cfRule>
    <cfRule type="cellIs" dxfId="370" priority="22" operator="lessThan">
      <formula>0</formula>
    </cfRule>
    <cfRule type="cellIs" dxfId="369" priority="23" operator="greaterThan">
      <formula>0</formula>
    </cfRule>
  </conditionalFormatting>
  <conditionalFormatting sqref="E7:E84">
    <cfRule type="cellIs" dxfId="368" priority="7" operator="equal">
      <formula>"RECEITA"</formula>
    </cfRule>
    <cfRule type="cellIs" dxfId="367" priority="8" operator="equal">
      <formula>"DESPESA"</formula>
    </cfRule>
    <cfRule type="cellIs" dxfId="366" priority="9" operator="equal">
      <formula>"RECEITA"</formula>
    </cfRule>
    <cfRule type="cellIs" dxfId="365" priority="10" operator="equal">
      <formula>"DESPESA"</formula>
    </cfRule>
    <cfRule type="cellIs" dxfId="364" priority="11" operator="equal">
      <formula>"RECEITA"</formula>
    </cfRule>
    <cfRule type="cellIs" dxfId="363" priority="12" operator="equal">
      <formula>"DESPESA"</formula>
    </cfRule>
  </conditionalFormatting>
  <conditionalFormatting sqref="D7:D84">
    <cfRule type="cellIs" dxfId="362" priority="3" operator="equal">
      <formula>"RECEITA"</formula>
    </cfRule>
    <cfRule type="cellIs" dxfId="361" priority="4" operator="equal">
      <formula>"DESPESA"</formula>
    </cfRule>
    <cfRule type="cellIs" dxfId="360" priority="5" operator="equal">
      <formula>"RECEITA"</formula>
    </cfRule>
    <cfRule type="cellIs" dxfId="35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56" priority="36" operator="equal">
      <formula>"RECEITA"</formula>
    </cfRule>
    <cfRule type="cellIs" dxfId="355" priority="37" operator="equal">
      <formula>"DESPESA"</formula>
    </cfRule>
    <cfRule type="cellIs" dxfId="354" priority="38" operator="equal">
      <formula>"RECEITA"</formula>
    </cfRule>
    <cfRule type="cellIs" dxfId="353" priority="39" operator="equal">
      <formula>"DESPESA"</formula>
    </cfRule>
    <cfRule type="cellIs" dxfId="352" priority="40" operator="equal">
      <formula>"RECEITA"</formula>
    </cfRule>
    <cfRule type="cellIs" dxfId="351" priority="41" operator="equal">
      <formula>"DESPESA"</formula>
    </cfRule>
  </conditionalFormatting>
  <conditionalFormatting sqref="M8">
    <cfRule type="cellIs" dxfId="350" priority="30" operator="equal">
      <formula>"RECEITA"</formula>
    </cfRule>
    <cfRule type="cellIs" dxfId="349" priority="31" operator="equal">
      <formula>"DESPESA"</formula>
    </cfRule>
    <cfRule type="cellIs" dxfId="348" priority="32" operator="equal">
      <formula>"RECEITA"</formula>
    </cfRule>
    <cfRule type="cellIs" dxfId="347" priority="33" operator="equal">
      <formula>"DESPESA"</formula>
    </cfRule>
    <cfRule type="cellIs" dxfId="346" priority="34" operator="equal">
      <formula>"RECEITA"</formula>
    </cfRule>
    <cfRule type="cellIs" dxfId="345" priority="35" operator="equal">
      <formula>"DESPESA"</formula>
    </cfRule>
  </conditionalFormatting>
  <conditionalFormatting sqref="M9">
    <cfRule type="cellIs" dxfId="344" priority="24" operator="equal">
      <formula>"RECEITA"</formula>
    </cfRule>
    <cfRule type="cellIs" dxfId="343" priority="25" operator="equal">
      <formula>"DESPESA"</formula>
    </cfRule>
    <cfRule type="cellIs" dxfId="342" priority="26" operator="equal">
      <formula>"RECEITA"</formula>
    </cfRule>
    <cfRule type="cellIs" dxfId="341" priority="27" operator="equal">
      <formula>"DESPESA"</formula>
    </cfRule>
    <cfRule type="cellIs" dxfId="340" priority="28" operator="equal">
      <formula>"RECEITA"</formula>
    </cfRule>
    <cfRule type="cellIs" dxfId="339" priority="29" operator="equal">
      <formula>"DESPESA"</formula>
    </cfRule>
  </conditionalFormatting>
  <conditionalFormatting sqref="N10">
    <cfRule type="cellIs" dxfId="338" priority="19" operator="greaterThan">
      <formula>0</formula>
    </cfRule>
    <cfRule type="cellIs" dxfId="337" priority="20" operator="greaterThan">
      <formula>0</formula>
    </cfRule>
    <cfRule type="cellIs" dxfId="336" priority="21" operator="greaterThan">
      <formula>0</formula>
    </cfRule>
    <cfRule type="cellIs" dxfId="335" priority="22" operator="lessThan">
      <formula>0</formula>
    </cfRule>
    <cfRule type="cellIs" dxfId="334" priority="23" operator="greaterThan">
      <formula>0</formula>
    </cfRule>
  </conditionalFormatting>
  <conditionalFormatting sqref="E7:E84">
    <cfRule type="cellIs" dxfId="333" priority="7" operator="equal">
      <formula>"RECEITA"</formula>
    </cfRule>
    <cfRule type="cellIs" dxfId="332" priority="8" operator="equal">
      <formula>"DESPESA"</formula>
    </cfRule>
    <cfRule type="cellIs" dxfId="331" priority="9" operator="equal">
      <formula>"RECEITA"</formula>
    </cfRule>
    <cfRule type="cellIs" dxfId="330" priority="10" operator="equal">
      <formula>"DESPESA"</formula>
    </cfRule>
    <cfRule type="cellIs" dxfId="329" priority="11" operator="equal">
      <formula>"RECEITA"</formula>
    </cfRule>
    <cfRule type="cellIs" dxfId="328" priority="12" operator="equal">
      <formula>"DESPESA"</formula>
    </cfRule>
  </conditionalFormatting>
  <conditionalFormatting sqref="D7:D84">
    <cfRule type="cellIs" dxfId="327" priority="3" operator="equal">
      <formula>"RECEITA"</formula>
    </cfRule>
    <cfRule type="cellIs" dxfId="326" priority="4" operator="equal">
      <formula>"DESPESA"</formula>
    </cfRule>
    <cfRule type="cellIs" dxfId="325" priority="5" operator="equal">
      <formula>"RECEITA"</formula>
    </cfRule>
    <cfRule type="cellIs" dxfId="32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21" priority="36" operator="equal">
      <formula>"RECEITA"</formula>
    </cfRule>
    <cfRule type="cellIs" dxfId="320" priority="37" operator="equal">
      <formula>"DESPESA"</formula>
    </cfRule>
    <cfRule type="cellIs" dxfId="319" priority="38" operator="equal">
      <formula>"RECEITA"</formula>
    </cfRule>
    <cfRule type="cellIs" dxfId="318" priority="39" operator="equal">
      <formula>"DESPESA"</formula>
    </cfRule>
    <cfRule type="cellIs" dxfId="317" priority="40" operator="equal">
      <formula>"RECEITA"</formula>
    </cfRule>
    <cfRule type="cellIs" dxfId="316" priority="41" operator="equal">
      <formula>"DESPESA"</formula>
    </cfRule>
  </conditionalFormatting>
  <conditionalFormatting sqref="M8">
    <cfRule type="cellIs" dxfId="315" priority="30" operator="equal">
      <formula>"RECEITA"</formula>
    </cfRule>
    <cfRule type="cellIs" dxfId="314" priority="31" operator="equal">
      <formula>"DESPESA"</formula>
    </cfRule>
    <cfRule type="cellIs" dxfId="313" priority="32" operator="equal">
      <formula>"RECEITA"</formula>
    </cfRule>
    <cfRule type="cellIs" dxfId="312" priority="33" operator="equal">
      <formula>"DESPESA"</formula>
    </cfRule>
    <cfRule type="cellIs" dxfId="311" priority="34" operator="equal">
      <formula>"RECEITA"</formula>
    </cfRule>
    <cfRule type="cellIs" dxfId="310" priority="35" operator="equal">
      <formula>"DESPESA"</formula>
    </cfRule>
  </conditionalFormatting>
  <conditionalFormatting sqref="M9">
    <cfRule type="cellIs" dxfId="309" priority="24" operator="equal">
      <formula>"RECEITA"</formula>
    </cfRule>
    <cfRule type="cellIs" dxfId="308" priority="25" operator="equal">
      <formula>"DESPESA"</formula>
    </cfRule>
    <cfRule type="cellIs" dxfId="307" priority="26" operator="equal">
      <formula>"RECEITA"</formula>
    </cfRule>
    <cfRule type="cellIs" dxfId="306" priority="27" operator="equal">
      <formula>"DESPESA"</formula>
    </cfRule>
    <cfRule type="cellIs" dxfId="305" priority="28" operator="equal">
      <formula>"RECEITA"</formula>
    </cfRule>
    <cfRule type="cellIs" dxfId="304" priority="29" operator="equal">
      <formula>"DESPESA"</formula>
    </cfRule>
  </conditionalFormatting>
  <conditionalFormatting sqref="N10">
    <cfRule type="cellIs" dxfId="303" priority="19" operator="greaterThan">
      <formula>0</formula>
    </cfRule>
    <cfRule type="cellIs" dxfId="302" priority="20" operator="greaterThan">
      <formula>0</formula>
    </cfRule>
    <cfRule type="cellIs" dxfId="301" priority="21" operator="greaterThan">
      <formula>0</formula>
    </cfRule>
    <cfRule type="cellIs" dxfId="300" priority="22" operator="lessThan">
      <formula>0</formula>
    </cfRule>
    <cfRule type="cellIs" dxfId="299" priority="23" operator="greaterThan">
      <formula>0</formula>
    </cfRule>
  </conditionalFormatting>
  <conditionalFormatting sqref="E7:E84">
    <cfRule type="cellIs" dxfId="298" priority="7" operator="equal">
      <formula>"RECEITA"</formula>
    </cfRule>
    <cfRule type="cellIs" dxfId="297" priority="8" operator="equal">
      <formula>"DESPESA"</formula>
    </cfRule>
    <cfRule type="cellIs" dxfId="296" priority="9" operator="equal">
      <formula>"RECEITA"</formula>
    </cfRule>
    <cfRule type="cellIs" dxfId="295" priority="10" operator="equal">
      <formula>"DESPESA"</formula>
    </cfRule>
    <cfRule type="cellIs" dxfId="294" priority="11" operator="equal">
      <formula>"RECEITA"</formula>
    </cfRule>
    <cfRule type="cellIs" dxfId="293" priority="12" operator="equal">
      <formula>"DESPESA"</formula>
    </cfRule>
  </conditionalFormatting>
  <conditionalFormatting sqref="D7:D84">
    <cfRule type="cellIs" dxfId="292" priority="3" operator="equal">
      <formula>"RECEITA"</formula>
    </cfRule>
    <cfRule type="cellIs" dxfId="291" priority="4" operator="equal">
      <formula>"DESPESA"</formula>
    </cfRule>
    <cfRule type="cellIs" dxfId="290" priority="5" operator="equal">
      <formula>"RECEITA"</formula>
    </cfRule>
    <cfRule type="cellIs" dxfId="28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286" priority="36" operator="equal">
      <formula>"RECEITA"</formula>
    </cfRule>
    <cfRule type="cellIs" dxfId="285" priority="37" operator="equal">
      <formula>"DESPESA"</formula>
    </cfRule>
    <cfRule type="cellIs" dxfId="284" priority="38" operator="equal">
      <formula>"RECEITA"</formula>
    </cfRule>
    <cfRule type="cellIs" dxfId="283" priority="39" operator="equal">
      <formula>"DESPESA"</formula>
    </cfRule>
    <cfRule type="cellIs" dxfId="282" priority="40" operator="equal">
      <formula>"RECEITA"</formula>
    </cfRule>
    <cfRule type="cellIs" dxfId="281" priority="41" operator="equal">
      <formula>"DESPESA"</formula>
    </cfRule>
  </conditionalFormatting>
  <conditionalFormatting sqref="M8">
    <cfRule type="cellIs" dxfId="280" priority="30" operator="equal">
      <formula>"RECEITA"</formula>
    </cfRule>
    <cfRule type="cellIs" dxfId="279" priority="31" operator="equal">
      <formula>"DESPESA"</formula>
    </cfRule>
    <cfRule type="cellIs" dxfId="278" priority="32" operator="equal">
      <formula>"RECEITA"</formula>
    </cfRule>
    <cfRule type="cellIs" dxfId="277" priority="33" operator="equal">
      <formula>"DESPESA"</formula>
    </cfRule>
    <cfRule type="cellIs" dxfId="276" priority="34" operator="equal">
      <formula>"RECEITA"</formula>
    </cfRule>
    <cfRule type="cellIs" dxfId="275" priority="35" operator="equal">
      <formula>"DESPESA"</formula>
    </cfRule>
  </conditionalFormatting>
  <conditionalFormatting sqref="M9">
    <cfRule type="cellIs" dxfId="274" priority="24" operator="equal">
      <formula>"RECEITA"</formula>
    </cfRule>
    <cfRule type="cellIs" dxfId="273" priority="25" operator="equal">
      <formula>"DESPESA"</formula>
    </cfRule>
    <cfRule type="cellIs" dxfId="272" priority="26" operator="equal">
      <formula>"RECEITA"</formula>
    </cfRule>
    <cfRule type="cellIs" dxfId="271" priority="27" operator="equal">
      <formula>"DESPESA"</formula>
    </cfRule>
    <cfRule type="cellIs" dxfId="270" priority="28" operator="equal">
      <formula>"RECEITA"</formula>
    </cfRule>
    <cfRule type="cellIs" dxfId="269" priority="29" operator="equal">
      <formula>"DESPESA"</formula>
    </cfRule>
  </conditionalFormatting>
  <conditionalFormatting sqref="N10">
    <cfRule type="cellIs" dxfId="268" priority="19" operator="greaterThan">
      <formula>0</formula>
    </cfRule>
    <cfRule type="cellIs" dxfId="267" priority="20" operator="greaterThan">
      <formula>0</formula>
    </cfRule>
    <cfRule type="cellIs" dxfId="266" priority="21" operator="greaterThan">
      <formula>0</formula>
    </cfRule>
    <cfRule type="cellIs" dxfId="265" priority="22" operator="lessThan">
      <formula>0</formula>
    </cfRule>
    <cfRule type="cellIs" dxfId="264" priority="23" operator="greaterThan">
      <formula>0</formula>
    </cfRule>
  </conditionalFormatting>
  <conditionalFormatting sqref="E7:E84">
    <cfRule type="cellIs" dxfId="263" priority="7" operator="equal">
      <formula>"RECEITA"</formula>
    </cfRule>
    <cfRule type="cellIs" dxfId="262" priority="8" operator="equal">
      <formula>"DESPESA"</formula>
    </cfRule>
    <cfRule type="cellIs" dxfId="261" priority="9" operator="equal">
      <formula>"RECEITA"</formula>
    </cfRule>
    <cfRule type="cellIs" dxfId="260" priority="10" operator="equal">
      <formula>"DESPESA"</formula>
    </cfRule>
    <cfRule type="cellIs" dxfId="259" priority="11" operator="equal">
      <formula>"RECEITA"</formula>
    </cfRule>
    <cfRule type="cellIs" dxfId="258" priority="12" operator="equal">
      <formula>"DESPESA"</formula>
    </cfRule>
  </conditionalFormatting>
  <conditionalFormatting sqref="D7:D84">
    <cfRule type="cellIs" dxfId="257" priority="3" operator="equal">
      <formula>"RECEITA"</formula>
    </cfRule>
    <cfRule type="cellIs" dxfId="256" priority="4" operator="equal">
      <formula>"DESPESA"</formula>
    </cfRule>
    <cfRule type="cellIs" dxfId="255" priority="5" operator="equal">
      <formula>"RECEITA"</formula>
    </cfRule>
    <cfRule type="cellIs" dxfId="254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51" priority="36" operator="equal">
      <formula>"RECEITA"</formula>
    </cfRule>
    <cfRule type="cellIs" dxfId="250" priority="37" operator="equal">
      <formula>"DESPESA"</formula>
    </cfRule>
    <cfRule type="cellIs" dxfId="249" priority="38" operator="equal">
      <formula>"RECEITA"</formula>
    </cfRule>
    <cfRule type="cellIs" dxfId="248" priority="39" operator="equal">
      <formula>"DESPESA"</formula>
    </cfRule>
    <cfRule type="cellIs" dxfId="247" priority="40" operator="equal">
      <formula>"RECEITA"</formula>
    </cfRule>
    <cfRule type="cellIs" dxfId="246" priority="41" operator="equal">
      <formula>"DESPESA"</formula>
    </cfRule>
  </conditionalFormatting>
  <conditionalFormatting sqref="M8">
    <cfRule type="cellIs" dxfId="245" priority="30" operator="equal">
      <formula>"RECEITA"</formula>
    </cfRule>
    <cfRule type="cellIs" dxfId="244" priority="31" operator="equal">
      <formula>"DESPESA"</formula>
    </cfRule>
    <cfRule type="cellIs" dxfId="243" priority="32" operator="equal">
      <formula>"RECEITA"</formula>
    </cfRule>
    <cfRule type="cellIs" dxfId="242" priority="33" operator="equal">
      <formula>"DESPESA"</formula>
    </cfRule>
    <cfRule type="cellIs" dxfId="241" priority="34" operator="equal">
      <formula>"RECEITA"</formula>
    </cfRule>
    <cfRule type="cellIs" dxfId="240" priority="35" operator="equal">
      <formula>"DESPESA"</formula>
    </cfRule>
  </conditionalFormatting>
  <conditionalFormatting sqref="M9">
    <cfRule type="cellIs" dxfId="239" priority="24" operator="equal">
      <formula>"RECEITA"</formula>
    </cfRule>
    <cfRule type="cellIs" dxfId="238" priority="25" operator="equal">
      <formula>"DESPESA"</formula>
    </cfRule>
    <cfRule type="cellIs" dxfId="237" priority="26" operator="equal">
      <formula>"RECEITA"</formula>
    </cfRule>
    <cfRule type="cellIs" dxfId="236" priority="27" operator="equal">
      <formula>"DESPESA"</formula>
    </cfRule>
    <cfRule type="cellIs" dxfId="235" priority="28" operator="equal">
      <formula>"RECEITA"</formula>
    </cfRule>
    <cfRule type="cellIs" dxfId="234" priority="29" operator="equal">
      <formula>"DESPESA"</formula>
    </cfRule>
  </conditionalFormatting>
  <conditionalFormatting sqref="N10">
    <cfRule type="cellIs" dxfId="233" priority="19" operator="greaterThan">
      <formula>0</formula>
    </cfRule>
    <cfRule type="cellIs" dxfId="232" priority="20" operator="greaterThan">
      <formula>0</formula>
    </cfRule>
    <cfRule type="cellIs" dxfId="231" priority="21" operator="greaterThan">
      <formula>0</formula>
    </cfRule>
    <cfRule type="cellIs" dxfId="230" priority="22" operator="lessThan">
      <formula>0</formula>
    </cfRule>
    <cfRule type="cellIs" dxfId="229" priority="23" operator="greaterThan">
      <formula>0</formula>
    </cfRule>
  </conditionalFormatting>
  <conditionalFormatting sqref="E7:E84">
    <cfRule type="cellIs" dxfId="228" priority="7" operator="equal">
      <formula>"RECEITA"</formula>
    </cfRule>
    <cfRule type="cellIs" dxfId="227" priority="8" operator="equal">
      <formula>"DESPESA"</formula>
    </cfRule>
    <cfRule type="cellIs" dxfId="226" priority="9" operator="equal">
      <formula>"RECEITA"</formula>
    </cfRule>
    <cfRule type="cellIs" dxfId="225" priority="10" operator="equal">
      <formula>"DESPESA"</formula>
    </cfRule>
    <cfRule type="cellIs" dxfId="224" priority="11" operator="equal">
      <formula>"RECEITA"</formula>
    </cfRule>
    <cfRule type="cellIs" dxfId="223" priority="12" operator="equal">
      <formula>"DESPESA"</formula>
    </cfRule>
  </conditionalFormatting>
  <conditionalFormatting sqref="D7:D84">
    <cfRule type="cellIs" dxfId="222" priority="3" operator="equal">
      <formula>"RECEITA"</formula>
    </cfRule>
    <cfRule type="cellIs" dxfId="221" priority="4" operator="equal">
      <formula>"DESPESA"</formula>
    </cfRule>
    <cfRule type="cellIs" dxfId="220" priority="5" operator="equal">
      <formula>"RECEITA"</formula>
    </cfRule>
    <cfRule type="cellIs" dxfId="21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71" t="s">
        <v>14</v>
      </c>
      <c r="N7" s="7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16" priority="36" operator="equal">
      <formula>"RECEITA"</formula>
    </cfRule>
    <cfRule type="cellIs" dxfId="215" priority="37" operator="equal">
      <formula>"DESPESA"</formula>
    </cfRule>
    <cfRule type="cellIs" dxfId="214" priority="38" operator="equal">
      <formula>"RECEITA"</formula>
    </cfRule>
    <cfRule type="cellIs" dxfId="213" priority="39" operator="equal">
      <formula>"DESPESA"</formula>
    </cfRule>
    <cfRule type="cellIs" dxfId="212" priority="40" operator="equal">
      <formula>"RECEITA"</formula>
    </cfRule>
    <cfRule type="cellIs" dxfId="211" priority="41" operator="equal">
      <formula>"DESPESA"</formula>
    </cfRule>
  </conditionalFormatting>
  <conditionalFormatting sqref="M8">
    <cfRule type="cellIs" dxfId="210" priority="30" operator="equal">
      <formula>"RECEITA"</formula>
    </cfRule>
    <cfRule type="cellIs" dxfId="209" priority="31" operator="equal">
      <formula>"DESPESA"</formula>
    </cfRule>
    <cfRule type="cellIs" dxfId="208" priority="32" operator="equal">
      <formula>"RECEITA"</formula>
    </cfRule>
    <cfRule type="cellIs" dxfId="207" priority="33" operator="equal">
      <formula>"DESPESA"</formula>
    </cfRule>
    <cfRule type="cellIs" dxfId="206" priority="34" operator="equal">
      <formula>"RECEITA"</formula>
    </cfRule>
    <cfRule type="cellIs" dxfId="205" priority="35" operator="equal">
      <formula>"DESPESA"</formula>
    </cfRule>
  </conditionalFormatting>
  <conditionalFormatting sqref="M9">
    <cfRule type="cellIs" dxfId="204" priority="24" operator="equal">
      <formula>"RECEITA"</formula>
    </cfRule>
    <cfRule type="cellIs" dxfId="203" priority="25" operator="equal">
      <formula>"DESPESA"</formula>
    </cfRule>
    <cfRule type="cellIs" dxfId="202" priority="26" operator="equal">
      <formula>"RECEITA"</formula>
    </cfRule>
    <cfRule type="cellIs" dxfId="201" priority="27" operator="equal">
      <formula>"DESPESA"</formula>
    </cfRule>
    <cfRule type="cellIs" dxfId="200" priority="28" operator="equal">
      <formula>"RECEITA"</formula>
    </cfRule>
    <cfRule type="cellIs" dxfId="199" priority="29" operator="equal">
      <formula>"DESPESA"</formula>
    </cfRule>
  </conditionalFormatting>
  <conditionalFormatting sqref="N10">
    <cfRule type="cellIs" dxfId="198" priority="19" operator="greaterThan">
      <formula>0</formula>
    </cfRule>
    <cfRule type="cellIs" dxfId="197" priority="20" operator="greaterThan">
      <formula>0</formula>
    </cfRule>
    <cfRule type="cellIs" dxfId="196" priority="21" operator="greaterThan">
      <formula>0</formula>
    </cfRule>
    <cfRule type="cellIs" dxfId="195" priority="22" operator="lessThan">
      <formula>0</formula>
    </cfRule>
    <cfRule type="cellIs" dxfId="194" priority="23" operator="greaterThan">
      <formula>0</formula>
    </cfRule>
  </conditionalFormatting>
  <conditionalFormatting sqref="E7:E84">
    <cfRule type="cellIs" dxfId="193" priority="7" operator="equal">
      <formula>"RECEITA"</formula>
    </cfRule>
    <cfRule type="cellIs" dxfId="192" priority="8" operator="equal">
      <formula>"DESPESA"</formula>
    </cfRule>
    <cfRule type="cellIs" dxfId="191" priority="9" operator="equal">
      <formula>"RECEITA"</formula>
    </cfRule>
    <cfRule type="cellIs" dxfId="190" priority="10" operator="equal">
      <formula>"DESPESA"</formula>
    </cfRule>
    <cfRule type="cellIs" dxfId="189" priority="11" operator="equal">
      <formula>"RECEITA"</formula>
    </cfRule>
    <cfRule type="cellIs" dxfId="188" priority="12" operator="equal">
      <formula>"DESPESA"</formula>
    </cfRule>
  </conditionalFormatting>
  <conditionalFormatting sqref="D7:D84">
    <cfRule type="cellIs" dxfId="187" priority="3" operator="equal">
      <formula>"RECEITA"</formula>
    </cfRule>
    <cfRule type="cellIs" dxfId="186" priority="4" operator="equal">
      <formula>"DESPESA"</formula>
    </cfRule>
    <cfRule type="cellIs" dxfId="185" priority="5" operator="equal">
      <formula>"RECEITA"</formula>
    </cfRule>
    <cfRule type="cellIs" dxfId="18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72" t="s">
        <v>19</v>
      </c>
      <c r="D5" s="72"/>
      <c r="E5" s="72"/>
      <c r="F5" s="72"/>
      <c r="G5" s="72"/>
      <c r="H5" s="7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71" t="s">
        <v>14</v>
      </c>
      <c r="N7" s="71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81" priority="36" operator="equal">
      <formula>"RECEITA"</formula>
    </cfRule>
    <cfRule type="cellIs" dxfId="180" priority="37" operator="equal">
      <formula>"DESPESA"</formula>
    </cfRule>
    <cfRule type="cellIs" dxfId="179" priority="38" operator="equal">
      <formula>"RECEITA"</formula>
    </cfRule>
    <cfRule type="cellIs" dxfId="178" priority="39" operator="equal">
      <formula>"DESPESA"</formula>
    </cfRule>
    <cfRule type="cellIs" dxfId="177" priority="40" operator="equal">
      <formula>"RECEITA"</formula>
    </cfRule>
    <cfRule type="cellIs" dxfId="176" priority="41" operator="equal">
      <formula>"DESPESA"</formula>
    </cfRule>
  </conditionalFormatting>
  <conditionalFormatting sqref="M8">
    <cfRule type="cellIs" dxfId="175" priority="30" operator="equal">
      <formula>"RECEITA"</formula>
    </cfRule>
    <cfRule type="cellIs" dxfId="174" priority="31" operator="equal">
      <formula>"DESPESA"</formula>
    </cfRule>
    <cfRule type="cellIs" dxfId="173" priority="32" operator="equal">
      <formula>"RECEITA"</formula>
    </cfRule>
    <cfRule type="cellIs" dxfId="172" priority="33" operator="equal">
      <formula>"DESPESA"</formula>
    </cfRule>
    <cfRule type="cellIs" dxfId="171" priority="34" operator="equal">
      <formula>"RECEITA"</formula>
    </cfRule>
    <cfRule type="cellIs" dxfId="170" priority="35" operator="equal">
      <formula>"DESPESA"</formula>
    </cfRule>
  </conditionalFormatting>
  <conditionalFormatting sqref="M9">
    <cfRule type="cellIs" dxfId="169" priority="24" operator="equal">
      <formula>"RECEITA"</formula>
    </cfRule>
    <cfRule type="cellIs" dxfId="168" priority="25" operator="equal">
      <formula>"DESPESA"</formula>
    </cfRule>
    <cfRule type="cellIs" dxfId="167" priority="26" operator="equal">
      <formula>"RECEITA"</formula>
    </cfRule>
    <cfRule type="cellIs" dxfId="166" priority="27" operator="equal">
      <formula>"DESPESA"</formula>
    </cfRule>
    <cfRule type="cellIs" dxfId="165" priority="28" operator="equal">
      <formula>"RECEITA"</formula>
    </cfRule>
    <cfRule type="cellIs" dxfId="164" priority="29" operator="equal">
      <formula>"DESPESA"</formula>
    </cfRule>
  </conditionalFormatting>
  <conditionalFormatting sqref="N10">
    <cfRule type="cellIs" dxfId="163" priority="19" operator="greaterThan">
      <formula>0</formula>
    </cfRule>
    <cfRule type="cellIs" dxfId="162" priority="20" operator="greaterThan">
      <formula>0</formula>
    </cfRule>
    <cfRule type="cellIs" dxfId="161" priority="21" operator="greaterThan">
      <formula>0</formula>
    </cfRule>
    <cfRule type="cellIs" dxfId="160" priority="22" operator="lessThan">
      <formula>0</formula>
    </cfRule>
    <cfRule type="cellIs" dxfId="159" priority="23" operator="greaterThan">
      <formula>0</formula>
    </cfRule>
  </conditionalFormatting>
  <conditionalFormatting sqref="E7:E84">
    <cfRule type="cellIs" dxfId="158" priority="7" operator="equal">
      <formula>"RECEITA"</formula>
    </cfRule>
    <cfRule type="cellIs" dxfId="157" priority="8" operator="equal">
      <formula>"DESPESA"</formula>
    </cfRule>
    <cfRule type="cellIs" dxfId="156" priority="9" operator="equal">
      <formula>"RECEITA"</formula>
    </cfRule>
    <cfRule type="cellIs" dxfId="155" priority="10" operator="equal">
      <formula>"DESPESA"</formula>
    </cfRule>
    <cfRule type="cellIs" dxfId="154" priority="11" operator="equal">
      <formula>"RECEITA"</formula>
    </cfRule>
    <cfRule type="cellIs" dxfId="153" priority="12" operator="equal">
      <formula>"DESPESA"</formula>
    </cfRule>
  </conditionalFormatting>
  <conditionalFormatting sqref="D7:D84">
    <cfRule type="cellIs" dxfId="152" priority="3" operator="equal">
      <formula>"RECEITA"</formula>
    </cfRule>
    <cfRule type="cellIs" dxfId="151" priority="4" operator="equal">
      <formula>"DESPESA"</formula>
    </cfRule>
    <cfRule type="cellIs" dxfId="150" priority="5" operator="equal">
      <formula>"RECEITA"</formula>
    </cfRule>
    <cfRule type="cellIs" dxfId="149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P37"/>
  <sheetViews>
    <sheetView showGridLines="0" zoomScale="70" zoomScaleNormal="70" workbookViewId="0">
      <selection activeCell="C9" sqref="C9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23.25" x14ac:dyDescent="0.25">
      <c r="B7" s="13" t="s">
        <v>102</v>
      </c>
      <c r="C7" s="14" t="s">
        <v>20</v>
      </c>
      <c r="D7" s="14" t="s">
        <v>21</v>
      </c>
      <c r="E7" s="14" t="s">
        <v>22</v>
      </c>
      <c r="F7" s="14" t="s">
        <v>23</v>
      </c>
      <c r="G7" s="14" t="s">
        <v>24</v>
      </c>
      <c r="H7" s="14" t="s">
        <v>25</v>
      </c>
      <c r="I7" s="14" t="s">
        <v>26</v>
      </c>
      <c r="J7" s="14" t="s">
        <v>27</v>
      </c>
      <c r="K7" s="14" t="s">
        <v>28</v>
      </c>
      <c r="L7" s="14" t="s">
        <v>29</v>
      </c>
      <c r="M7" s="14" t="s">
        <v>30</v>
      </c>
      <c r="N7" s="14" t="s">
        <v>31</v>
      </c>
      <c r="O7" s="14" t="s">
        <v>37</v>
      </c>
      <c r="P7" s="14" t="s">
        <v>32</v>
      </c>
    </row>
    <row r="8" spans="2:16" ht="23.25" x14ac:dyDescent="0.25">
      <c r="B8" s="13" t="s">
        <v>33</v>
      </c>
      <c r="C8" s="47">
        <v>111</v>
      </c>
      <c r="D8" s="47">
        <f>C12</f>
        <v>411</v>
      </c>
      <c r="E8" s="47">
        <f t="shared" ref="E8:N8" si="0">D12</f>
        <v>1195</v>
      </c>
      <c r="F8" s="47">
        <f t="shared" si="0"/>
        <v>1393</v>
      </c>
      <c r="G8" s="47">
        <f t="shared" si="0"/>
        <v>1393</v>
      </c>
      <c r="H8" s="47">
        <f t="shared" si="0"/>
        <v>2567</v>
      </c>
      <c r="I8" s="47">
        <f t="shared" si="0"/>
        <v>2567</v>
      </c>
      <c r="J8" s="47">
        <f t="shared" si="0"/>
        <v>2957</v>
      </c>
      <c r="K8" s="47">
        <f t="shared" si="0"/>
        <v>2957</v>
      </c>
      <c r="L8" s="47">
        <f t="shared" si="0"/>
        <v>2351</v>
      </c>
      <c r="M8" s="47">
        <f t="shared" si="0"/>
        <v>904.60000000000036</v>
      </c>
      <c r="N8" s="47">
        <f t="shared" si="0"/>
        <v>618.93333333333396</v>
      </c>
      <c r="O8" s="47">
        <f>SUM(C8:N8)</f>
        <v>19425.533333333333</v>
      </c>
      <c r="P8" s="47">
        <f>C8</f>
        <v>111</v>
      </c>
    </row>
    <row r="9" spans="2:16" ht="23.25" x14ac:dyDescent="0.25">
      <c r="B9" s="13" t="s">
        <v>34</v>
      </c>
      <c r="C9" s="47">
        <f>SUMIFS(AUXILIAR!$G$6:$G$941,AUXILIAR!$O$6:$O$941,'FLUXO DE CAIXA (2)'!C$7,AUXILIAR!$I$6:$I$941,'FLUXO DE CAIXA (2)'!$B9)</f>
        <v>1505</v>
      </c>
      <c r="D9" s="47">
        <f>SUMIFS(AUXILIAR!$G$6:$G$941,AUXILIAR!$O$6:$O$941,'FLUXO DE CAIXA (2)'!D$7,AUXILIAR!$I$6:$I$941,'FLUXO DE CAIXA (2)'!$B9)</f>
        <v>1301</v>
      </c>
      <c r="E9" s="47">
        <f>SUMIFS(AUXILIAR!$G$6:$G$941,AUXILIAR!$O$6:$O$941,'FLUXO DE CAIXA (2)'!E$7,AUXILIAR!$I$6:$I$941,'FLUXO DE CAIXA (2)'!$B9)</f>
        <v>198</v>
      </c>
      <c r="F9" s="47">
        <f>SUMIFS(AUXILIAR!$G$6:$G$941,AUXILIAR!$O$6:$O$941,'FLUXO DE CAIXA (2)'!F$7,AUXILIAR!$I$6:$I$941,'FLUXO DE CAIXA (2)'!$B9)</f>
        <v>0</v>
      </c>
      <c r="G9" s="47">
        <f>SUMIFS(AUXILIAR!$G$6:$G$941,AUXILIAR!$O$6:$O$941,'FLUXO DE CAIXA (2)'!G$7,AUXILIAR!$I$6:$I$941,'FLUXO DE CAIXA (2)'!$B9)</f>
        <v>1174</v>
      </c>
      <c r="H9" s="47">
        <f>SUMIFS(AUXILIAR!$G$6:$G$941,AUXILIAR!$O$6:$O$941,'FLUXO DE CAIXA (2)'!H$7,AUXILIAR!$I$6:$I$941,'FLUXO DE CAIXA (2)'!$B9)</f>
        <v>0</v>
      </c>
      <c r="I9" s="47">
        <f>SUMIFS(AUXILIAR!$G$6:$G$941,AUXILIAR!$O$6:$O$941,'FLUXO DE CAIXA (2)'!I$7,AUXILIAR!$I$6:$I$941,'FLUXO DE CAIXA (2)'!$B9)</f>
        <v>490</v>
      </c>
      <c r="J9" s="47">
        <f>SUMIFS(AUXILIAR!$G$6:$G$941,AUXILIAR!$O$6:$O$941,'FLUXO DE CAIXA (2)'!J$7,AUXILIAR!$I$6:$I$941,'FLUXO DE CAIXA (2)'!$B9)</f>
        <v>9</v>
      </c>
      <c r="K9" s="47">
        <f>SUMIFS(AUXILIAR!$G$6:$G$941,AUXILIAR!$O$6:$O$941,'FLUXO DE CAIXA (2)'!K$7,AUXILIAR!$I$6:$I$941,'FLUXO DE CAIXA (2)'!$B9)</f>
        <v>13</v>
      </c>
      <c r="L9" s="47">
        <f>SUMIFS(AUXILIAR!$G$6:$G$941,AUXILIAR!$O$6:$O$941,'FLUXO DE CAIXA (2)'!L$7,AUXILIAR!$I$6:$I$941,'FLUXO DE CAIXA (2)'!$B9)</f>
        <v>40.8333333333333</v>
      </c>
      <c r="M9" s="47">
        <f>SUMIFS(AUXILIAR!$G$6:$G$941,AUXILIAR!$O$6:$O$941,'FLUXO DE CAIXA (2)'!M$7,AUXILIAR!$I$6:$I$941,'FLUXO DE CAIXA (2)'!$B9)</f>
        <v>486</v>
      </c>
      <c r="N9" s="47">
        <f>SUMIFS(AUXILIAR!$G$6:$G$941,AUXILIAR!$O$6:$O$941,'FLUXO DE CAIXA (2)'!N$7,AUXILIAR!$I$6:$I$941,'FLUXO DE CAIXA (2)'!$B9)</f>
        <v>8018</v>
      </c>
      <c r="O9" s="47">
        <f t="shared" ref="O9:O12" si="1">SUM(C9:N9)</f>
        <v>13234.833333333332</v>
      </c>
      <c r="P9" s="47">
        <f>SUM(C9:N9)</f>
        <v>13234.833333333332</v>
      </c>
    </row>
    <row r="10" spans="2:16" ht="23.25" x14ac:dyDescent="0.25">
      <c r="B10" s="13" t="s">
        <v>35</v>
      </c>
      <c r="C10" s="47">
        <f>SUMIFS(AUXILIAR!$G$6:$G$941,AUXILIAR!$O$6:$O$941,'FLUXO DE CAIXA (2)'!C$7,AUXILIAR!$I$6:$I$941,'FLUXO DE CAIXA (2)'!$B10)</f>
        <v>1205</v>
      </c>
      <c r="D10" s="47">
        <f>SUMIFS(AUXILIAR!$G$6:$G$941,AUXILIAR!$O$6:$O$941,'FLUXO DE CAIXA (2)'!D$7,AUXILIAR!$I$6:$I$941,'FLUXO DE CAIXA (2)'!$B10)</f>
        <v>517</v>
      </c>
      <c r="E10" s="47">
        <f>SUMIFS(AUXILIAR!$G$6:$G$941,AUXILIAR!$O$6:$O$941,'FLUXO DE CAIXA (2)'!E$7,AUXILIAR!$I$6:$I$941,'FLUXO DE CAIXA (2)'!$B10)</f>
        <v>0</v>
      </c>
      <c r="F10" s="47">
        <f>SUMIFS(AUXILIAR!$G$6:$G$941,AUXILIAR!$O$6:$O$941,'FLUXO DE CAIXA (2)'!F$7,AUXILIAR!$I$6:$I$941,'FLUXO DE CAIXA (2)'!$B10)</f>
        <v>0</v>
      </c>
      <c r="G10" s="47">
        <f>SUMIFS(AUXILIAR!$G$6:$G$941,AUXILIAR!$O$6:$O$941,'FLUXO DE CAIXA (2)'!G$7,AUXILIAR!$I$6:$I$941,'FLUXO DE CAIXA (2)'!$B10)</f>
        <v>0</v>
      </c>
      <c r="H10" s="47">
        <f>SUMIFS(AUXILIAR!$G$6:$G$941,AUXILIAR!$O$6:$O$941,'FLUXO DE CAIXA (2)'!H$7,AUXILIAR!$I$6:$I$941,'FLUXO DE CAIXA (2)'!$B10)</f>
        <v>0</v>
      </c>
      <c r="I10" s="47">
        <f>SUMIFS(AUXILIAR!$G$6:$G$941,AUXILIAR!$O$6:$O$941,'FLUXO DE CAIXA (2)'!I$7,AUXILIAR!$I$6:$I$941,'FLUXO DE CAIXA (2)'!$B10)</f>
        <v>100</v>
      </c>
      <c r="J10" s="47">
        <f>SUMIFS(AUXILIAR!$G$6:$G$941,AUXILIAR!$O$6:$O$941,'FLUXO DE CAIXA (2)'!J$7,AUXILIAR!$I$6:$I$941,'FLUXO DE CAIXA (2)'!$B10)</f>
        <v>9</v>
      </c>
      <c r="K10" s="47">
        <f>SUMIFS(AUXILIAR!$G$6:$G$941,AUXILIAR!$O$6:$O$941,'FLUXO DE CAIXA (2)'!K$7,AUXILIAR!$I$6:$I$941,'FLUXO DE CAIXA (2)'!$B10)</f>
        <v>619</v>
      </c>
      <c r="L10" s="47">
        <f>SUMIFS(AUXILIAR!$G$6:$G$941,AUXILIAR!$O$6:$O$941,'FLUXO DE CAIXA (2)'!L$7,AUXILIAR!$I$6:$I$941,'FLUXO DE CAIXA (2)'!$B10)</f>
        <v>1487.2333333333329</v>
      </c>
      <c r="M10" s="47">
        <f>SUMIFS(AUXILIAR!$G$6:$G$941,AUXILIAR!$O$6:$O$941,'FLUXO DE CAIXA (2)'!M$7,AUXILIAR!$I$6:$I$941,'FLUXO DE CAIXA (2)'!$B10)</f>
        <v>771.6666666666664</v>
      </c>
      <c r="N10" s="47">
        <f>SUMIFS(AUXILIAR!$G$6:$G$941,AUXILIAR!$O$6:$O$941,'FLUXO DE CAIXA (2)'!N$7,AUXILIAR!$I$6:$I$941,'FLUXO DE CAIXA (2)'!$B10)</f>
        <v>11535</v>
      </c>
      <c r="O10" s="47">
        <f t="shared" si="1"/>
        <v>16243.899999999998</v>
      </c>
      <c r="P10" s="47">
        <f>SUM(C10:N10)</f>
        <v>16243.899999999998</v>
      </c>
    </row>
    <row r="11" spans="2:16" ht="23.25" x14ac:dyDescent="0.25">
      <c r="B11" s="13" t="s">
        <v>15</v>
      </c>
      <c r="C11" s="47">
        <f>C9-C10</f>
        <v>300</v>
      </c>
      <c r="D11" s="47">
        <f t="shared" ref="D11:N11" si="2">D9-D10</f>
        <v>784</v>
      </c>
      <c r="E11" s="47">
        <f t="shared" si="2"/>
        <v>198</v>
      </c>
      <c r="F11" s="47">
        <f t="shared" si="2"/>
        <v>0</v>
      </c>
      <c r="G11" s="47">
        <f t="shared" si="2"/>
        <v>1174</v>
      </c>
      <c r="H11" s="47">
        <f t="shared" si="2"/>
        <v>0</v>
      </c>
      <c r="I11" s="47">
        <f t="shared" si="2"/>
        <v>390</v>
      </c>
      <c r="J11" s="47">
        <f t="shared" si="2"/>
        <v>0</v>
      </c>
      <c r="K11" s="47">
        <f t="shared" si="2"/>
        <v>-606</v>
      </c>
      <c r="L11" s="47">
        <f t="shared" si="2"/>
        <v>-1446.3999999999996</v>
      </c>
      <c r="M11" s="47">
        <f t="shared" si="2"/>
        <v>-285.6666666666664</v>
      </c>
      <c r="N11" s="47">
        <f t="shared" si="2"/>
        <v>-3517</v>
      </c>
      <c r="O11" s="47">
        <f t="shared" si="1"/>
        <v>-3009.0666666666662</v>
      </c>
      <c r="P11" s="47">
        <f>P9-P10</f>
        <v>-3009.0666666666657</v>
      </c>
    </row>
    <row r="12" spans="2:16" ht="23.25" x14ac:dyDescent="0.25">
      <c r="B12" s="13" t="s">
        <v>36</v>
      </c>
      <c r="C12" s="47">
        <f>C8+C11</f>
        <v>411</v>
      </c>
      <c r="D12" s="47">
        <f t="shared" ref="D12:N12" si="3">D8+D11</f>
        <v>1195</v>
      </c>
      <c r="E12" s="47">
        <f t="shared" si="3"/>
        <v>1393</v>
      </c>
      <c r="F12" s="47">
        <f t="shared" si="3"/>
        <v>1393</v>
      </c>
      <c r="G12" s="47">
        <f t="shared" si="3"/>
        <v>2567</v>
      </c>
      <c r="H12" s="47">
        <f t="shared" si="3"/>
        <v>2567</v>
      </c>
      <c r="I12" s="47">
        <f t="shared" si="3"/>
        <v>2957</v>
      </c>
      <c r="J12" s="47">
        <f t="shared" si="3"/>
        <v>2957</v>
      </c>
      <c r="K12" s="47">
        <f t="shared" si="3"/>
        <v>2351</v>
      </c>
      <c r="L12" s="47">
        <f t="shared" si="3"/>
        <v>904.60000000000036</v>
      </c>
      <c r="M12" s="47">
        <f t="shared" si="3"/>
        <v>618.93333333333396</v>
      </c>
      <c r="N12" s="47">
        <f t="shared" si="3"/>
        <v>-2898.0666666666662</v>
      </c>
      <c r="O12" s="47">
        <f t="shared" si="1"/>
        <v>16416.466666666667</v>
      </c>
      <c r="P12" s="47">
        <f>N12</f>
        <v>-2898.0666666666662</v>
      </c>
    </row>
    <row r="13" spans="2:16" ht="23.25" x14ac:dyDescent="0.35">
      <c r="E13" s="11"/>
    </row>
    <row r="14" spans="2:16" ht="30" customHeight="1" x14ac:dyDescent="0.25"/>
    <row r="15" spans="2:16" ht="53.25" customHeight="1" x14ac:dyDescent="0.25">
      <c r="B15" s="57" t="s">
        <v>104</v>
      </c>
      <c r="C15" s="46" t="s">
        <v>20</v>
      </c>
      <c r="D15" s="46" t="s">
        <v>21</v>
      </c>
      <c r="E15" s="46" t="s">
        <v>22</v>
      </c>
      <c r="F15" s="46" t="s">
        <v>23</v>
      </c>
      <c r="G15" s="46" t="s">
        <v>24</v>
      </c>
      <c r="H15" s="46" t="s">
        <v>25</v>
      </c>
      <c r="I15" s="46" t="s">
        <v>26</v>
      </c>
      <c r="J15" s="46" t="s">
        <v>27</v>
      </c>
      <c r="K15" s="46" t="s">
        <v>28</v>
      </c>
      <c r="L15" s="46" t="s">
        <v>29</v>
      </c>
      <c r="M15" s="46" t="s">
        <v>30</v>
      </c>
      <c r="N15" s="46" t="s">
        <v>31</v>
      </c>
      <c r="O15" s="46" t="s">
        <v>32</v>
      </c>
    </row>
    <row r="16" spans="2:16" ht="30" customHeight="1" x14ac:dyDescent="0.25">
      <c r="B16" s="57" t="s">
        <v>105</v>
      </c>
      <c r="C16" s="58">
        <f>SUMIFS(AUXILIAR!$G$6:$G$941,AUXILIAR!$I$6:$I$941,"RECEITAS",AUXILIAR!$P$6:$P$941,"NAO PAGO",AUXILIAR!$L$6:$L$941,'FLUXO DE CAIXA (2)'!C$15)</f>
        <v>18</v>
      </c>
      <c r="D16" s="58">
        <f>SUMIFS(AUXILIAR!$G$6:$G$941,AUXILIAR!$I$6:$I$941,"RECEITAS",AUXILIAR!$P$6:$P$941,"NAO PAGO",AUXILIAR!$L$6:$L$941,'FLUXO DE CAIXA (2)'!D$15)</f>
        <v>0</v>
      </c>
      <c r="E16" s="58">
        <f>SUMIFS(AUXILIAR!$G$6:$G$941,AUXILIAR!$I$6:$I$941,"RECEITAS",AUXILIAR!$P$6:$P$941,"NAO PAGO",AUXILIAR!$L$6:$L$941,'FLUXO DE CAIXA (2)'!E$15)</f>
        <v>0</v>
      </c>
      <c r="F16" s="58">
        <f>SUMIFS(AUXILIAR!$G$6:$G$941,AUXILIAR!$I$6:$I$941,"RECEITAS",AUXILIAR!$P$6:$P$941,"NAO PAGO",AUXILIAR!$L$6:$L$941,'FLUXO DE CAIXA (2)'!F$15)</f>
        <v>0</v>
      </c>
      <c r="G16" s="58">
        <f>SUMIFS(AUXILIAR!$G$6:$G$941,AUXILIAR!$I$6:$I$941,"RECEITAS",AUXILIAR!$P$6:$P$941,"NAO PAGO",AUXILIAR!$L$6:$L$941,'FLUXO DE CAIXA (2)'!G$15)</f>
        <v>0</v>
      </c>
      <c r="H16" s="58">
        <f>SUMIFS(AUXILIAR!$G$6:$G$941,AUXILIAR!$I$6:$I$941,"RECEITAS",AUXILIAR!$P$6:$P$941,"NAO PAGO",AUXILIAR!$L$6:$L$941,'FLUXO DE CAIXA (2)'!H$15)</f>
        <v>0</v>
      </c>
      <c r="I16" s="58">
        <f>SUMIFS(AUXILIAR!$G$6:$G$941,AUXILIAR!$I$6:$I$941,"RECEITAS",AUXILIAR!$P$6:$P$941,"NAO PAGO",AUXILIAR!$L$6:$L$941,'FLUXO DE CAIXA (2)'!I$15)</f>
        <v>0</v>
      </c>
      <c r="J16" s="58">
        <f>SUMIFS(AUXILIAR!$G$6:$G$941,AUXILIAR!$I$6:$I$941,"RECEITAS",AUXILIAR!$P$6:$P$941,"NAO PAGO",AUXILIAR!$L$6:$L$941,'FLUXO DE CAIXA (2)'!J$15)</f>
        <v>1</v>
      </c>
      <c r="K16" s="58">
        <f>SUMIFS(AUXILIAR!$G$6:$G$941,AUXILIAR!$I$6:$I$941,"RECEITAS",AUXILIAR!$P$6:$P$941,"NAO PAGO",AUXILIAR!$L$6:$L$941,'FLUXO DE CAIXA (2)'!K$15)</f>
        <v>0</v>
      </c>
      <c r="L16" s="58">
        <f>SUMIFS(AUXILIAR!$G$6:$G$941,AUXILIAR!$I$6:$I$941,"RECEITAS",AUXILIAR!$P$6:$P$941,"NAO PAGO",AUXILIAR!$L$6:$L$941,'FLUXO DE CAIXA (2)'!L$15)</f>
        <v>0</v>
      </c>
      <c r="M16" s="58">
        <f>SUMIFS(AUXILIAR!$G$6:$G$941,AUXILIAR!$I$6:$I$941,"RECEITAS",AUXILIAR!$P$6:$P$941,"NAO PAGO",AUXILIAR!$L$6:$L$941,'FLUXO DE CAIXA (2)'!M$15)</f>
        <v>0</v>
      </c>
      <c r="N16" s="58">
        <f>SUMIFS(AUXILIAR!$G$6:$G$941,AUXILIAR!$I$6:$I$941,"RECEITAS",AUXILIAR!$P$6:$P$941,"NAO PAGO",AUXILIAR!$L$6:$L$941,'FLUXO DE CAIXA (2)'!N$15)</f>
        <v>0</v>
      </c>
      <c r="O16" s="50">
        <f>SUM(C16:N16)</f>
        <v>19</v>
      </c>
    </row>
    <row r="17" spans="2:15" ht="30" customHeight="1" x14ac:dyDescent="0.25">
      <c r="B17" s="57" t="s">
        <v>56</v>
      </c>
      <c r="C17" s="58">
        <f>SUMIFS(AUXILIAR!$G$6:$G$941,AUXILIAR!$I$6:$I$941,"DESPESAS",AUXILIAR!$P$6:$P$941,"NAO PAGO",AUXILIAR!$L$6:$L$941,'FLUXO DE CAIXA (2)'!C$15)</f>
        <v>0</v>
      </c>
      <c r="D17" s="58">
        <f>SUMIFS(AUXILIAR!$G$6:$G$941,AUXILIAR!$I$6:$I$941,"DESPESAS",AUXILIAR!$P$6:$P$941,"NAO PAGO",AUXILIAR!$L$6:$L$941,'FLUXO DE CAIXA (2)'!D$15)</f>
        <v>0</v>
      </c>
      <c r="E17" s="58">
        <f>SUMIFS(AUXILIAR!$G$6:$G$941,AUXILIAR!$I$6:$I$941,"DESPESAS",AUXILIAR!$P$6:$P$941,"NAO PAGO",AUXILIAR!$L$6:$L$941,'FLUXO DE CAIXA (2)'!E$15)</f>
        <v>0</v>
      </c>
      <c r="F17" s="58">
        <f>SUMIFS(AUXILIAR!$G$6:$G$941,AUXILIAR!$I$6:$I$941,"DESPESAS",AUXILIAR!$P$6:$P$941,"NAO PAGO",AUXILIAR!$L$6:$L$941,'FLUXO DE CAIXA (2)'!F$15)</f>
        <v>0</v>
      </c>
      <c r="G17" s="58">
        <f>SUMIFS(AUXILIAR!$G$6:$G$941,AUXILIAR!$I$6:$I$941,"DESPESAS",AUXILIAR!$P$6:$P$941,"NAO PAGO",AUXILIAR!$L$6:$L$941,'FLUXO DE CAIXA (2)'!G$15)</f>
        <v>0</v>
      </c>
      <c r="H17" s="58">
        <f>SUMIFS(AUXILIAR!$G$6:$G$941,AUXILIAR!$I$6:$I$941,"DESPESAS",AUXILIAR!$P$6:$P$941,"NAO PAGO",AUXILIAR!$L$6:$L$941,'FLUXO DE CAIXA (2)'!H$15)</f>
        <v>0</v>
      </c>
      <c r="I17" s="58">
        <f>SUMIFS(AUXILIAR!$G$6:$G$941,AUXILIAR!$I$6:$I$941,"DESPESAS",AUXILIAR!$P$6:$P$941,"NAO PAGO",AUXILIAR!$L$6:$L$941,'FLUXO DE CAIXA (2)'!I$15)</f>
        <v>0</v>
      </c>
      <c r="J17" s="58">
        <f>SUMIFS(AUXILIAR!$G$6:$G$941,AUXILIAR!$I$6:$I$941,"DESPESAS",AUXILIAR!$P$6:$P$941,"NAO PAGO",AUXILIAR!$L$6:$L$941,'FLUXO DE CAIXA (2)'!J$15)</f>
        <v>26</v>
      </c>
      <c r="K17" s="58">
        <f>SUMIFS(AUXILIAR!$G$6:$G$941,AUXILIAR!$I$6:$I$941,"DESPESAS",AUXILIAR!$P$6:$P$941,"NAO PAGO",AUXILIAR!$L$6:$L$941,'FLUXO DE CAIXA (2)'!K$15)</f>
        <v>0</v>
      </c>
      <c r="L17" s="58">
        <f>SUMIFS(AUXILIAR!$G$6:$G$941,AUXILIAR!$I$6:$I$941,"DESPESAS",AUXILIAR!$P$6:$P$941,"NAO PAGO",AUXILIAR!$L$6:$L$941,'FLUXO DE CAIXA (2)'!L$15)</f>
        <v>19</v>
      </c>
      <c r="M17" s="58">
        <f>SUMIFS(AUXILIAR!$G$6:$G$941,AUXILIAR!$I$6:$I$941,"DESPESAS",AUXILIAR!$P$6:$P$941,"NAO PAGO",AUXILIAR!$L$6:$L$941,'FLUXO DE CAIXA (2)'!M$15)</f>
        <v>0</v>
      </c>
      <c r="N17" s="58">
        <f>SUMIFS(AUXILIAR!$G$6:$G$941,AUXILIAR!$I$6:$I$941,"DESPESAS",AUXILIAR!$P$6:$P$941,"NAO PAGO",AUXILIAR!$L$6:$L$941,'FLUXO DE CAIXA (2)'!N$15)</f>
        <v>0</v>
      </c>
      <c r="O17" s="50">
        <f t="shared" ref="O17" si="4">SUM(C17:N17)</f>
        <v>45</v>
      </c>
    </row>
    <row r="18" spans="2:15" ht="46.5" x14ac:dyDescent="0.25">
      <c r="B18" s="57" t="s">
        <v>106</v>
      </c>
      <c r="C18" s="58">
        <f>C16-C17</f>
        <v>18</v>
      </c>
      <c r="D18" s="58">
        <f t="shared" ref="D18:O18" si="5">D16-D17</f>
        <v>0</v>
      </c>
      <c r="E18" s="58">
        <f t="shared" si="5"/>
        <v>0</v>
      </c>
      <c r="F18" s="58">
        <f t="shared" si="5"/>
        <v>0</v>
      </c>
      <c r="G18" s="58">
        <f t="shared" si="5"/>
        <v>0</v>
      </c>
      <c r="H18" s="58">
        <f t="shared" si="5"/>
        <v>0</v>
      </c>
      <c r="I18" s="58">
        <f t="shared" si="5"/>
        <v>0</v>
      </c>
      <c r="J18" s="58">
        <f t="shared" si="5"/>
        <v>-25</v>
      </c>
      <c r="K18" s="58">
        <f t="shared" si="5"/>
        <v>0</v>
      </c>
      <c r="L18" s="58">
        <f t="shared" si="5"/>
        <v>-19</v>
      </c>
      <c r="M18" s="58">
        <f t="shared" si="5"/>
        <v>0</v>
      </c>
      <c r="N18" s="58">
        <f t="shared" si="5"/>
        <v>0</v>
      </c>
      <c r="O18" s="58">
        <f t="shared" si="5"/>
        <v>-26</v>
      </c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46" priority="11" operator="equal">
      <formula>"RECEITA"</formula>
    </cfRule>
    <cfRule type="cellIs" dxfId="145" priority="12" operator="equal">
      <formula>"DESPESA"</formula>
    </cfRule>
    <cfRule type="cellIs" dxfId="144" priority="13" operator="equal">
      <formula>"RECEITA"</formula>
    </cfRule>
    <cfRule type="cellIs" dxfId="143" priority="14" operator="equal">
      <formula>"DESPESA"</formula>
    </cfRule>
    <cfRule type="cellIs" dxfId="142" priority="15" operator="equal">
      <formula>"RECEITA"</formula>
    </cfRule>
    <cfRule type="cellIs" dxfId="141" priority="16" operator="equal">
      <formula>"DESPESA"</formula>
    </cfRule>
  </conditionalFormatting>
  <conditionalFormatting sqref="B9">
    <cfRule type="cellIs" dxfId="140" priority="5" operator="equal">
      <formula>"RECEITA"</formula>
    </cfRule>
    <cfRule type="cellIs" dxfId="139" priority="6" operator="equal">
      <formula>"DESPESA"</formula>
    </cfRule>
    <cfRule type="cellIs" dxfId="138" priority="7" operator="equal">
      <formula>"RECEITA"</formula>
    </cfRule>
    <cfRule type="cellIs" dxfId="137" priority="8" operator="equal">
      <formula>"DESPESA"</formula>
    </cfRule>
    <cfRule type="cellIs" dxfId="136" priority="9" operator="equal">
      <formula>"RECEITA"</formula>
    </cfRule>
    <cfRule type="cellIs" dxfId="135" priority="10" operator="equal">
      <formula>"DESPESA"</formula>
    </cfRule>
  </conditionalFormatting>
  <conditionalFormatting sqref="C11:O11">
    <cfRule type="cellIs" dxfId="134" priority="3" operator="lessThan">
      <formula>0</formula>
    </cfRule>
    <cfRule type="cellIs" dxfId="133" priority="4" operator="greaterThan">
      <formula>0</formula>
    </cfRule>
  </conditionalFormatting>
  <conditionalFormatting sqref="C12:P12">
    <cfRule type="cellIs" dxfId="132" priority="1" operator="lessThan">
      <formula>0</formula>
    </cfRule>
    <cfRule type="cellIs" dxfId="13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/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0" priority="13" operator="equal">
      <formula>"RECEITA"</formula>
    </cfRule>
    <cfRule type="cellIs" dxfId="129" priority="14" operator="equal">
      <formula>"DESPESA"</formula>
    </cfRule>
    <cfRule type="cellIs" dxfId="128" priority="15" operator="equal">
      <formula>"RECEITA"</formula>
    </cfRule>
    <cfRule type="cellIs" dxfId="127" priority="16" operator="equal">
      <formula>"DESPESA"</formula>
    </cfRule>
    <cfRule type="cellIs" dxfId="126" priority="17" operator="equal">
      <formula>"RECEITA"</formula>
    </cfRule>
    <cfRule type="cellIs" dxfId="125" priority="18" operator="equal">
      <formula>"DESPESA"</formula>
    </cfRule>
  </conditionalFormatting>
  <conditionalFormatting sqref="C11:O11 O18">
    <cfRule type="cellIs" dxfId="124" priority="5" operator="lessThan">
      <formula>0</formula>
    </cfRule>
    <cfRule type="cellIs" dxfId="123" priority="6" operator="greaterThan">
      <formula>0</formula>
    </cfRule>
  </conditionalFormatting>
  <conditionalFormatting sqref="C12:O12">
    <cfRule type="cellIs" dxfId="122" priority="3" operator="lessThan">
      <formula>0</formula>
    </cfRule>
    <cfRule type="cellIs" dxfId="121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 t="shared" ref="O11:O14" si="1"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 t="shared" si="1"/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2">D11-D12</f>
        <v>0</v>
      </c>
      <c r="E13" s="47">
        <f t="shared" si="2"/>
        <v>0</v>
      </c>
      <c r="F13" s="47">
        <f t="shared" si="2"/>
        <v>0</v>
      </c>
      <c r="G13" s="47">
        <f t="shared" si="2"/>
        <v>0</v>
      </c>
      <c r="H13" s="47">
        <f t="shared" si="2"/>
        <v>0</v>
      </c>
      <c r="I13" s="47">
        <f t="shared" si="2"/>
        <v>0</v>
      </c>
      <c r="J13" s="47">
        <f t="shared" si="2"/>
        <v>0</v>
      </c>
      <c r="K13" s="47">
        <f t="shared" si="2"/>
        <v>0</v>
      </c>
      <c r="L13" s="47">
        <f t="shared" si="2"/>
        <v>0</v>
      </c>
      <c r="M13" s="47">
        <f t="shared" si="2"/>
        <v>0</v>
      </c>
      <c r="N13" s="47">
        <f t="shared" si="2"/>
        <v>0</v>
      </c>
      <c r="O13" s="47">
        <f t="shared" si="1"/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3">D10+D13</f>
        <v>125</v>
      </c>
      <c r="E14" s="47">
        <f t="shared" si="3"/>
        <v>125</v>
      </c>
      <c r="F14" s="47">
        <f t="shared" si="3"/>
        <v>125</v>
      </c>
      <c r="G14" s="47">
        <f t="shared" si="3"/>
        <v>125</v>
      </c>
      <c r="H14" s="47">
        <f t="shared" si="3"/>
        <v>125</v>
      </c>
      <c r="I14" s="47">
        <f t="shared" si="3"/>
        <v>125</v>
      </c>
      <c r="J14" s="47">
        <f t="shared" si="3"/>
        <v>125</v>
      </c>
      <c r="K14" s="47">
        <f t="shared" si="3"/>
        <v>125</v>
      </c>
      <c r="L14" s="47">
        <f t="shared" si="3"/>
        <v>125</v>
      </c>
      <c r="M14" s="47">
        <f t="shared" si="3"/>
        <v>125</v>
      </c>
      <c r="N14" s="47">
        <f t="shared" si="3"/>
        <v>125</v>
      </c>
      <c r="O14" s="47">
        <f t="shared" si="1"/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 t="shared" ref="O19" si="4"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5">D18-D19</f>
        <v>0</v>
      </c>
      <c r="E20" s="58">
        <f t="shared" si="5"/>
        <v>0</v>
      </c>
      <c r="F20" s="58">
        <f t="shared" si="5"/>
        <v>0</v>
      </c>
      <c r="G20" s="58">
        <f t="shared" si="5"/>
        <v>0</v>
      </c>
      <c r="H20" s="58">
        <f t="shared" si="5"/>
        <v>0</v>
      </c>
      <c r="I20" s="58">
        <f t="shared" si="5"/>
        <v>0</v>
      </c>
      <c r="J20" s="58">
        <f t="shared" si="5"/>
        <v>0</v>
      </c>
      <c r="K20" s="58">
        <f t="shared" si="5"/>
        <v>0</v>
      </c>
      <c r="L20" s="58">
        <f t="shared" si="5"/>
        <v>0</v>
      </c>
      <c r="M20" s="58">
        <f t="shared" si="5"/>
        <v>0</v>
      </c>
      <c r="N20" s="58">
        <f t="shared" si="5"/>
        <v>0</v>
      </c>
      <c r="O20" s="58">
        <f t="shared" si="5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0" priority="11" operator="equal">
      <formula>"RECEITA"</formula>
    </cfRule>
    <cfRule type="cellIs" dxfId="119" priority="12" operator="equal">
      <formula>"DESPESA"</formula>
    </cfRule>
    <cfRule type="cellIs" dxfId="118" priority="13" operator="equal">
      <formula>"RECEITA"</formula>
    </cfRule>
    <cfRule type="cellIs" dxfId="117" priority="14" operator="equal">
      <formula>"DESPESA"</formula>
    </cfRule>
    <cfRule type="cellIs" dxfId="116" priority="15" operator="equal">
      <formula>"RECEITA"</formula>
    </cfRule>
    <cfRule type="cellIs" dxfId="115" priority="16" operator="equal">
      <formula>"DESPESA"</formula>
    </cfRule>
  </conditionalFormatting>
  <conditionalFormatting sqref="B11">
    <cfRule type="cellIs" dxfId="114" priority="5" operator="equal">
      <formula>"RECEITA"</formula>
    </cfRule>
    <cfRule type="cellIs" dxfId="113" priority="6" operator="equal">
      <formula>"DESPESA"</formula>
    </cfRule>
    <cfRule type="cellIs" dxfId="112" priority="7" operator="equal">
      <formula>"RECEITA"</formula>
    </cfRule>
    <cfRule type="cellIs" dxfId="111" priority="8" operator="equal">
      <formula>"DESPESA"</formula>
    </cfRule>
    <cfRule type="cellIs" dxfId="110" priority="9" operator="equal">
      <formula>"RECEITA"</formula>
    </cfRule>
    <cfRule type="cellIs" dxfId="109" priority="10" operator="equal">
      <formula>"DESPESA"</formula>
    </cfRule>
  </conditionalFormatting>
  <conditionalFormatting sqref="C13:O13">
    <cfRule type="cellIs" dxfId="108" priority="3" operator="lessThan">
      <formula>0</formula>
    </cfRule>
    <cfRule type="cellIs" dxfId="107" priority="4" operator="greaterThan">
      <formula>0</formula>
    </cfRule>
  </conditionalFormatting>
  <conditionalFormatting sqref="C14:P14">
    <cfRule type="cellIs" dxfId="106" priority="1" operator="lessThan">
      <formula>0</formula>
    </cfRule>
    <cfRule type="cellIs" dxfId="10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73" t="s">
        <v>60</v>
      </c>
      <c r="P7" s="73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/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 t="shared" ref="O8:O17" si="2"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3">SUM(D12:D15)</f>
        <v>0</v>
      </c>
      <c r="E11" s="21">
        <f t="shared" si="3"/>
        <v>0</v>
      </c>
      <c r="F11" s="21">
        <f t="shared" si="3"/>
        <v>0</v>
      </c>
      <c r="G11" s="21">
        <f t="shared" si="3"/>
        <v>0</v>
      </c>
      <c r="H11" s="21">
        <f t="shared" si="3"/>
        <v>0</v>
      </c>
      <c r="I11" s="21">
        <f t="shared" si="3"/>
        <v>0</v>
      </c>
      <c r="J11" s="21">
        <f t="shared" si="3"/>
        <v>0</v>
      </c>
      <c r="K11" s="21">
        <f t="shared" si="3"/>
        <v>0</v>
      </c>
      <c r="L11" s="21">
        <f t="shared" si="3"/>
        <v>0</v>
      </c>
      <c r="M11" s="21">
        <f t="shared" si="3"/>
        <v>0</v>
      </c>
      <c r="N11" s="21">
        <f t="shared" si="3"/>
        <v>0</v>
      </c>
      <c r="O11" s="20">
        <f t="shared" si="2"/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4">C8-C11</f>
        <v>0</v>
      </c>
      <c r="D16" s="20">
        <f t="shared" si="4"/>
        <v>0</v>
      </c>
      <c r="E16" s="20">
        <f t="shared" si="4"/>
        <v>0</v>
      </c>
      <c r="F16" s="20">
        <f t="shared" si="4"/>
        <v>0</v>
      </c>
      <c r="G16" s="20">
        <f t="shared" si="4"/>
        <v>0</v>
      </c>
      <c r="H16" s="20">
        <f t="shared" si="4"/>
        <v>0</v>
      </c>
      <c r="I16" s="20">
        <f t="shared" si="4"/>
        <v>0</v>
      </c>
      <c r="J16" s="20">
        <f t="shared" si="4"/>
        <v>0</v>
      </c>
      <c r="K16" s="20">
        <f t="shared" si="4"/>
        <v>0</v>
      </c>
      <c r="L16" s="20">
        <f t="shared" si="4"/>
        <v>0</v>
      </c>
      <c r="M16" s="20">
        <f t="shared" si="4"/>
        <v>0</v>
      </c>
      <c r="N16" s="20">
        <f t="shared" si="4"/>
        <v>0</v>
      </c>
      <c r="O16" s="20">
        <f t="shared" si="2"/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5">C7+C16</f>
        <v>0</v>
      </c>
      <c r="D17" s="20">
        <f t="shared" si="5"/>
        <v>0</v>
      </c>
      <c r="E17" s="20">
        <f t="shared" si="5"/>
        <v>0</v>
      </c>
      <c r="F17" s="20">
        <f t="shared" si="5"/>
        <v>0</v>
      </c>
      <c r="G17" s="20">
        <f t="shared" si="5"/>
        <v>0</v>
      </c>
      <c r="H17" s="20">
        <f t="shared" si="5"/>
        <v>0</v>
      </c>
      <c r="I17" s="20">
        <f t="shared" si="5"/>
        <v>0</v>
      </c>
      <c r="J17" s="20">
        <f t="shared" si="5"/>
        <v>0</v>
      </c>
      <c r="K17" s="20">
        <f t="shared" si="5"/>
        <v>0</v>
      </c>
      <c r="L17" s="20">
        <f t="shared" si="5"/>
        <v>0</v>
      </c>
      <c r="M17" s="20">
        <f t="shared" si="5"/>
        <v>0</v>
      </c>
      <c r="N17" s="20">
        <f t="shared" si="5"/>
        <v>0</v>
      </c>
      <c r="O17" s="20">
        <f t="shared" si="2"/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04" priority="11" operator="equal">
      <formula>"RECEITA"</formula>
    </cfRule>
    <cfRule type="cellIs" dxfId="103" priority="12" operator="equal">
      <formula>"DESPESA"</formula>
    </cfRule>
    <cfRule type="cellIs" dxfId="102" priority="13" operator="equal">
      <formula>"RECEITA"</formula>
    </cfRule>
    <cfRule type="cellIs" dxfId="101" priority="14" operator="equal">
      <formula>"DESPESA"</formula>
    </cfRule>
    <cfRule type="cellIs" dxfId="100" priority="15" operator="equal">
      <formula>"RECEITA"</formula>
    </cfRule>
    <cfRule type="cellIs" dxfId="99" priority="16" operator="equal">
      <formula>"DESPESA"</formula>
    </cfRule>
  </conditionalFormatting>
  <conditionalFormatting sqref="B8:B10">
    <cfRule type="cellIs" dxfId="98" priority="5" operator="equal">
      <formula>"RECEITA"</formula>
    </cfRule>
    <cfRule type="cellIs" dxfId="97" priority="6" operator="equal">
      <formula>"DESPESA"</formula>
    </cfRule>
    <cfRule type="cellIs" dxfId="96" priority="7" operator="equal">
      <formula>"RECEITA"</formula>
    </cfRule>
    <cfRule type="cellIs" dxfId="95" priority="8" operator="equal">
      <formula>"DESPESA"</formula>
    </cfRule>
    <cfRule type="cellIs" dxfId="94" priority="9" operator="equal">
      <formula>"RECEITA"</formula>
    </cfRule>
    <cfRule type="cellIs" dxfId="93" priority="10" operator="equal">
      <formula>"DESPESA"</formula>
    </cfRule>
  </conditionalFormatting>
  <conditionalFormatting sqref="C16:O16">
    <cfRule type="cellIs" dxfId="92" priority="3" operator="lessThan">
      <formula>0</formula>
    </cfRule>
    <cfRule type="cellIs" dxfId="91" priority="4" operator="greaterThan">
      <formula>0</formula>
    </cfRule>
  </conditionalFormatting>
  <conditionalFormatting sqref="C17:P17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 t="shared" ref="O11:O17" si="4"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5">D49</f>
        <v>4056</v>
      </c>
      <c r="E12" s="28">
        <f t="shared" si="5"/>
        <v>0</v>
      </c>
      <c r="F12" s="28">
        <f t="shared" si="5"/>
        <v>194.59999999999997</v>
      </c>
      <c r="G12" s="28">
        <f t="shared" si="5"/>
        <v>9232</v>
      </c>
      <c r="H12" s="28">
        <f t="shared" si="5"/>
        <v>5778.1666666666606</v>
      </c>
      <c r="I12" s="28">
        <f t="shared" si="5"/>
        <v>3755</v>
      </c>
      <c r="J12" s="28">
        <f t="shared" si="5"/>
        <v>272</v>
      </c>
      <c r="K12" s="28">
        <f t="shared" si="5"/>
        <v>13115</v>
      </c>
      <c r="L12" s="28">
        <f t="shared" si="5"/>
        <v>3867</v>
      </c>
      <c r="M12" s="28">
        <f t="shared" si="5"/>
        <v>3731</v>
      </c>
      <c r="N12" s="28">
        <f t="shared" si="5"/>
        <v>12226</v>
      </c>
      <c r="O12" s="28">
        <f t="shared" si="5"/>
        <v>80770.766666666663</v>
      </c>
      <c r="P12" s="28">
        <f t="shared" si="5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6">D62</f>
        <v>4067</v>
      </c>
      <c r="E13" s="28">
        <f t="shared" si="6"/>
        <v>0</v>
      </c>
      <c r="F13" s="28">
        <f t="shared" si="6"/>
        <v>195.59999999999997</v>
      </c>
      <c r="G13" s="28">
        <f t="shared" si="6"/>
        <v>9237</v>
      </c>
      <c r="H13" s="28">
        <f t="shared" si="6"/>
        <v>5766.3333333333276</v>
      </c>
      <c r="I13" s="28">
        <f t="shared" si="6"/>
        <v>3747</v>
      </c>
      <c r="J13" s="28">
        <f t="shared" si="6"/>
        <v>275</v>
      </c>
      <c r="K13" s="28">
        <f t="shared" si="6"/>
        <v>13107</v>
      </c>
      <c r="L13" s="28">
        <f t="shared" si="6"/>
        <v>3859</v>
      </c>
      <c r="M13" s="28">
        <f t="shared" si="6"/>
        <v>3723</v>
      </c>
      <c r="N13" s="28">
        <f t="shared" si="6"/>
        <v>12216</v>
      </c>
      <c r="O13" s="28">
        <f t="shared" si="6"/>
        <v>79811.933333333334</v>
      </c>
      <c r="P13" s="28">
        <f t="shared" si="6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7">D75</f>
        <v>3547</v>
      </c>
      <c r="E14" s="28">
        <f t="shared" si="7"/>
        <v>0</v>
      </c>
      <c r="F14" s="28">
        <f t="shared" si="7"/>
        <v>159.6</v>
      </c>
      <c r="G14" s="28">
        <f t="shared" si="7"/>
        <v>8093</v>
      </c>
      <c r="H14" s="28">
        <f t="shared" si="7"/>
        <v>5053.4999999999945</v>
      </c>
      <c r="I14" s="28">
        <f t="shared" si="7"/>
        <v>3384</v>
      </c>
      <c r="J14" s="28">
        <f t="shared" si="7"/>
        <v>246</v>
      </c>
      <c r="K14" s="28">
        <f t="shared" si="7"/>
        <v>11474</v>
      </c>
      <c r="L14" s="28">
        <f t="shared" si="7"/>
        <v>3382</v>
      </c>
      <c r="M14" s="28">
        <f t="shared" si="7"/>
        <v>3263</v>
      </c>
      <c r="N14" s="28">
        <f t="shared" si="7"/>
        <v>20696</v>
      </c>
      <c r="O14" s="28">
        <f t="shared" si="7"/>
        <v>79907.100000000006</v>
      </c>
      <c r="P14" s="28">
        <f t="shared" si="7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8">D88</f>
        <v>3535</v>
      </c>
      <c r="E15" s="28">
        <f t="shared" si="8"/>
        <v>0</v>
      </c>
      <c r="F15" s="28">
        <f t="shared" si="8"/>
        <v>169.39999999999998</v>
      </c>
      <c r="G15" s="28">
        <f t="shared" si="8"/>
        <v>8078</v>
      </c>
      <c r="H15" s="28">
        <f t="shared" si="8"/>
        <v>5041.1666666666615</v>
      </c>
      <c r="I15" s="28">
        <f t="shared" si="8"/>
        <v>3276</v>
      </c>
      <c r="J15" s="28">
        <f t="shared" si="8"/>
        <v>238</v>
      </c>
      <c r="K15" s="28">
        <f t="shared" si="8"/>
        <v>11466</v>
      </c>
      <c r="L15" s="28">
        <f t="shared" si="8"/>
        <v>3374</v>
      </c>
      <c r="M15" s="28">
        <f t="shared" si="8"/>
        <v>3255</v>
      </c>
      <c r="N15" s="28">
        <f t="shared" si="8"/>
        <v>10697</v>
      </c>
      <c r="O15" s="28">
        <f t="shared" si="8"/>
        <v>69730.566666666666</v>
      </c>
      <c r="P15" s="28">
        <f t="shared" si="8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9">SUM(D12:D15)</f>
        <v>15205</v>
      </c>
      <c r="E16" s="27">
        <f t="shared" si="9"/>
        <v>0</v>
      </c>
      <c r="F16" s="27">
        <f t="shared" si="9"/>
        <v>719.19999999999993</v>
      </c>
      <c r="G16" s="27">
        <f t="shared" si="9"/>
        <v>34640</v>
      </c>
      <c r="H16" s="27">
        <f t="shared" si="9"/>
        <v>21639.166666666646</v>
      </c>
      <c r="I16" s="27">
        <f t="shared" si="9"/>
        <v>14162</v>
      </c>
      <c r="J16" s="27">
        <f t="shared" si="9"/>
        <v>1031</v>
      </c>
      <c r="K16" s="27">
        <f t="shared" si="9"/>
        <v>49162</v>
      </c>
      <c r="L16" s="27">
        <f t="shared" si="9"/>
        <v>14482</v>
      </c>
      <c r="M16" s="27">
        <f t="shared" si="9"/>
        <v>13972</v>
      </c>
      <c r="N16" s="27">
        <f t="shared" si="9"/>
        <v>55835</v>
      </c>
      <c r="O16" s="27">
        <f t="shared" si="9"/>
        <v>310220.3666666667</v>
      </c>
      <c r="P16" s="27">
        <f t="shared" si="9"/>
        <v>310220.3666666667</v>
      </c>
    </row>
    <row r="17" spans="2:16" x14ac:dyDescent="0.25">
      <c r="B17" s="24" t="s">
        <v>15</v>
      </c>
      <c r="C17" s="28">
        <f t="shared" ref="C17:N17" si="10">C11-C16</f>
        <v>-45069</v>
      </c>
      <c r="D17" s="28">
        <f t="shared" si="10"/>
        <v>-7630</v>
      </c>
      <c r="E17" s="28">
        <f t="shared" si="10"/>
        <v>0</v>
      </c>
      <c r="F17" s="28">
        <f t="shared" si="10"/>
        <v>-356.2</v>
      </c>
      <c r="G17" s="28">
        <f t="shared" si="10"/>
        <v>-17330</v>
      </c>
      <c r="H17" s="28">
        <f t="shared" si="10"/>
        <v>-10836.666666666657</v>
      </c>
      <c r="I17" s="28">
        <f t="shared" si="10"/>
        <v>-7142</v>
      </c>
      <c r="J17" s="28">
        <f t="shared" si="10"/>
        <v>-521</v>
      </c>
      <c r="K17" s="28">
        <f t="shared" si="10"/>
        <v>-24592</v>
      </c>
      <c r="L17" s="28">
        <f t="shared" si="10"/>
        <v>-7248</v>
      </c>
      <c r="M17" s="28">
        <f t="shared" si="10"/>
        <v>-6988</v>
      </c>
      <c r="N17" s="28">
        <f t="shared" si="10"/>
        <v>-24929</v>
      </c>
      <c r="O17" s="28">
        <f t="shared" si="4"/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1">D17</f>
        <v>-7630</v>
      </c>
      <c r="E18" s="28">
        <f t="shared" si="11"/>
        <v>0</v>
      </c>
      <c r="F18" s="28">
        <f t="shared" si="11"/>
        <v>-356.2</v>
      </c>
      <c r="G18" s="28">
        <f t="shared" si="11"/>
        <v>-17330</v>
      </c>
      <c r="H18" s="28">
        <f t="shared" si="11"/>
        <v>-10836.666666666657</v>
      </c>
      <c r="I18" s="28">
        <f t="shared" si="11"/>
        <v>-7142</v>
      </c>
      <c r="J18" s="28">
        <f t="shared" si="11"/>
        <v>-521</v>
      </c>
      <c r="K18" s="28">
        <f t="shared" si="11"/>
        <v>-24592</v>
      </c>
      <c r="L18" s="28">
        <f t="shared" si="11"/>
        <v>-7248</v>
      </c>
      <c r="M18" s="28">
        <f t="shared" si="11"/>
        <v>-6988</v>
      </c>
      <c r="N18" s="28">
        <f t="shared" si="11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2">SUM(D23:D33)</f>
        <v>3535</v>
      </c>
      <c r="E22" s="27">
        <f t="shared" si="12"/>
        <v>0</v>
      </c>
      <c r="F22" s="27">
        <f t="shared" si="12"/>
        <v>169.39999999999998</v>
      </c>
      <c r="G22" s="27">
        <f t="shared" si="12"/>
        <v>8078</v>
      </c>
      <c r="H22" s="27">
        <f t="shared" si="12"/>
        <v>5041.1666666666615</v>
      </c>
      <c r="I22" s="27">
        <f t="shared" si="12"/>
        <v>3276</v>
      </c>
      <c r="J22" s="27">
        <f t="shared" si="12"/>
        <v>238</v>
      </c>
      <c r="K22" s="27">
        <f t="shared" si="12"/>
        <v>11466</v>
      </c>
      <c r="L22" s="27">
        <f t="shared" si="12"/>
        <v>3378</v>
      </c>
      <c r="M22" s="27">
        <f t="shared" si="12"/>
        <v>3255</v>
      </c>
      <c r="N22" s="27">
        <f t="shared" si="12"/>
        <v>16690</v>
      </c>
      <c r="O22" s="27">
        <f t="shared" si="12"/>
        <v>75846.566666666666</v>
      </c>
      <c r="P22" s="27">
        <f t="shared" si="12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3">SUM(C24:N24)</f>
        <v>100</v>
      </c>
      <c r="P24" s="26">
        <f t="shared" ref="P24:P33" si="14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3"/>
        <v>4</v>
      </c>
      <c r="P25" s="26">
        <f t="shared" si="14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3"/>
        <v>9960.366666666665</v>
      </c>
      <c r="P26" s="26">
        <f t="shared" si="14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3"/>
        <v>9960.366666666665</v>
      </c>
      <c r="P27" s="26">
        <f t="shared" si="14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3"/>
        <v>9960.366666666665</v>
      </c>
      <c r="P28" s="26">
        <f t="shared" si="14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3"/>
        <v>9960.366666666665</v>
      </c>
      <c r="P29" s="26">
        <f t="shared" si="14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3"/>
        <v>9960.366666666665</v>
      </c>
      <c r="P30" s="26">
        <f t="shared" si="14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3"/>
        <v>9960.366666666665</v>
      </c>
      <c r="P31" s="26">
        <f t="shared" si="14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3"/>
        <v>9960.366666666665</v>
      </c>
      <c r="P32" s="26">
        <f t="shared" si="14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3"/>
        <v>6001</v>
      </c>
      <c r="P33" s="26">
        <f t="shared" si="14"/>
        <v>6001</v>
      </c>
    </row>
    <row r="36" spans="2:16" x14ac:dyDescent="0.25">
      <c r="B36" s="24" t="str">
        <f>'plano de contas'!D7</f>
        <v>RECEITAS COM SERVIÇOS</v>
      </c>
      <c r="C36" s="27">
        <f>SUM(C37:C47)</f>
        <v>23584</v>
      </c>
      <c r="D36" s="27">
        <f t="shared" ref="D36" si="15">SUM(D37:D47)</f>
        <v>4040</v>
      </c>
      <c r="E36" s="27">
        <f t="shared" ref="E36" si="16">SUM(E37:E47)</f>
        <v>0</v>
      </c>
      <c r="F36" s="27">
        <f t="shared" ref="F36" si="17">SUM(F37:F47)</f>
        <v>193.59999999999997</v>
      </c>
      <c r="G36" s="27">
        <f t="shared" ref="G36" si="18">SUM(G37:G47)</f>
        <v>9232</v>
      </c>
      <c r="H36" s="27">
        <f t="shared" ref="H36" si="19">SUM(H37:H47)</f>
        <v>5761.3333333333276</v>
      </c>
      <c r="I36" s="27">
        <f t="shared" ref="I36" si="20">SUM(I37:I47)</f>
        <v>3744</v>
      </c>
      <c r="J36" s="27">
        <f t="shared" ref="J36" si="21">SUM(J37:J47)</f>
        <v>272</v>
      </c>
      <c r="K36" s="27">
        <f t="shared" ref="K36" si="22">SUM(K37:K47)</f>
        <v>13104</v>
      </c>
      <c r="L36" s="27">
        <f t="shared" ref="L36" si="23">SUM(L37:L47)</f>
        <v>3856</v>
      </c>
      <c r="M36" s="27">
        <f t="shared" ref="M36" si="24">SUM(M37:M47)</f>
        <v>3729</v>
      </c>
      <c r="N36" s="27">
        <f t="shared" ref="N36" si="25">SUM(N37:N47)</f>
        <v>14216</v>
      </c>
      <c r="O36" s="27">
        <f t="shared" ref="O36" si="26">SUM(O37:O47)</f>
        <v>81731.933333333334</v>
      </c>
      <c r="P36" s="27">
        <f t="shared" ref="P36" si="27">SUM(P37:P47)</f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28">SUM(C38:N38)</f>
        <v>33</v>
      </c>
      <c r="P38" s="26">
        <f t="shared" ref="P38:P47" si="29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28"/>
        <v>9960.366666666665</v>
      </c>
      <c r="P39" s="26">
        <f t="shared" si="29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28"/>
        <v>9960.366666666665</v>
      </c>
      <c r="P40" s="26">
        <f t="shared" si="29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28"/>
        <v>9960.366666666665</v>
      </c>
      <c r="P41" s="26">
        <f t="shared" si="29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28"/>
        <v>9960.366666666665</v>
      </c>
      <c r="P42" s="26">
        <f t="shared" si="29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28"/>
        <v>9960.366666666665</v>
      </c>
      <c r="P43" s="26">
        <f t="shared" si="29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28"/>
        <v>9960.366666666665</v>
      </c>
      <c r="P44" s="26">
        <f t="shared" si="29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28"/>
        <v>9960.366666666665</v>
      </c>
      <c r="P45" s="26">
        <f t="shared" si="29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28"/>
        <v>9960.366666666665</v>
      </c>
      <c r="P46" s="26">
        <f t="shared" si="29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28"/>
        <v>0</v>
      </c>
      <c r="P47" s="26">
        <f t="shared" si="29"/>
        <v>0</v>
      </c>
    </row>
    <row r="49" spans="2:16" x14ac:dyDescent="0.25">
      <c r="B49" s="24" t="str">
        <f>'plano de contas'!F7</f>
        <v>DESPESAS COM PRODUTOS</v>
      </c>
      <c r="C49" s="27">
        <f>SUM(C50:C60)</f>
        <v>24544</v>
      </c>
      <c r="D49" s="27">
        <f t="shared" ref="D49" si="30">SUM(D50:D60)</f>
        <v>4056</v>
      </c>
      <c r="E49" s="27">
        <f t="shared" ref="E49" si="31">SUM(E50:E60)</f>
        <v>0</v>
      </c>
      <c r="F49" s="27">
        <f t="shared" ref="F49" si="32">SUM(F50:F60)</f>
        <v>194.59999999999997</v>
      </c>
      <c r="G49" s="27">
        <f t="shared" ref="G49" si="33">SUM(G50:G60)</f>
        <v>9232</v>
      </c>
      <c r="H49" s="27">
        <f t="shared" ref="H49" si="34">SUM(H50:H60)</f>
        <v>5778.1666666666606</v>
      </c>
      <c r="I49" s="27">
        <f t="shared" ref="I49" si="35">SUM(I50:I60)</f>
        <v>3755</v>
      </c>
      <c r="J49" s="27">
        <f t="shared" ref="J49" si="36">SUM(J50:J60)</f>
        <v>272</v>
      </c>
      <c r="K49" s="27">
        <f t="shared" ref="K49" si="37">SUM(K50:K60)</f>
        <v>13115</v>
      </c>
      <c r="L49" s="27">
        <f t="shared" ref="L49" si="38">SUM(L50:L60)</f>
        <v>3867</v>
      </c>
      <c r="M49" s="27">
        <f t="shared" ref="M49" si="39">SUM(M50:M60)</f>
        <v>3731</v>
      </c>
      <c r="N49" s="27">
        <f t="shared" ref="N49" si="40">SUM(N50:N60)</f>
        <v>12226</v>
      </c>
      <c r="O49" s="27">
        <f t="shared" ref="O49" si="41">SUM(O50:O60)</f>
        <v>80770.766666666663</v>
      </c>
      <c r="P49" s="27">
        <f t="shared" ref="P49" si="42">SUM(P50:P60)</f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43">SUM(C51:N51)</f>
        <v>1082.8333333333333</v>
      </c>
      <c r="P51" s="26">
        <f t="shared" ref="P51:P60" si="44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43"/>
        <v>9960.366666666665</v>
      </c>
      <c r="P52" s="26">
        <f t="shared" si="44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43"/>
        <v>9960.366666666665</v>
      </c>
      <c r="P53" s="26">
        <f t="shared" si="44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43"/>
        <v>9960.366666666665</v>
      </c>
      <c r="P54" s="26">
        <f t="shared" si="44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43"/>
        <v>9960.366666666665</v>
      </c>
      <c r="P55" s="26">
        <f t="shared" si="44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43"/>
        <v>9960.366666666665</v>
      </c>
      <c r="P56" s="26">
        <f t="shared" si="44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43"/>
        <v>9960.366666666665</v>
      </c>
      <c r="P57" s="26">
        <f t="shared" si="44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43"/>
        <v>9960.366666666665</v>
      </c>
      <c r="P58" s="26">
        <f t="shared" si="44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43"/>
        <v>9960.366666666665</v>
      </c>
      <c r="P59" s="26">
        <f t="shared" si="44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43"/>
        <v>0</v>
      </c>
      <c r="P60" s="26">
        <f t="shared" si="44"/>
        <v>0</v>
      </c>
    </row>
    <row r="62" spans="2:16" x14ac:dyDescent="0.25">
      <c r="B62" s="24" t="str">
        <f>'plano de contas'!H7</f>
        <v>DESPESAS COM MARKETING</v>
      </c>
      <c r="C62" s="27">
        <f>SUM(C63:C73)</f>
        <v>23619</v>
      </c>
      <c r="D62" s="27">
        <f t="shared" ref="D62" si="45">SUM(D63:D73)</f>
        <v>4067</v>
      </c>
      <c r="E62" s="27">
        <f t="shared" ref="E62" si="46">SUM(E63:E73)</f>
        <v>0</v>
      </c>
      <c r="F62" s="27">
        <f t="shared" ref="F62" si="47">SUM(F63:F73)</f>
        <v>195.59999999999997</v>
      </c>
      <c r="G62" s="27">
        <f t="shared" ref="G62" si="48">SUM(G63:G73)</f>
        <v>9237</v>
      </c>
      <c r="H62" s="27">
        <f t="shared" ref="H62" si="49">SUM(H63:H73)</f>
        <v>5766.3333333333276</v>
      </c>
      <c r="I62" s="27">
        <f t="shared" ref="I62" si="50">SUM(I63:I73)</f>
        <v>3747</v>
      </c>
      <c r="J62" s="27">
        <f t="shared" ref="J62" si="51">SUM(J63:J73)</f>
        <v>275</v>
      </c>
      <c r="K62" s="27">
        <f t="shared" ref="K62" si="52">SUM(K63:K73)</f>
        <v>13107</v>
      </c>
      <c r="L62" s="27">
        <f t="shared" ref="L62" si="53">SUM(L63:L73)</f>
        <v>3859</v>
      </c>
      <c r="M62" s="27">
        <f t="shared" ref="M62" si="54">SUM(M63:M73)</f>
        <v>3723</v>
      </c>
      <c r="N62" s="27">
        <f t="shared" ref="N62" si="55">SUM(N63:N73)</f>
        <v>12216</v>
      </c>
      <c r="O62" s="27">
        <f t="shared" ref="O62" si="56">SUM(O63:O73)</f>
        <v>79811.933333333334</v>
      </c>
      <c r="P62" s="27">
        <f t="shared" ref="P62" si="57">SUM(P63:P73)</f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58">SUM(C64:N64)</f>
        <v>54</v>
      </c>
      <c r="P64" s="26">
        <f t="shared" ref="P64:P73" si="59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58"/>
        <v>9960.366666666665</v>
      </c>
      <c r="P65" s="26">
        <f t="shared" si="59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58"/>
        <v>9960.366666666665</v>
      </c>
      <c r="P66" s="26">
        <f t="shared" si="59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58"/>
        <v>9960.366666666665</v>
      </c>
      <c r="P67" s="26">
        <f t="shared" si="59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58"/>
        <v>9960.366666666665</v>
      </c>
      <c r="P68" s="26">
        <f t="shared" si="59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58"/>
        <v>9960.366666666665</v>
      </c>
      <c r="P69" s="26">
        <f t="shared" si="59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58"/>
        <v>9960.366666666665</v>
      </c>
      <c r="P70" s="26">
        <f t="shared" si="59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58"/>
        <v>9960.366666666665</v>
      </c>
      <c r="P71" s="26">
        <f t="shared" si="59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58"/>
        <v>9960.366666666665</v>
      </c>
      <c r="P72" s="26">
        <f t="shared" si="59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58"/>
        <v>0</v>
      </c>
      <c r="P73" s="26">
        <f t="shared" si="59"/>
        <v>0</v>
      </c>
    </row>
    <row r="75" spans="2:16" x14ac:dyDescent="0.25">
      <c r="B75" s="24" t="str">
        <f>'plano de contas'!J7</f>
        <v>DESPESAS COM RH</v>
      </c>
      <c r="C75" s="27">
        <f>SUM(C76:C86)</f>
        <v>20609</v>
      </c>
      <c r="D75" s="27">
        <f t="shared" ref="D75" si="60">SUM(D76:D86)</f>
        <v>3547</v>
      </c>
      <c r="E75" s="27">
        <f t="shared" ref="E75" si="61">SUM(E76:E86)</f>
        <v>0</v>
      </c>
      <c r="F75" s="27">
        <f t="shared" ref="F75" si="62">SUM(F76:F86)</f>
        <v>159.6</v>
      </c>
      <c r="G75" s="27">
        <f t="shared" ref="G75" si="63">SUM(G76:G86)</f>
        <v>8093</v>
      </c>
      <c r="H75" s="27">
        <f t="shared" ref="H75" si="64">SUM(H76:H86)</f>
        <v>5053.4999999999945</v>
      </c>
      <c r="I75" s="27">
        <f t="shared" ref="I75" si="65">SUM(I76:I86)</f>
        <v>3384</v>
      </c>
      <c r="J75" s="27">
        <f t="shared" ref="J75" si="66">SUM(J76:J86)</f>
        <v>246</v>
      </c>
      <c r="K75" s="27">
        <f t="shared" ref="K75" si="67">SUM(K76:K86)</f>
        <v>11474</v>
      </c>
      <c r="L75" s="27">
        <f t="shared" ref="L75" si="68">SUM(L76:L86)</f>
        <v>3382</v>
      </c>
      <c r="M75" s="27">
        <f t="shared" ref="M75" si="69">SUM(M76:M86)</f>
        <v>3263</v>
      </c>
      <c r="N75" s="27">
        <f t="shared" ref="N75" si="70">SUM(N76:N86)</f>
        <v>20696</v>
      </c>
      <c r="O75" s="27">
        <f t="shared" ref="O75" si="71">SUM(O76:O86)</f>
        <v>79907.100000000006</v>
      </c>
      <c r="P75" s="27">
        <f t="shared" ref="P75" si="72">SUM(P76:P86)</f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73">SUM(C77:N77)</f>
        <v>0</v>
      </c>
      <c r="P77" s="26">
        <f t="shared" ref="P77:P86" si="74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73"/>
        <v>72.533333333333303</v>
      </c>
      <c r="P78" s="26">
        <f t="shared" si="74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73"/>
        <v>9960.366666666665</v>
      </c>
      <c r="P79" s="26">
        <f t="shared" si="74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73"/>
        <v>9960.366666666665</v>
      </c>
      <c r="P80" s="26">
        <f t="shared" si="74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73"/>
        <v>9960.366666666665</v>
      </c>
      <c r="P81" s="26">
        <f t="shared" si="74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73"/>
        <v>9960.366666666665</v>
      </c>
      <c r="P82" s="26">
        <f t="shared" si="74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73"/>
        <v>9960.366666666665</v>
      </c>
      <c r="P83" s="26">
        <f t="shared" si="74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73"/>
        <v>9960.366666666665</v>
      </c>
      <c r="P84" s="26">
        <f t="shared" si="74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73"/>
        <v>9960.366666666665</v>
      </c>
      <c r="P85" s="26">
        <f t="shared" si="74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73"/>
        <v>100</v>
      </c>
      <c r="P86" s="26">
        <f t="shared" si="74"/>
        <v>100</v>
      </c>
    </row>
    <row r="88" spans="2:16" x14ac:dyDescent="0.25">
      <c r="B88" s="24" t="str">
        <f>'plano de contas'!L7</f>
        <v>DESPESAS OPERACIONAIS</v>
      </c>
      <c r="C88" s="22">
        <f>SUM(C89:C99)</f>
        <v>20601</v>
      </c>
      <c r="D88" s="22">
        <f t="shared" ref="D88" si="75">SUM(D89:D99)</f>
        <v>3535</v>
      </c>
      <c r="E88" s="22">
        <f t="shared" ref="E88" si="76">SUM(E89:E99)</f>
        <v>0</v>
      </c>
      <c r="F88" s="22">
        <f t="shared" ref="F88" si="77">SUM(F89:F99)</f>
        <v>169.39999999999998</v>
      </c>
      <c r="G88" s="22">
        <f t="shared" ref="G88" si="78">SUM(G89:G99)</f>
        <v>8078</v>
      </c>
      <c r="H88" s="22">
        <f t="shared" ref="H88" si="79">SUM(H89:H99)</f>
        <v>5041.1666666666615</v>
      </c>
      <c r="I88" s="22">
        <f t="shared" ref="I88" si="80">SUM(I89:I99)</f>
        <v>3276</v>
      </c>
      <c r="J88" s="22">
        <f t="shared" ref="J88" si="81">SUM(J89:J99)</f>
        <v>238</v>
      </c>
      <c r="K88" s="22">
        <f t="shared" ref="K88" si="82">SUM(K89:K99)</f>
        <v>11466</v>
      </c>
      <c r="L88" s="22">
        <f t="shared" ref="L88" si="83">SUM(L89:L99)</f>
        <v>3374</v>
      </c>
      <c r="M88" s="22">
        <f t="shared" ref="M88" si="84">SUM(M89:M99)</f>
        <v>3255</v>
      </c>
      <c r="N88" s="22">
        <f t="shared" ref="N88" si="85">SUM(N89:N99)</f>
        <v>10697</v>
      </c>
      <c r="O88" s="22">
        <f t="shared" ref="O88" si="86">SUM(O89:O99)</f>
        <v>69730.566666666666</v>
      </c>
      <c r="P88" s="22">
        <f t="shared" ref="P88" si="87">SUM(P89:P99)</f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88">SUM(C90:N90)</f>
        <v>0</v>
      </c>
      <c r="P90" s="23">
        <f t="shared" ref="P90:P99" si="89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88"/>
        <v>0</v>
      </c>
      <c r="P91" s="23">
        <f t="shared" si="89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88"/>
        <v>9960.366666666665</v>
      </c>
      <c r="P92" s="23">
        <f t="shared" si="89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88"/>
        <v>9960.366666666665</v>
      </c>
      <c r="P93" s="23">
        <f t="shared" si="89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88"/>
        <v>9960.366666666665</v>
      </c>
      <c r="P94" s="23">
        <f t="shared" si="89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88"/>
        <v>9960.366666666665</v>
      </c>
      <c r="P95" s="23">
        <f t="shared" si="89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88"/>
        <v>9960.366666666665</v>
      </c>
      <c r="P96" s="23">
        <f t="shared" si="89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88"/>
        <v>9960.366666666665</v>
      </c>
      <c r="P97" s="23">
        <f t="shared" si="89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88"/>
        <v>9960.366666666665</v>
      </c>
      <c r="P98" s="23">
        <f t="shared" si="89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88"/>
        <v>0</v>
      </c>
      <c r="P99" s="23">
        <f t="shared" si="89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88" priority="92" operator="equal">
      <formula>"RECEITA"</formula>
    </cfRule>
    <cfRule type="cellIs" dxfId="87" priority="93" operator="equal">
      <formula>"DESPESA"</formula>
    </cfRule>
    <cfRule type="cellIs" dxfId="86" priority="94" operator="equal">
      <formula>"RECEITA"</formula>
    </cfRule>
    <cfRule type="cellIs" dxfId="85" priority="95" operator="equal">
      <formula>"DESPESA"</formula>
    </cfRule>
    <cfRule type="cellIs" dxfId="84" priority="96" operator="equal">
      <formula>"RECEITA"</formula>
    </cfRule>
    <cfRule type="cellIs" dxfId="83" priority="97" operator="equal">
      <formula>"DESPESA"</formula>
    </cfRule>
  </conditionalFormatting>
  <conditionalFormatting sqref="B11:B15">
    <cfRule type="cellIs" dxfId="82" priority="86" operator="equal">
      <formula>"RECEITA"</formula>
    </cfRule>
    <cfRule type="cellIs" dxfId="81" priority="87" operator="equal">
      <formula>"DESPESA"</formula>
    </cfRule>
    <cfRule type="cellIs" dxfId="80" priority="88" operator="equal">
      <formula>"RECEITA"</formula>
    </cfRule>
    <cfRule type="cellIs" dxfId="79" priority="89" operator="equal">
      <formula>"DESPESA"</formula>
    </cfRule>
    <cfRule type="cellIs" dxfId="78" priority="90" operator="equal">
      <formula>"RECEITA"</formula>
    </cfRule>
    <cfRule type="cellIs" dxfId="77" priority="91" operator="equal">
      <formula>"DESPESA"</formula>
    </cfRule>
  </conditionalFormatting>
  <conditionalFormatting sqref="C17:E18">
    <cfRule type="cellIs" dxfId="76" priority="84" operator="lessThan">
      <formula>0</formula>
    </cfRule>
    <cfRule type="cellIs" dxfId="75" priority="85" operator="greaterThan">
      <formula>0</formula>
    </cfRule>
  </conditionalFormatting>
  <conditionalFormatting sqref="C18:E18">
    <cfRule type="cellIs" dxfId="74" priority="82" operator="lessThan">
      <formula>0</formula>
    </cfRule>
    <cfRule type="cellIs" dxfId="73" priority="83" operator="greaterThan">
      <formula>0</formula>
    </cfRule>
  </conditionalFormatting>
  <conditionalFormatting sqref="B21">
    <cfRule type="cellIs" dxfId="72" priority="60" operator="equal">
      <formula>"RECEITA"</formula>
    </cfRule>
    <cfRule type="cellIs" dxfId="71" priority="61" operator="equal">
      <formula>"DESPESA"</formula>
    </cfRule>
    <cfRule type="cellIs" dxfId="70" priority="62" operator="equal">
      <formula>"RECEITA"</formula>
    </cfRule>
    <cfRule type="cellIs" dxfId="69" priority="63" operator="equal">
      <formula>"DESPESA"</formula>
    </cfRule>
    <cfRule type="cellIs" dxfId="68" priority="64" operator="equal">
      <formula>"RECEITA"</formula>
    </cfRule>
    <cfRule type="cellIs" dxfId="67" priority="65" operator="equal">
      <formula>"DESPESA"</formula>
    </cfRule>
  </conditionalFormatting>
  <conditionalFormatting sqref="B22:B33">
    <cfRule type="cellIs" dxfId="66" priority="54" operator="equal">
      <formula>"RECEITA"</formula>
    </cfRule>
    <cfRule type="cellIs" dxfId="65" priority="55" operator="equal">
      <formula>"DESPESA"</formula>
    </cfRule>
    <cfRule type="cellIs" dxfId="64" priority="56" operator="equal">
      <formula>"RECEITA"</formula>
    </cfRule>
    <cfRule type="cellIs" dxfId="63" priority="57" operator="equal">
      <formula>"DESPESA"</formula>
    </cfRule>
    <cfRule type="cellIs" dxfId="62" priority="58" operator="equal">
      <formula>"RECEITA"</formula>
    </cfRule>
    <cfRule type="cellIs" dxfId="61" priority="59" operator="equal">
      <formula>"DESPESA"</formula>
    </cfRule>
  </conditionalFormatting>
  <conditionalFormatting sqref="B36">
    <cfRule type="cellIs" dxfId="60" priority="48" operator="equal">
      <formula>"RECEITA"</formula>
    </cfRule>
    <cfRule type="cellIs" dxfId="59" priority="49" operator="equal">
      <formula>"DESPESA"</formula>
    </cfRule>
    <cfRule type="cellIs" dxfId="58" priority="50" operator="equal">
      <formula>"RECEITA"</formula>
    </cfRule>
    <cfRule type="cellIs" dxfId="57" priority="51" operator="equal">
      <formula>"DESPESA"</formula>
    </cfRule>
    <cfRule type="cellIs" dxfId="56" priority="52" operator="equal">
      <formula>"RECEITA"</formula>
    </cfRule>
    <cfRule type="cellIs" dxfId="55" priority="53" operator="equal">
      <formula>"DESPESA"</formula>
    </cfRule>
  </conditionalFormatting>
  <conditionalFormatting sqref="B37:B47">
    <cfRule type="cellIs" dxfId="54" priority="42" operator="equal">
      <formula>"RECEITA"</formula>
    </cfRule>
    <cfRule type="cellIs" dxfId="53" priority="43" operator="equal">
      <formula>"DESPESA"</formula>
    </cfRule>
    <cfRule type="cellIs" dxfId="52" priority="44" operator="equal">
      <formula>"RECEITA"</formula>
    </cfRule>
    <cfRule type="cellIs" dxfId="51" priority="45" operator="equal">
      <formula>"DESPESA"</formula>
    </cfRule>
    <cfRule type="cellIs" dxfId="50" priority="46" operator="equal">
      <formula>"RECEITA"</formula>
    </cfRule>
    <cfRule type="cellIs" dxfId="49" priority="47" operator="equal">
      <formula>"DESPESA"</formula>
    </cfRule>
  </conditionalFormatting>
  <conditionalFormatting sqref="B49:B60">
    <cfRule type="cellIs" dxfId="48" priority="36" operator="equal">
      <formula>"RECEITA"</formula>
    </cfRule>
    <cfRule type="cellIs" dxfId="47" priority="37" operator="equal">
      <formula>"DESPESA"</formula>
    </cfRule>
    <cfRule type="cellIs" dxfId="46" priority="38" operator="equal">
      <formula>"RECEITA"</formula>
    </cfRule>
    <cfRule type="cellIs" dxfId="45" priority="39" operator="equal">
      <formula>"DESPESA"</formula>
    </cfRule>
    <cfRule type="cellIs" dxfId="44" priority="40" operator="equal">
      <formula>"RECEITA"</formula>
    </cfRule>
    <cfRule type="cellIs" dxfId="43" priority="41" operator="equal">
      <formula>"DESPESA"</formula>
    </cfRule>
  </conditionalFormatting>
  <conditionalFormatting sqref="B88:B99">
    <cfRule type="cellIs" dxfId="42" priority="12" operator="equal">
      <formula>"RECEITA"</formula>
    </cfRule>
    <cfRule type="cellIs" dxfId="41" priority="13" operator="equal">
      <formula>"DESPESA"</formula>
    </cfRule>
    <cfRule type="cellIs" dxfId="40" priority="14" operator="equal">
      <formula>"RECEITA"</formula>
    </cfRule>
    <cfRule type="cellIs" dxfId="39" priority="15" operator="equal">
      <formula>"DESPESA"</formula>
    </cfRule>
    <cfRule type="cellIs" dxfId="38" priority="16" operator="equal">
      <formula>"RECEITA"</formula>
    </cfRule>
    <cfRule type="cellIs" dxfId="37" priority="17" operator="equal">
      <formula>"DESPESA"</formula>
    </cfRule>
  </conditionalFormatting>
  <conditionalFormatting sqref="B62:B73">
    <cfRule type="cellIs" dxfId="36" priority="24" operator="equal">
      <formula>"RECEITA"</formula>
    </cfRule>
    <cfRule type="cellIs" dxfId="35" priority="25" operator="equal">
      <formula>"DESPESA"</formula>
    </cfRule>
    <cfRule type="cellIs" dxfId="34" priority="26" operator="equal">
      <formula>"RECEITA"</formula>
    </cfRule>
    <cfRule type="cellIs" dxfId="33" priority="27" operator="equal">
      <formula>"DESPESA"</formula>
    </cfRule>
    <cfRule type="cellIs" dxfId="32" priority="28" operator="equal">
      <formula>"RECEITA"</formula>
    </cfRule>
    <cfRule type="cellIs" dxfId="31" priority="29" operator="equal">
      <formula>"DESPESA"</formula>
    </cfRule>
  </conditionalFormatting>
  <conditionalFormatting sqref="B75:B86">
    <cfRule type="cellIs" dxfId="30" priority="18" operator="equal">
      <formula>"RECEITA"</formula>
    </cfRule>
    <cfRule type="cellIs" dxfId="29" priority="19" operator="equal">
      <formula>"DESPESA"</formula>
    </cfRule>
    <cfRule type="cellIs" dxfId="28" priority="20" operator="equal">
      <formula>"RECEITA"</formula>
    </cfRule>
    <cfRule type="cellIs" dxfId="27" priority="21" operator="equal">
      <formula>"DESPESA"</formula>
    </cfRule>
    <cfRule type="cellIs" dxfId="26" priority="22" operator="equal">
      <formula>"RECEITA"</formula>
    </cfRule>
    <cfRule type="cellIs" dxfId="25" priority="23" operator="equal">
      <formula>"DESPESA"</formula>
    </cfRule>
  </conditionalFormatting>
  <conditionalFormatting sqref="C17:E18">
    <cfRule type="cellIs" dxfId="24" priority="11" operator="equal">
      <formula>0</formula>
    </cfRule>
  </conditionalFormatting>
  <conditionalFormatting sqref="F17:P18">
    <cfRule type="cellIs" dxfId="23" priority="4" operator="lessThan">
      <formula>0</formula>
    </cfRule>
    <cfRule type="cellIs" dxfId="22" priority="5" operator="greaterThan">
      <formula>0</formula>
    </cfRule>
  </conditionalFormatting>
  <conditionalFormatting sqref="F17:P18">
    <cfRule type="cellIs" dxfId="21" priority="2" operator="lessThan">
      <formula>0</formula>
    </cfRule>
    <cfRule type="cellIs" dxfId="20" priority="3" operator="greaterThan">
      <formula>0</formula>
    </cfRule>
  </conditionalFormatting>
  <conditionalFormatting sqref="F17:P18">
    <cfRule type="cellIs" dxfId="19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/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76"/>
      <c r="E5" s="76"/>
      <c r="F5" s="56" t="s">
        <v>28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1</v>
      </c>
      <c r="D8" s="53">
        <f>SUMIFS(AUXILIAR!$G$6:$G$941,AUXILIAR!$M$6:$M$941,'FC-DIARIO'!$B8,AUXILIAR!$I$6:$I$941,'FC-DIARIO'!D$7,AUXILIAR!$O$6:$O$941,'FC-DIARIO'!$F$5)</f>
        <v>0</v>
      </c>
      <c r="E8" s="54">
        <f>C8-D8</f>
        <v>1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0</v>
      </c>
      <c r="I8" s="53">
        <f>SUMIFS(AUXILIAR!$G$6:$G$941,AUXILIAR!$M$6:$M$941,'FC-DIARIO'!$G8,AUXILIAR!$I$6:$I$941,'FC-DIARIO'!I$7,AUXILIAR!$O$6:$O$941,'FC-DIARIO'!$F$5)</f>
        <v>12</v>
      </c>
      <c r="J8" s="54">
        <f>H8-I8</f>
        <v>-12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0</v>
      </c>
      <c r="N8" s="53">
        <f>SUMIFS(AUXILIAR!$G$6:$G$941,AUXILIAR!$M$6:$M$941,'FC-DIARIO'!$L8,AUXILIAR!$I$6:$I$941,'FC-DIARIO'!N$7,AUXILIAR!$O$6:$O$941,'FC-DIARIO'!$F$5)</f>
        <v>23</v>
      </c>
      <c r="O8" s="54">
        <f>M8-N8</f>
        <v>-23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2</v>
      </c>
      <c r="E9" s="54">
        <f t="shared" ref="E9:E18" si="0">C9-D9</f>
        <v>-2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13</v>
      </c>
      <c r="J9" s="54">
        <f t="shared" ref="J9:J18" si="1">H9-I9</f>
        <v>-13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0</v>
      </c>
      <c r="N9" s="53">
        <f>SUMIFS(AUXILIAR!$G$6:$G$941,AUXILIAR!$M$6:$M$941,'FC-DIARIO'!$L9,AUXILIAR!$I$6:$I$941,'FC-DIARIO'!N$7,AUXILIAR!$O$6:$O$941,'FC-DIARIO'!$F$5)</f>
        <v>49</v>
      </c>
      <c r="O9" s="54">
        <f t="shared" ref="O9:O16" si="2">M9-N9</f>
        <v>-49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3</v>
      </c>
      <c r="D10" s="53">
        <f>SUMIFS(AUXILIAR!$G$6:$G$941,AUXILIAR!$M$6:$M$941,'FC-DIARIO'!$B10,AUXILIAR!$I$6:$I$941,'FC-DIARIO'!D$7,AUXILIAR!$O$6:$O$941,'FC-DIARIO'!$F$5)</f>
        <v>0</v>
      </c>
      <c r="E10" s="54">
        <f t="shared" si="0"/>
        <v>3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14</v>
      </c>
      <c r="J10" s="54">
        <f t="shared" si="1"/>
        <v>-14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0</v>
      </c>
      <c r="N10" s="53">
        <f>SUMIFS(AUXILIAR!$G$6:$G$941,AUXILIAR!$M$6:$M$941,'FC-DIARIO'!$L10,AUXILIAR!$I$6:$I$941,'FC-DIARIO'!N$7,AUXILIAR!$O$6:$O$941,'FC-DIARIO'!$F$5)</f>
        <v>51</v>
      </c>
      <c r="O10" s="54">
        <f t="shared" si="2"/>
        <v>-51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</v>
      </c>
      <c r="E11" s="54">
        <f t="shared" si="0"/>
        <v>-4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15</v>
      </c>
      <c r="J11" s="54">
        <f t="shared" si="1"/>
        <v>-15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0</v>
      </c>
      <c r="N11" s="53">
        <f>SUMIFS(AUXILIAR!$G$6:$G$941,AUXILIAR!$M$6:$M$941,'FC-DIARIO'!$L11,AUXILIAR!$I$6:$I$941,'FC-DIARIO'!N$7,AUXILIAR!$O$6:$O$941,'FC-DIARIO'!$F$5)</f>
        <v>53</v>
      </c>
      <c r="O11" s="54">
        <f t="shared" si="2"/>
        <v>-53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5</v>
      </c>
      <c r="E12" s="54">
        <f t="shared" si="0"/>
        <v>-5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16</v>
      </c>
      <c r="J12" s="54">
        <f t="shared" si="1"/>
        <v>-16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0</v>
      </c>
      <c r="N12" s="53">
        <f>SUMIFS(AUXILIAR!$G$6:$G$941,AUXILIAR!$M$6:$M$941,'FC-DIARIO'!$L12,AUXILIAR!$I$6:$I$941,'FC-DIARIO'!N$7,AUXILIAR!$O$6:$O$941,'FC-DIARIO'!$F$5)</f>
        <v>55</v>
      </c>
      <c r="O12" s="54">
        <f t="shared" si="2"/>
        <v>-55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6</v>
      </c>
      <c r="E13" s="54">
        <f t="shared" si="0"/>
        <v>-6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17</v>
      </c>
      <c r="J13" s="54">
        <f t="shared" si="1"/>
        <v>-17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0</v>
      </c>
      <c r="N13" s="53">
        <f>SUMIFS(AUXILIAR!$G$6:$G$941,AUXILIAR!$M$6:$M$941,'FC-DIARIO'!$L13,AUXILIAR!$I$6:$I$941,'FC-DIARIO'!N$7,AUXILIAR!$O$6:$O$941,'FC-DIARIO'!$F$5)</f>
        <v>57</v>
      </c>
      <c r="O13" s="54">
        <f t="shared" si="2"/>
        <v>-57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7</v>
      </c>
      <c r="E14" s="54">
        <f t="shared" si="0"/>
        <v>-7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18</v>
      </c>
      <c r="J14" s="54">
        <f t="shared" si="1"/>
        <v>-18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0</v>
      </c>
      <c r="N14" s="53">
        <f>SUMIFS(AUXILIAR!$G$6:$G$941,AUXILIAR!$M$6:$M$941,'FC-DIARIO'!$L14,AUXILIAR!$I$6:$I$941,'FC-DIARIO'!N$7,AUXILIAR!$O$6:$O$941,'FC-DIARIO'!$F$5)</f>
        <v>59</v>
      </c>
      <c r="O14" s="54">
        <f t="shared" si="2"/>
        <v>-59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8</v>
      </c>
      <c r="E15" s="54">
        <f t="shared" si="0"/>
        <v>-8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19</v>
      </c>
      <c r="J15" s="54">
        <f t="shared" si="1"/>
        <v>-19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0</v>
      </c>
      <c r="N15" s="53">
        <f>SUMIFS(AUXILIAR!$G$6:$G$941,AUXILIAR!$M$6:$M$941,'FC-DIARIO'!$L15,AUXILIAR!$I$6:$I$941,'FC-DIARIO'!N$7,AUXILIAR!$O$6:$O$941,'FC-DIARIO'!$F$5)</f>
        <v>32</v>
      </c>
      <c r="O15" s="54">
        <f t="shared" si="2"/>
        <v>-32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9</v>
      </c>
      <c r="D16" s="53">
        <f>SUMIFS(AUXILIAR!$G$6:$G$941,AUXILIAR!$M$6:$M$941,'FC-DIARIO'!$B16,AUXILIAR!$I$6:$I$941,'FC-DIARIO'!D$7,AUXILIAR!$O$6:$O$941,'FC-DIARIO'!$F$5)</f>
        <v>0</v>
      </c>
      <c r="E16" s="54">
        <f t="shared" si="0"/>
        <v>9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0</v>
      </c>
      <c r="I16" s="53">
        <f>SUMIFS(AUXILIAR!$G$6:$G$941,AUXILIAR!$M$6:$M$941,'FC-DIARIO'!$G16,AUXILIAR!$I$6:$I$941,'FC-DIARIO'!I$7,AUXILIAR!$O$6:$O$941,'FC-DIARIO'!$F$5)</f>
        <v>20</v>
      </c>
      <c r="J16" s="54">
        <f t="shared" si="1"/>
        <v>-20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0</v>
      </c>
      <c r="N16" s="53">
        <f>SUMIFS(AUXILIAR!$G$6:$G$941,AUXILIAR!$M$6:$M$941,'FC-DIARIO'!$L16,AUXILIAR!$I$6:$I$941,'FC-DIARIO'!N$7,AUXILIAR!$O$6:$O$941,'FC-DIARIO'!$F$5)</f>
        <v>0</v>
      </c>
      <c r="O16" s="54">
        <f t="shared" si="2"/>
        <v>0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10</v>
      </c>
      <c r="E17" s="54">
        <f t="shared" si="0"/>
        <v>-10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0</v>
      </c>
      <c r="I17" s="53">
        <f>SUMIFS(AUXILIAR!$G$6:$G$941,AUXILIAR!$M$6:$M$941,'FC-DIARIO'!$G17,AUXILIAR!$I$6:$I$941,'FC-DIARIO'!I$7,AUXILIAR!$O$6:$O$941,'FC-DIARIO'!$F$5)</f>
        <v>21</v>
      </c>
      <c r="J17" s="54">
        <f t="shared" si="1"/>
        <v>-21</v>
      </c>
      <c r="K17" s="55"/>
      <c r="L17" s="74" t="s">
        <v>32</v>
      </c>
      <c r="M17" s="75">
        <f>SUM(M8:M16,H8:H18,C8:C18)</f>
        <v>13</v>
      </c>
      <c r="N17" s="75">
        <f>SUM(N8:N16,I8:I18,D8:D18)</f>
        <v>619</v>
      </c>
      <c r="O17" s="75">
        <f>M17-N17</f>
        <v>-606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11</v>
      </c>
      <c r="E18" s="54">
        <f t="shared" si="0"/>
        <v>-11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0</v>
      </c>
      <c r="I18" s="53">
        <f>SUMIFS(AUXILIAR!$G$6:$G$941,AUXILIAR!$M$6:$M$941,'FC-DIARIO'!$G18,AUXILIAR!$I$6:$I$941,'FC-DIARIO'!I$7,AUXILIAR!$O$6:$O$941,'FC-DIARIO'!$F$5)</f>
        <v>22</v>
      </c>
      <c r="J18" s="54">
        <f t="shared" si="1"/>
        <v>-22</v>
      </c>
      <c r="K18" s="55"/>
      <c r="L18" s="75"/>
      <c r="M18" s="75"/>
      <c r="N18" s="75"/>
      <c r="O18" s="75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18" priority="53" operator="lessThan">
      <formula>0</formula>
    </cfRule>
    <cfRule type="cellIs" dxfId="17" priority="54" operator="greaterThan">
      <formula>0</formula>
    </cfRule>
  </conditionalFormatting>
  <conditionalFormatting sqref="F12 K12">
    <cfRule type="cellIs" dxfId="16" priority="51" operator="lessThan">
      <formula>0</formula>
    </cfRule>
    <cfRule type="cellIs" dxfId="15" priority="52" operator="greaterThan">
      <formula>0</formula>
    </cfRule>
  </conditionalFormatting>
  <conditionalFormatting sqref="E8:E18">
    <cfRule type="cellIs" dxfId="14" priority="20" operator="lessThan">
      <formula>0</formula>
    </cfRule>
    <cfRule type="cellIs" dxfId="13" priority="21" operator="greaterThan">
      <formula>0</formula>
    </cfRule>
  </conditionalFormatting>
  <conditionalFormatting sqref="E8:E18">
    <cfRule type="cellIs" dxfId="12" priority="19" operator="equal">
      <formula>0</formula>
    </cfRule>
  </conditionalFormatting>
  <conditionalFormatting sqref="J8:J18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J8:J18">
    <cfRule type="cellIs" dxfId="9" priority="10" operator="equal">
      <formula>0</formula>
    </cfRule>
  </conditionalFormatting>
  <conditionalFormatting sqref="O8:O16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O8:O16">
    <cfRule type="cellIs" dxfId="6" priority="7" operator="equal">
      <formula>0</formula>
    </cfRule>
  </conditionalFormatting>
  <conditionalFormatting sqref="L17:M17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L17:M17">
    <cfRule type="cellIs" dxfId="3" priority="4" operator="equal">
      <formula>0</formula>
    </cfRule>
  </conditionalFormatting>
  <conditionalFormatting sqref="N17:O17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N17:O17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/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77" t="s">
        <v>101</v>
      </c>
      <c r="S5" s="77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>
        <f>JULHO!G7</f>
        <v>0</v>
      </c>
      <c r="G474" s="68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>
        <f>JULHO!G8</f>
        <v>0</v>
      </c>
      <c r="G475" s="68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>
        <f>JULHO!G9</f>
        <v>0</v>
      </c>
      <c r="G476" s="68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>
        <f>JULHO!G10</f>
        <v>0</v>
      </c>
      <c r="G477" s="68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>
        <f>JULHO!G11</f>
        <v>0</v>
      </c>
      <c r="G478" s="68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>
        <f>JULHO!G13</f>
        <v>0</v>
      </c>
      <c r="G480" s="68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>
        <f>JULHO!G14</f>
        <v>0</v>
      </c>
      <c r="G481" s="68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>
        <f>JULHO!G15</f>
        <v>0</v>
      </c>
      <c r="G482" s="68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>
        <f>JULHO!G16</f>
        <v>0</v>
      </c>
      <c r="G483" s="68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>
        <f>JULHO!G17</f>
        <v>0</v>
      </c>
      <c r="G484" s="68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"/>
  <sheetViews>
    <sheetView showGridLines="0" workbookViewId="0">
      <selection activeCell="G13" sqref="G13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</cols>
  <sheetData>
    <row r="2" spans="2:6" x14ac:dyDescent="0.25">
      <c r="B2" s="78" t="s">
        <v>182</v>
      </c>
      <c r="C2" s="78"/>
      <c r="E2" t="s">
        <v>183</v>
      </c>
      <c r="F2" s="70">
        <v>5</v>
      </c>
    </row>
    <row r="3" spans="2:6" x14ac:dyDescent="0.25">
      <c r="B3" s="45">
        <v>1</v>
      </c>
      <c r="C3" s="45" t="s">
        <v>20</v>
      </c>
    </row>
    <row r="4" spans="2:6" x14ac:dyDescent="0.25">
      <c r="B4" s="45">
        <v>2</v>
      </c>
      <c r="C4" s="45" t="s">
        <v>21</v>
      </c>
      <c r="E4" t="s">
        <v>184</v>
      </c>
      <c r="F4" t="s">
        <v>185</v>
      </c>
    </row>
    <row r="5" spans="2:6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</row>
    <row r="6" spans="2:6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</row>
    <row r="7" spans="2:6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</row>
    <row r="8" spans="2:6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</row>
    <row r="9" spans="2:6" x14ac:dyDescent="0.25">
      <c r="B9" s="45">
        <v>7</v>
      </c>
      <c r="C9" s="45" t="s">
        <v>26</v>
      </c>
      <c r="F9">
        <f>INDEX('FLUXO DE CAIXA (2)'!C13:$N$18,1,'AUXILIAR 2'!$F$2)</f>
        <v>0</v>
      </c>
    </row>
    <row r="10" spans="2:6" x14ac:dyDescent="0.25">
      <c r="B10" s="45">
        <v>8</v>
      </c>
      <c r="C10" s="45" t="s">
        <v>27</v>
      </c>
      <c r="F10">
        <f>INDEX('FLUXO DE CAIXA (2)'!C14:$N$18,1,'AUXILIAR 2'!$F$2)</f>
        <v>0</v>
      </c>
    </row>
    <row r="11" spans="2:6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</row>
    <row r="12" spans="2:6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</row>
    <row r="13" spans="2:6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</row>
    <row r="14" spans="2:6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9"/>
  <sheetViews>
    <sheetView showGridLines="0" workbookViewId="0">
      <selection activeCell="B4" sqref="B4"/>
    </sheetView>
  </sheetViews>
  <sheetFormatPr defaultRowHeight="15" x14ac:dyDescent="0.25"/>
  <cols>
    <col min="2" max="2" width="22" bestFit="1" customWidth="1"/>
    <col min="3" max="3" width="10.7109375" bestFit="1" customWidth="1"/>
    <col min="4" max="4" width="8.28515625" bestFit="1" customWidth="1"/>
  </cols>
  <sheetData>
    <row r="2" spans="2:4" x14ac:dyDescent="0.25">
      <c r="B2" s="79" t="s">
        <v>186</v>
      </c>
      <c r="C2" s="79" t="s">
        <v>187</v>
      </c>
      <c r="D2" s="79" t="s">
        <v>83</v>
      </c>
    </row>
    <row r="3" spans="2:4" x14ac:dyDescent="0.25">
      <c r="B3" s="79" t="s">
        <v>34</v>
      </c>
      <c r="C3" s="79" t="s">
        <v>189</v>
      </c>
      <c r="D3" s="79" t="s">
        <v>190</v>
      </c>
    </row>
    <row r="4" spans="2:4" x14ac:dyDescent="0.25">
      <c r="B4" s="79" t="s">
        <v>4</v>
      </c>
      <c r="C4" s="79" t="s">
        <v>189</v>
      </c>
      <c r="D4" s="79" t="s">
        <v>190</v>
      </c>
    </row>
    <row r="5" spans="2:4" x14ac:dyDescent="0.25">
      <c r="B5" s="79" t="s">
        <v>188</v>
      </c>
      <c r="C5" s="79" t="s">
        <v>189</v>
      </c>
      <c r="D5" s="79" t="s">
        <v>190</v>
      </c>
    </row>
    <row r="6" spans="2:4" x14ac:dyDescent="0.25">
      <c r="B6" s="81" t="s">
        <v>191</v>
      </c>
      <c r="C6" s="79" t="s">
        <v>189</v>
      </c>
    </row>
    <row r="7" spans="2:4" x14ac:dyDescent="0.25">
      <c r="B7" s="79" t="s">
        <v>105</v>
      </c>
      <c r="C7" s="79" t="s">
        <v>189</v>
      </c>
      <c r="D7" s="79"/>
    </row>
    <row r="8" spans="2:4" x14ac:dyDescent="0.25">
      <c r="B8" s="79" t="s">
        <v>56</v>
      </c>
      <c r="C8" s="79" t="s">
        <v>189</v>
      </c>
      <c r="D8" s="79"/>
    </row>
    <row r="9" spans="2:4" x14ac:dyDescent="0.25">
      <c r="B9" s="80" t="s">
        <v>106</v>
      </c>
      <c r="C9" s="80" t="s">
        <v>189</v>
      </c>
      <c r="D9" s="80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29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6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FLUXO DE CAIXA (2)</vt:lpstr>
      <vt:lpstr>COMPARAÇAO CENTROS DE CUSTO</vt:lpstr>
      <vt:lpstr>rascunho dashboar</vt:lpstr>
      <vt:lpstr>FLUXO DE CAIXA CENTROS</vt:lpstr>
      <vt:lpstr>plano de contas</vt:lpstr>
      <vt:lpstr>CENTRO DE CUSTO</vt:lpstr>
      <vt:lpstr>DRE</vt:lpstr>
      <vt:lpstr>GRAFICOS</vt:lpstr>
      <vt:lpstr>DRE1</vt:lpstr>
      <vt:lpstr>FC-DIARIO</vt:lpstr>
      <vt:lpstr>AUXILIAR</vt:lpstr>
      <vt:lpstr>AUXILIAR 2</vt:lpstr>
      <vt:lpstr>INDICADORES</vt:lpstr>
      <vt:lpstr>RASCUNHO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2026-03-14T05:26:36Z</dcterms:modified>
</cp:coreProperties>
</file>