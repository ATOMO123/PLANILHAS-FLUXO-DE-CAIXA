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5.xml" ContentType="application/vnd.openxmlformats-officedocument.spreadsheetml.comments+xml"/>
  <Override PartName="/xl/drawings/drawing22.xml" ContentType="application/vnd.openxmlformats-officedocument.drawing+xml"/>
  <Override PartName="/xl/comments16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8.xml" ContentType="application/vnd.openxmlformats-officedocument.drawing+xml"/>
  <Override PartName="/xl/comments18.xml" ContentType="application/vnd.openxmlformats-officedocument.spreadsheetml.comments+xml"/>
  <Override PartName="/xl/drawings/drawing29.xml" ContentType="application/vnd.openxmlformats-officedocument.drawing+xml"/>
  <Override PartName="/xl/comments19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9" activeTab="16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DASHBOARD (2)" sheetId="47" r:id="rId17"/>
    <sheet name="AUXILIAR 2" sheetId="42" r:id="rId18"/>
    <sheet name="RASCUNHO (2)" sheetId="46" r:id="rId19"/>
    <sheet name="FLUXO DE CAIXA (2)" sheetId="29" r:id="rId20"/>
    <sheet name="RASCUNHO" sheetId="43" r:id="rId21"/>
    <sheet name="INDICADORES" sheetId="44" r:id="rId22"/>
    <sheet name="COMPARAÇAO CENTROS DE CUSTO" sheetId="40" r:id="rId23"/>
    <sheet name="FLUXO DE CAIXA CENTROS" sheetId="38" r:id="rId24"/>
    <sheet name="plano de contas" sheetId="21" r:id="rId25"/>
    <sheet name="CENTRO DE CUSTO" sheetId="37" r:id="rId26"/>
    <sheet name="DRE" sheetId="22" r:id="rId27"/>
    <sheet name="GRAFICO DESPESAS" sheetId="24" r:id="rId28"/>
    <sheet name="GRAFICOS" sheetId="25" r:id="rId29"/>
    <sheet name="FC-DIARIO" sheetId="30" r:id="rId30"/>
    <sheet name="DRE1" sheetId="23" r:id="rId31"/>
    <sheet name="AUXILIAR" sheetId="26" r:id="rId32"/>
  </sheets>
  <externalReferences>
    <externalReference r:id="rId33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22" hidden="1">'COMPARAÇAO CENTROS DE CUSTO'!#REF!</definedName>
    <definedName name="_xlnm._FilterDatabase" localSheetId="14" hidden="1">DEZEMBRO!$H$8:$H$37</definedName>
    <definedName name="_xlnm._FilterDatabase" localSheetId="26" hidden="1">DRE!#REF!</definedName>
    <definedName name="_xlnm._FilterDatabase" localSheetId="30" hidden="1">'DRE1'!#REF!</definedName>
    <definedName name="_xlnm._FilterDatabase" localSheetId="29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9" hidden="1">'FLUXO DE CAIXA (2)'!#REF!</definedName>
    <definedName name="_xlnm._FilterDatabase" localSheetId="23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42" l="1"/>
  <c r="G3" i="47"/>
  <c r="M12" i="42"/>
  <c r="C3" i="47"/>
  <c r="F474" i="26"/>
  <c r="F475" i="26"/>
  <c r="F476" i="26"/>
  <c r="F477" i="26"/>
  <c r="F478" i="26"/>
  <c r="F480" i="26"/>
  <c r="F481" i="26"/>
  <c r="F482" i="26"/>
  <c r="F483" i="26"/>
  <c r="F484" i="26"/>
  <c r="G18" i="40"/>
  <c r="N13" i="42"/>
  <c r="G4" i="47"/>
  <c r="G11" i="40"/>
  <c r="N12" i="42"/>
  <c r="C4" i="47"/>
  <c r="D18" i="40"/>
  <c r="O9" i="42"/>
  <c r="E18" i="40"/>
  <c r="P9" i="42"/>
  <c r="F18" i="40"/>
  <c r="Q9" i="42"/>
  <c r="R9" i="42"/>
  <c r="H18" i="40"/>
  <c r="S9" i="42"/>
  <c r="G474" i="26"/>
  <c r="G475" i="26"/>
  <c r="G476" i="26"/>
  <c r="G477" i="26"/>
  <c r="G478" i="26"/>
  <c r="I18" i="40"/>
  <c r="T9" i="42"/>
  <c r="J18" i="40"/>
  <c r="U9" i="42"/>
  <c r="K18" i="40"/>
  <c r="V9" i="42"/>
  <c r="L18" i="40"/>
  <c r="W9" i="42"/>
  <c r="M18" i="40"/>
  <c r="X9" i="42"/>
  <c r="N18" i="40"/>
  <c r="Y9" i="42"/>
  <c r="C18" i="40"/>
  <c r="N9" i="42"/>
  <c r="D11" i="40"/>
  <c r="O8" i="42"/>
  <c r="E11" i="40"/>
  <c r="P8" i="42"/>
  <c r="F11" i="40"/>
  <c r="Q8" i="42"/>
  <c r="R8" i="42"/>
  <c r="H11" i="40"/>
  <c r="S8" i="42"/>
  <c r="G479" i="26"/>
  <c r="I11" i="40"/>
  <c r="T8" i="42"/>
  <c r="J11" i="40"/>
  <c r="U8" i="42"/>
  <c r="K11" i="40"/>
  <c r="V8" i="42"/>
  <c r="L11" i="40"/>
  <c r="W8" i="42"/>
  <c r="M11" i="40"/>
  <c r="X8" i="42"/>
  <c r="N11" i="40"/>
  <c r="Y8" i="42"/>
  <c r="C11" i="40"/>
  <c r="N8" i="42"/>
  <c r="M9" i="42"/>
  <c r="M8" i="42"/>
  <c r="C10" i="29"/>
  <c r="J8" i="42"/>
  <c r="C9" i="29"/>
  <c r="C11" i="29"/>
  <c r="J9" i="42"/>
  <c r="C12" i="29"/>
  <c r="J10" i="42"/>
  <c r="C16" i="29"/>
  <c r="J11" i="42"/>
  <c r="C17" i="29"/>
  <c r="J12" i="42"/>
  <c r="C18" i="29"/>
  <c r="J13" i="42"/>
  <c r="J7" i="42"/>
  <c r="I4" i="45"/>
  <c r="G4" i="45"/>
  <c r="E4" i="45"/>
  <c r="C13" i="45"/>
  <c r="C10" i="45"/>
  <c r="C12" i="45"/>
  <c r="C7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G16" i="29"/>
  <c r="G17" i="29"/>
  <c r="G18" i="29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9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C15" i="40"/>
  <c r="C8" i="40"/>
  <c r="K9" i="40"/>
  <c r="I10" i="40"/>
  <c r="D12" i="40"/>
  <c r="L12" i="40"/>
  <c r="I13" i="40"/>
  <c r="F14" i="40"/>
  <c r="N14" i="40"/>
  <c r="D16" i="40"/>
  <c r="M16" i="40"/>
  <c r="J17" i="40"/>
  <c r="C17" i="40"/>
  <c r="G8" i="40"/>
  <c r="D9" i="40"/>
  <c r="L9" i="40"/>
  <c r="J10" i="40"/>
  <c r="E12" i="40"/>
  <c r="M12" i="40"/>
  <c r="J13" i="40"/>
  <c r="G14" i="40"/>
  <c r="D15" i="40"/>
  <c r="L15" i="40"/>
  <c r="J16" i="40"/>
  <c r="G17" i="40"/>
  <c r="K17" i="40"/>
  <c r="C14" i="40"/>
  <c r="H16" i="40"/>
  <c r="E8" i="40"/>
  <c r="I8" i="40"/>
  <c r="M8" i="40"/>
  <c r="F9" i="40"/>
  <c r="J9" i="40"/>
  <c r="N9" i="40"/>
  <c r="G10" i="40"/>
  <c r="L10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G483" i="26"/>
  <c r="G484" i="26"/>
  <c r="I17" i="40"/>
  <c r="C12" i="40"/>
  <c r="C16" i="40"/>
  <c r="H10" i="40"/>
  <c r="F8" i="40"/>
  <c r="J8" i="40"/>
  <c r="G9" i="40"/>
  <c r="D10" i="40"/>
  <c r="M10" i="40"/>
  <c r="H12" i="40"/>
  <c r="E13" i="40"/>
  <c r="M13" i="40"/>
  <c r="J14" i="40"/>
  <c r="G15" i="40"/>
  <c r="K15" i="40"/>
  <c r="I16" i="40"/>
  <c r="F17" i="40"/>
  <c r="N17" i="40"/>
  <c r="C13" i="40"/>
  <c r="K8" i="40"/>
  <c r="H9" i="40"/>
  <c r="E10" i="40"/>
  <c r="N10" i="40"/>
  <c r="I12" i="40"/>
  <c r="F13" i="40"/>
  <c r="N13" i="40"/>
  <c r="K14" i="40"/>
  <c r="H15" i="40"/>
  <c r="E16" i="40"/>
  <c r="N16" i="40"/>
  <c r="C10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H475" i="26"/>
  <c r="C476" i="26"/>
  <c r="D476" i="26"/>
  <c r="E476" i="26"/>
  <c r="H476" i="26"/>
  <c r="C477" i="26"/>
  <c r="D477" i="26"/>
  <c r="E477" i="26"/>
  <c r="H477" i="26"/>
  <c r="C478" i="26"/>
  <c r="D478" i="26"/>
  <c r="E478" i="26"/>
  <c r="H478" i="26"/>
  <c r="C479" i="26"/>
  <c r="D479" i="26"/>
  <c r="E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H483" i="26"/>
  <c r="C484" i="26"/>
  <c r="D484" i="26"/>
  <c r="E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F12" i="42"/>
  <c r="H16" i="29"/>
  <c r="H18" i="29"/>
  <c r="E17" i="29"/>
  <c r="F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I16" i="29"/>
  <c r="M17" i="29"/>
  <c r="N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<sst xmlns="http://schemas.openxmlformats.org/spreadsheetml/2006/main" count="3047" uniqueCount="210">
  <si>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</si>
  <si>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</si>
  <si>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</si>
  <si>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</si>
  <si>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</si>
  <si>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</si>
  <si>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</si>
  <si>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</si>
  <si>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</si>
  <si>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</si>
  <si>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</si>
  <si>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</si>
  <si>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</si>
  <si>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</si>
  <si>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</si>
  <si>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</si>
  <si>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</si>
  <si>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</si>
  <si>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</si>
  <si>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</si>
  <si>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</si>
  <si>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</si>
  <si>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</si>
  <si>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</si>
  <si>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</si>
  <si>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</si>
  <si>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</si>
  <si>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</si>
  <si>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</si>
  <si>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</si>
  <si>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</si>
  <si>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</si>
  <si>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</si>
  <si>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</si>
  <si>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</si>
  <si>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</si>
  <si>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</si>
  <si>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</si>
  <si>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</si>
  <si>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</si>
  <si>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</si>
  <si>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</si>
  <si>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</si>
  <si>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</si>
  <si>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</si>
  <si>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</si>
  <si>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</si>
  <si>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</si>
  <si>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</si>
  <si>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</si>
  <si>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</si>
  <si>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</si>
  <si>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</si>
  <si>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</si>
  <si>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</si>
  <si>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</si>
  <si>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</si>
  <si>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</si>
  <si>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</si>
  <si>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</si>
  <si>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</si>
  <si>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</si>
  <si>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</si>
  <si>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</si>
  <si>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</si>
  <si>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</si>
  <si>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</si>
  <si>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</si>
  <si>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</si>
  <si>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</si>
  <si>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</si>
  <si>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</si>
  <si>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</si>
  <si>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</si>
  <si>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</si>
  <si>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</si>
  <si>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</si>
  <si>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</si>
  <si>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</si>
  <si>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</si>
  <si>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</si>
  <si>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</si>
  <si>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</si>
  <si>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</si>
  <si>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</si>
  <si>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</si>
  <si>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</si>
  <si>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</si>
  <si>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</si>
  <si>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</si>
  <si>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</si>
  <si>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</si>
  <si>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</si>
  <si>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</si>
  <si>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</si>
  <si>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</si>
  <si>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</si>
  <si>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</si>
  <si>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</si>
  <si>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</si>
  <si>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</si>
  <si>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</si>
  <si>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</si>
  <si>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</si>
  <si>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</si>
  <si>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</si>
  <si>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</si>
  <si>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</si>
  <si>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</si>
  <si>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</si>
  <si>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</si>
  <si>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</si>
  <si>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</si>
  <si>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</si>
  <si>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</si>
  <si>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</si>
  <si>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</si>
  <si>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</si>
  <si>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</si>
  <si>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</si>
  <si>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</si>
  <si>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</si>
  <si>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</si>
  <si>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</si>
  <si>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</si>
  <si>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</si>
  <si>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</si>
  <si>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</si>
  <si>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</si>
  <si>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</si>
  <si>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</si>
  <si>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</si>
  <si>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</si>
  <si>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</si>
  <si>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</si>
  <si>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</si>
  <si>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</si>
  <si>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</si>
  <si>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</si>
  <si>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</si>
  <si>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</si>
  <si>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</si>
  <si>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</si>
  <si>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</si>
  <si>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</si>
  <si>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</si>
  <si>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</si>
  <si>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</si>
  <si>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</si>
  <si>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</si>
  <si>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</si>
  <si>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</si>
  <si>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</si>
  <si>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</si>
  <si>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</si>
  <si>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</si>
  <si>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</si>
  <si>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</si>
  <si>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</si>
  <si>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</si>
  <si>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</si>
  <si>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</si>
  <si>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</si>
  <si>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</si>
  <si>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</si>
  <si>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</si>
  <si>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</si>
  <si>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</si>
  <si>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</si>
  <si>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</si>
  <si>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</si>
  <si>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</si>
  <si>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</si>
  <si>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</si>
  <si>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</si>
  <si>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</si>
  <si>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</si>
  <si>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</si>
  <si>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</si>
  <si>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</si>
  <si>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</si>
  <si>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</si>
  <si>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</si>
  <si>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</si>
  <si>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</si>
  <si>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</si>
  <si>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</si>
  <si>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</si>
  <si>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</si>
  <si>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</si>
  <si>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</si>
  <si>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</si>
  <si>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</si>
  <si>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</si>
  <si>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</si>
  <si>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</si>
  <si>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</si>
  <si>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</si>
  <si>
    <t>VINCULO DA CELULA DA CAIXA DE OPÇÕES 1</t>
  </si>
  <si>
    <t>VINCULO DA CELULA DA CAIXA DE OPÇÕES 2</t>
  </si>
  <si>
    <t>VINCULO DA CELULA DA CAIXA DE OPÇÕES 3</t>
  </si>
  <si>
    <t>VINCULO DA CELULA DA CAIXA DE OPÇÕES 4</t>
  </si>
  <si>
    <t>ESCOLHA O MÊS</t>
  </si>
  <si>
    <t>CENTRO 2</t>
  </si>
  <si>
    <t>CENTRO 1</t>
  </si>
  <si>
    <t>MESES</t>
  </si>
  <si>
    <t>FILIAIS COM PROCV</t>
  </si>
  <si>
    <t>MESES ESPECÍFICOS NAS FILIAIS COM PROCV</t>
  </si>
  <si>
    <t>FILIAL</t>
  </si>
  <si>
    <t>REFERÊNCIA DOS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</si>
</sst>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166" fontId="14" fillId="0" borderId="0" xfId="0" applyNumberFormat="1" applyFont="1" applyBorder="1" applyAlignment="1">
      <alignment horizontal="center" wrapText="1"/>
    </xf>
    <xf numFmtId="0" fontId="15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0" fontId="0" fillId="0" borderId="13" xfId="0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/>
    <xf numFmtId="164" fontId="18" fillId="0" borderId="0" xfId="0" applyNumberFormat="1" applyFont="1" applyAlignment="1">
      <alignment horizontal="center" vertical="center"/>
    </xf>
    <xf numFmtId="0" fontId="19" fillId="0" borderId="0" xfId="0" applyFont="1" applyBorder="1" applyAlignment="1">
      <alignment horizontal="center" vertical="center"/>
    </xf>
  </cellXfs>
  <cellStyles count="1">
    <cellStyle name="Normal" xfId="0" builtinId="0"/>
  </cellStyles>
  <dxfs count="7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44520"/>
        <c:axId val="477751184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6447</c:v>
                </c:pt>
                <c:pt idx="7">
                  <c:v>6447</c:v>
                </c:pt>
                <c:pt idx="8">
                  <c:v>5841</c:v>
                </c:pt>
                <c:pt idx="9">
                  <c:v>4394.6000000000004</c:v>
                </c:pt>
                <c:pt idx="10">
                  <c:v>4108.9333333333343</c:v>
                </c:pt>
                <c:pt idx="11">
                  <c:v>3823.2666666666678</c:v>
                </c:pt>
                <c:pt idx="12">
                  <c:v>40587.800000000003</c:v>
                </c:pt>
                <c:pt idx="13">
                  <c:v>3823.2666666666678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4520"/>
        <c:axId val="477751184"/>
      </c:lineChart>
      <c:catAx>
        <c:axId val="47774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51184"/>
        <c:crosses val="autoZero"/>
        <c:auto val="1"/>
        <c:lblAlgn val="ctr"/>
        <c:lblOffset val="100"/>
        <c:noMultiLvlLbl val="0"/>
      </c:catAx>
      <c:valAx>
        <c:axId val="47775118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4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6447</c:v>
                </c:pt>
                <c:pt idx="8">
                  <c:v>6447</c:v>
                </c:pt>
                <c:pt idx="9">
                  <c:v>5841</c:v>
                </c:pt>
                <c:pt idx="10">
                  <c:v>4394.6000000000004</c:v>
                </c:pt>
                <c:pt idx="11">
                  <c:v>4108.9333333333343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1968"/>
        <c:axId val="477746872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1968"/>
        <c:axId val="477746872"/>
      </c:lineChart>
      <c:catAx>
        <c:axId val="47775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46872"/>
        <c:crosses val="autoZero"/>
        <c:auto val="1"/>
        <c:lblAlgn val="ctr"/>
        <c:lblOffset val="100"/>
        <c:noMultiLvlLbl val="0"/>
      </c:catAx>
      <c:valAx>
        <c:axId val="4777468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7064"/>
        <c:axId val="477763728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7064"/>
        <c:axId val="477763728"/>
      </c:lineChart>
      <c:catAx>
        <c:axId val="47775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3728"/>
        <c:crosses val="autoZero"/>
        <c:auto val="1"/>
        <c:lblAlgn val="ctr"/>
        <c:lblOffset val="100"/>
        <c:noMultiLvlLbl val="0"/>
      </c:catAx>
      <c:valAx>
        <c:axId val="47776372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64027034907001E-2"/>
          <c:y val="1.3714587603695658E-3"/>
          <c:w val="0.97311393146839353"/>
          <c:h val="0.9723933455932118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'[1]FLUXO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(2)'!$C$9:$N$9</c:f>
              <c:numCache>
                <c:formatCode>General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'[1]FLUXO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(2)'!$C$10:$N$10</c:f>
              <c:numCache>
                <c:formatCode>General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64904"/>
        <c:axId val="477760984"/>
      </c:barChart>
      <c:lineChart>
        <c:grouping val="standard"/>
        <c:varyColors val="0"/>
        <c:ser>
          <c:idx val="2"/>
          <c:order val="2"/>
          <c:tx>
            <c:strRef>
              <c:f>'[1]FLUXO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(2)'!$C$11:$O$11</c:f>
              <c:numCache>
                <c:formatCode>General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4904"/>
        <c:axId val="477760984"/>
      </c:lineChart>
      <c:catAx>
        <c:axId val="47776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0984"/>
        <c:crosses val="autoZero"/>
        <c:auto val="1"/>
        <c:lblAlgn val="ctr"/>
        <c:lblOffset val="100"/>
        <c:noMultiLvlLbl val="0"/>
      </c:catAx>
      <c:valAx>
        <c:axId val="477760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776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750570235229793"/>
          <c:y val="9.088304207229228E-2"/>
          <c:w val="0.14451081737794441"/>
          <c:h val="0.2219600042393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'AUXILIAR 2'!$M$8</c:f>
              <c:strCache>
                <c:ptCount val="1"/>
                <c:pt idx="0">
                  <c:v>CACUACO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'AUXILIAR 2'!$N$7:$Y$7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'AUXILIAR 2'!$N$8:$Y$8</c:f>
              <c:numCache>
                <c:formatCode>General</c:formatCode>
                <c:ptCount val="12"/>
                <c:pt idx="0">
                  <c:v>-1022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996016"/>
        <c:axId val="328996408"/>
      </c:barChart>
      <c:catAx>
        <c:axId val="3289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96408"/>
        <c:crosses val="autoZero"/>
        <c:auto val="1"/>
        <c:lblAlgn val="ctr"/>
        <c:lblOffset val="100"/>
        <c:noMultiLvlLbl val="0"/>
      </c:catAx>
      <c:valAx>
        <c:axId val="328996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99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'AUXILIAR 2'!$M$9</c:f>
              <c:strCache>
                <c:ptCount val="1"/>
                <c:pt idx="0">
                  <c:v>CATETE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'AUXILIAR 2'!$N$7:$Y$7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'AUXILIAR 2'!$N$9:$Y$9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-13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989744"/>
        <c:axId val="328990136"/>
      </c:barChart>
      <c:catAx>
        <c:axId val="328989744"/>
        <c:scaling>
          <c:orientation val="minMax"/>
        </c:scaling>
        <c:delete val="0"/>
        <c:axPos val="b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90136"/>
        <c:crosses val="autoZero"/>
        <c:auto val="0"/>
        <c:lblAlgn val="ctr"/>
        <c:lblOffset val="100"/>
        <c:noMultiLvlLbl val="0"/>
      </c:catAx>
      <c:valAx>
        <c:axId val="328990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89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103705.76666666668</c:v>
                </c:pt>
                <c:pt idx="1">
                  <c:v>103004.93333333333</c:v>
                </c:pt>
                <c:pt idx="2">
                  <c:v>101233.1</c:v>
                </c:pt>
                <c:pt idx="3">
                  <c:v>89764.566666666666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103705.76666666668</c:v>
                </c:pt>
                <c:pt idx="1">
                  <c:v>103004.93333333333</c:v>
                </c:pt>
                <c:pt idx="2">
                  <c:v>101233.1</c:v>
                </c:pt>
                <c:pt idx="3">
                  <c:v>89764.566666666666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95880.566666666666</c:v>
                </c:pt>
                <c:pt idx="1">
                  <c:v>104627.93333333333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95880.566666666666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12822.366666666665</c:v>
                </c:pt>
                <c:pt idx="5">
                  <c:v>12822.366666666665</c:v>
                </c:pt>
                <c:pt idx="6">
                  <c:v>12822.366666666665</c:v>
                </c:pt>
                <c:pt idx="7">
                  <c:v>12822.366666666665</c:v>
                </c:pt>
                <c:pt idx="8">
                  <c:v>12822.366666666665</c:v>
                </c:pt>
                <c:pt idx="9">
                  <c:v>12822.366666666665</c:v>
                </c:pt>
                <c:pt idx="10">
                  <c:v>12822.366666666665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12822.366666666665</c:v>
                </c:pt>
                <c:pt idx="3">
                  <c:v>12822.366666666665</c:v>
                </c:pt>
                <c:pt idx="4">
                  <c:v>12822.366666666665</c:v>
                </c:pt>
                <c:pt idx="5">
                  <c:v>12822.366666666665</c:v>
                </c:pt>
                <c:pt idx="6">
                  <c:v>12822.366666666665</c:v>
                </c:pt>
                <c:pt idx="7">
                  <c:v>12822.366666666665</c:v>
                </c:pt>
                <c:pt idx="8">
                  <c:v>12822.366666666665</c:v>
                </c:pt>
                <c:pt idx="9">
                  <c:v>12822.366666666665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3536"/>
        <c:axId val="477754320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480.93333333333385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6447</c:v>
                </c:pt>
                <c:pt idx="7">
                  <c:v>6447</c:v>
                </c:pt>
                <c:pt idx="8">
                  <c:v>5841</c:v>
                </c:pt>
                <c:pt idx="9">
                  <c:v>4394.6000000000004</c:v>
                </c:pt>
                <c:pt idx="10">
                  <c:v>4108.9333333333343</c:v>
                </c:pt>
                <c:pt idx="11">
                  <c:v>591.9333333333343</c:v>
                </c:pt>
                <c:pt idx="12">
                  <c:v>37356.466666666667</c:v>
                </c:pt>
                <c:pt idx="13">
                  <c:v>591.9333333333343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3536"/>
        <c:axId val="477754320"/>
      </c:lineChart>
      <c:catAx>
        <c:axId val="47775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54320"/>
        <c:crosses val="autoZero"/>
        <c:auto val="1"/>
        <c:lblAlgn val="ctr"/>
        <c:lblOffset val="100"/>
        <c:noMultiLvlLbl val="0"/>
      </c:catAx>
      <c:valAx>
        <c:axId val="4777543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val="0"/>
</file>

<file path=xl/ctrlProps/ctrlProp2.xml><?xml version="1.0" encoding="utf-8"?>
<formControlPr xmlns="http://schemas.microsoft.com/office/spreadsheetml/2009/9/main" objectType="Drop" dropLines="12" dropStyle="combo" dx="16" fmlaLink="'AUXILIAR 2'!$N$2" fmlaRange="'AUXILIAR 2'!$C$3:$C$14" noThreeD="1" sel="7" val="0"/>
</file>

<file path=xl/ctrlProps/ctrlProp3.xml><?xml version="1.0" encoding="utf-8"?>
<formControlPr xmlns="http://schemas.microsoft.com/office/spreadsheetml/2009/9/main" objectType="Drop" dropLines="12" dropStyle="combo" dx="16" fmlaLink="'AUXILIAR 2'!$N$3" fmlaRange="'COMPARAÇAO CENTROS DE CUSTO'!$B$8:$B$18" noThreeD="1" sel="2" val="0"/>
</file>

<file path=xl/ctrlProps/ctrlProp4.xml><?xml version="1.0" encoding="utf-8"?>
<formControlPr xmlns="http://schemas.microsoft.com/office/spreadsheetml/2009/9/main" objectType="Drop" dropLines="12" dropStyle="combo" dx="16" fmlaLink="'AUXILIAR 2'!$N$4" fmlaRange="'COMPARAÇAO CENTROS DE CUSTO'!$B$8:$B$18" noThreeD="1" sel="8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10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9.xml"/><Relationship Id="rId16" Type="http://schemas.openxmlformats.org/officeDocument/2006/relationships/hyperlink" Target="#'CENTRO DE CUSTO'!A1"/><Relationship Id="rId1" Type="http://schemas.openxmlformats.org/officeDocument/2006/relationships/chart" Target="../charts/chart8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2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11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7408</xdr:colOff>
      <xdr:row>12</xdr:row>
      <xdr:rowOff>536573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1344083</xdr:colOff>
          <xdr:row>0</xdr:row>
          <xdr:rowOff>66675</xdr:rowOff>
        </xdr:from>
        <xdr:to>
          <xdr:col>2</xdr:col>
          <xdr:colOff>2783416</xdr:colOff>
          <xdr:row>0</xdr:row>
          <xdr:rowOff>624417</xdr:rowOff>
        </xdr:to>
        <xdr:sp macro="" textlink="">
          <xdr:nvSpPr>
            <xdr:cNvPr id="91137" name="Drop Dow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50803</xdr:colOff>
          <xdr:row>0</xdr:row>
          <xdr:rowOff>161925</xdr:rowOff>
        </xdr:from>
        <xdr:to>
          <xdr:col>6</xdr:col>
          <xdr:colOff>1781175</xdr:colOff>
          <xdr:row>0</xdr:row>
          <xdr:rowOff>647700</xdr:rowOff>
        </xdr:to>
        <xdr:sp macro="" textlink="">
          <xdr:nvSpPr>
            <xdr:cNvPr id="91139" name="Drop Dow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0</xdr:row>
          <xdr:rowOff>161925</xdr:rowOff>
        </xdr:from>
        <xdr:to>
          <xdr:col>8</xdr:col>
          <xdr:colOff>2854323</xdr:colOff>
          <xdr:row>0</xdr:row>
          <xdr:rowOff>647700</xdr:rowOff>
        </xdr:to>
        <xdr:sp macro="" textlink="">
          <xdr:nvSpPr>
            <xdr:cNvPr id="91140" name="Drop Dow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171450</xdr:colOff>
      <xdr:row>5</xdr:row>
      <xdr:rowOff>23812</xdr:rowOff>
    </xdr:from>
    <xdr:to>
      <xdr:col>4</xdr:col>
      <xdr:colOff>2428875</xdr:colOff>
      <xdr:row>12</xdr:row>
      <xdr:rowOff>404812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133350</xdr:colOff>
      <xdr:row>5</xdr:row>
      <xdr:rowOff>23812</xdr:rowOff>
    </xdr:from>
    <xdr:to>
      <xdr:col>8</xdr:col>
      <xdr:colOff>2838450</xdr:colOff>
      <xdr:row>12</xdr:row>
      <xdr:rowOff>404812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10</xdr:col>
      <xdr:colOff>200025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59912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10</xdr:col>
      <xdr:colOff>276225</xdr:colOff>
      <xdr:row>3</xdr:row>
      <xdr:rowOff>151488</xdr:rowOff>
    </xdr:from>
    <xdr:to>
      <xdr:col>19</xdr:col>
      <xdr:colOff>581024</xdr:colOff>
      <xdr:row>7</xdr:row>
      <xdr:rowOff>185016</xdr:rowOff>
    </xdr:to>
    <xdr:sp macro="" textlink="">
      <xdr:nvSpPr>
        <xdr:cNvPr id="6" name="Retângulo 5"/>
        <xdr:cNvSpPr/>
      </xdr:nvSpPr>
      <xdr:spPr>
        <a:xfrm>
          <a:off x="6372225" y="722988"/>
          <a:ext cx="5791199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1" name="Retângulo 10"/>
        <xdr:cNvSpPr/>
      </xdr:nvSpPr>
      <xdr:spPr>
        <a:xfrm>
          <a:off x="295275" y="1570713"/>
          <a:ext cx="1185898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6447</v>
      </c>
      <c r="J8" s="47">
        <f t="shared" si="0"/>
        <v>6447</v>
      </c>
      <c r="K8" s="47">
        <f t="shared" si="0"/>
        <v>5841</v>
      </c>
      <c r="L8" s="47">
        <f t="shared" si="0"/>
        <v>4394.6000000000004</v>
      </c>
      <c r="M8" s="47">
        <f t="shared" si="0"/>
        <v>4108.9333333333343</v>
      </c>
      <c r="N8" s="47">
        <f>SUM(B8:M8)</f>
        <v>36875.533333333333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4480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9692.8333333333339</v>
      </c>
      <c r="O9" s="47">
        <f>SUM(B9:M9)</f>
        <v>9692.8333333333339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600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5980.5666666666648</v>
      </c>
      <c r="O10" s="47">
        <f>SUM(B10:M10)</f>
        <v>5980.5666666666648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3880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3712.2666666666673</v>
      </c>
      <c r="O11" s="47">
        <f>O9-O10</f>
        <v>3712.2666666666692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6447</v>
      </c>
      <c r="I12" s="47">
        <f t="shared" si="2"/>
        <v>6447</v>
      </c>
      <c r="J12" s="47">
        <f t="shared" si="2"/>
        <v>5841</v>
      </c>
      <c r="K12" s="47">
        <f t="shared" si="2"/>
        <v>4394.6000000000004</v>
      </c>
      <c r="L12" s="47">
        <f t="shared" si="2"/>
        <v>4108.9333333333343</v>
      </c>
      <c r="M12" s="47">
        <f t="shared" si="2"/>
        <v>3823.2666666666678</v>
      </c>
      <c r="N12" s="47">
        <f>SUM(B12:M12)</f>
        <v>40587.800000000003</v>
      </c>
      <c r="O12" s="47">
        <f>M12</f>
        <v>3823.2666666666678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724" priority="16" operator="equal">
      <formula>"RECEITA"</formula>
    </cfRule>
    <cfRule type="cellIs" dxfId="723" priority="17" operator="equal">
      <formula>"DESPESA"</formula>
    </cfRule>
    <cfRule type="cellIs" dxfId="722" priority="18" operator="equal">
      <formula>"RECEITA"</formula>
    </cfRule>
    <cfRule type="cellIs" dxfId="721" priority="19" operator="equal">
      <formula>"DESPESA"</formula>
    </cfRule>
    <cfRule type="cellIs" dxfId="720" priority="20" operator="equal">
      <formula>"RECEITA"</formula>
    </cfRule>
    <cfRule type="cellIs" dxfId="719" priority="21" operator="equal">
      <formula>"DESPESA"</formula>
    </cfRule>
  </conditionalFormatting>
  <conditionalFormatting sqref="A9">
    <cfRule type="cellIs" dxfId="718" priority="10" operator="equal">
      <formula>"RECEITA"</formula>
    </cfRule>
    <cfRule type="cellIs" dxfId="717" priority="11" operator="equal">
      <formula>"DESPESA"</formula>
    </cfRule>
    <cfRule type="cellIs" dxfId="716" priority="12" operator="equal">
      <formula>"RECEITA"</formula>
    </cfRule>
    <cfRule type="cellIs" dxfId="715" priority="13" operator="equal">
      <formula>"DESPESA"</formula>
    </cfRule>
    <cfRule type="cellIs" dxfId="714" priority="14" operator="equal">
      <formula>"RECEITA"</formula>
    </cfRule>
    <cfRule type="cellIs" dxfId="713" priority="15" operator="equal">
      <formula>"DESPESA"</formula>
    </cfRule>
  </conditionalFormatting>
  <conditionalFormatting sqref="B11:N11">
    <cfRule type="cellIs" dxfId="712" priority="3" operator="lessThan">
      <formula>0</formula>
    </cfRule>
    <cfRule type="cellIs" dxfId="711" priority="4" operator="greaterThan">
      <formula>0</formula>
    </cfRule>
  </conditionalFormatting>
  <conditionalFormatting sqref="B12:O12">
    <cfRule type="cellIs" dxfId="710" priority="1" operator="lessThan">
      <formula>0</formula>
    </cfRule>
    <cfRule type="cellIs" dxfId="70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G9" sqref="G9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708" priority="20" operator="equal">
      <formula>"RECEITA"</formula>
    </cfRule>
    <cfRule type="cellIs" dxfId="707" priority="21" operator="equal">
      <formula>"DESPESA"</formula>
    </cfRule>
    <cfRule type="cellIs" dxfId="706" priority="22" operator="equal">
      <formula>"RECEITA"</formula>
    </cfRule>
    <cfRule type="cellIs" dxfId="705" priority="23" operator="equal">
      <formula>"DESPESA"</formula>
    </cfRule>
  </conditionalFormatting>
  <conditionalFormatting sqref="M8">
    <cfRule type="cellIs" dxfId="704" priority="12" operator="equal">
      <formula>"RECEITA"</formula>
    </cfRule>
    <cfRule type="cellIs" dxfId="703" priority="13" operator="equal">
      <formula>"DESPESA"</formula>
    </cfRule>
    <cfRule type="cellIs" dxfId="702" priority="14" operator="equal">
      <formula>"RECEITA"</formula>
    </cfRule>
    <cfRule type="cellIs" dxfId="701" priority="15" operator="equal">
      <formula>"DESPESA"</formula>
    </cfRule>
    <cfRule type="cellIs" dxfId="700" priority="16" operator="equal">
      <formula>"RECEITA"</formula>
    </cfRule>
    <cfRule type="cellIs" dxfId="699" priority="17" operator="equal">
      <formula>"DESPESA"</formula>
    </cfRule>
  </conditionalFormatting>
  <conditionalFormatting sqref="M9">
    <cfRule type="cellIs" dxfId="698" priority="6" operator="equal">
      <formula>"RECEITA"</formula>
    </cfRule>
    <cfRule type="cellIs" dxfId="697" priority="7" operator="equal">
      <formula>"DESPESA"</formula>
    </cfRule>
    <cfRule type="cellIs" dxfId="696" priority="8" operator="equal">
      <formula>"RECEITA"</formula>
    </cfRule>
    <cfRule type="cellIs" dxfId="695" priority="9" operator="equal">
      <formula>"DESPESA"</formula>
    </cfRule>
    <cfRule type="cellIs" dxfId="694" priority="10" operator="equal">
      <formula>"RECEITA"</formula>
    </cfRule>
    <cfRule type="cellIs" dxfId="693" priority="11" operator="equal">
      <formula>"DESPESA"</formula>
    </cfRule>
  </conditionalFormatting>
  <conditionalFormatting sqref="N10">
    <cfRule type="cellIs" dxfId="692" priority="1" operator="greaterThan">
      <formula>0</formula>
    </cfRule>
    <cfRule type="cellIs" dxfId="691" priority="2" operator="greaterThan">
      <formula>0</formula>
    </cfRule>
    <cfRule type="cellIs" dxfId="690" priority="3" operator="greaterThan">
      <formula>0</formula>
    </cfRule>
    <cfRule type="cellIs" dxfId="689" priority="4" operator="lessThan">
      <formula>0</formula>
    </cfRule>
    <cfRule type="cellIs" dxfId="688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685" priority="36" operator="equal">
      <formula>"RECEITA"</formula>
    </cfRule>
    <cfRule type="cellIs" dxfId="684" priority="37" operator="equal">
      <formula>"DESPESA"</formula>
    </cfRule>
    <cfRule type="cellIs" dxfId="683" priority="38" operator="equal">
      <formula>"RECEITA"</formula>
    </cfRule>
    <cfRule type="cellIs" dxfId="682" priority="39" operator="equal">
      <formula>"DESPESA"</formula>
    </cfRule>
    <cfRule type="cellIs" dxfId="681" priority="40" operator="equal">
      <formula>"RECEITA"</formula>
    </cfRule>
    <cfRule type="cellIs" dxfId="680" priority="41" operator="equal">
      <formula>"DESPESA"</formula>
    </cfRule>
  </conditionalFormatting>
  <conditionalFormatting sqref="M8">
    <cfRule type="cellIs" dxfId="679" priority="30" operator="equal">
      <formula>"RECEITA"</formula>
    </cfRule>
    <cfRule type="cellIs" dxfId="678" priority="31" operator="equal">
      <formula>"DESPESA"</formula>
    </cfRule>
    <cfRule type="cellIs" dxfId="677" priority="32" operator="equal">
      <formula>"RECEITA"</formula>
    </cfRule>
    <cfRule type="cellIs" dxfId="676" priority="33" operator="equal">
      <formula>"DESPESA"</formula>
    </cfRule>
    <cfRule type="cellIs" dxfId="675" priority="34" operator="equal">
      <formula>"RECEITA"</formula>
    </cfRule>
    <cfRule type="cellIs" dxfId="674" priority="35" operator="equal">
      <formula>"DESPESA"</formula>
    </cfRule>
  </conditionalFormatting>
  <conditionalFormatting sqref="M9">
    <cfRule type="cellIs" dxfId="673" priority="24" operator="equal">
      <formula>"RECEITA"</formula>
    </cfRule>
    <cfRule type="cellIs" dxfId="672" priority="25" operator="equal">
      <formula>"DESPESA"</formula>
    </cfRule>
    <cfRule type="cellIs" dxfId="671" priority="26" operator="equal">
      <formula>"RECEITA"</formula>
    </cfRule>
    <cfRule type="cellIs" dxfId="670" priority="27" operator="equal">
      <formula>"DESPESA"</formula>
    </cfRule>
    <cfRule type="cellIs" dxfId="669" priority="28" operator="equal">
      <formula>"RECEITA"</formula>
    </cfRule>
    <cfRule type="cellIs" dxfId="668" priority="29" operator="equal">
      <formula>"DESPESA"</formula>
    </cfRule>
  </conditionalFormatting>
  <conditionalFormatting sqref="N10">
    <cfRule type="cellIs" dxfId="667" priority="19" operator="greaterThan">
      <formula>0</formula>
    </cfRule>
    <cfRule type="cellIs" dxfId="666" priority="20" operator="greaterThan">
      <formula>0</formula>
    </cfRule>
    <cfRule type="cellIs" dxfId="665" priority="21" operator="greaterThan">
      <formula>0</formula>
    </cfRule>
    <cfRule type="cellIs" dxfId="664" priority="22" operator="lessThan">
      <formula>0</formula>
    </cfRule>
    <cfRule type="cellIs" dxfId="663" priority="23" operator="greaterThan">
      <formula>0</formula>
    </cfRule>
  </conditionalFormatting>
  <conditionalFormatting sqref="E7:E84">
    <cfRule type="cellIs" dxfId="662" priority="7" operator="equal">
      <formula>"RECEITA"</formula>
    </cfRule>
    <cfRule type="cellIs" dxfId="661" priority="8" operator="equal">
      <formula>"DESPESA"</formula>
    </cfRule>
    <cfRule type="cellIs" dxfId="660" priority="9" operator="equal">
      <formula>"RECEITA"</formula>
    </cfRule>
    <cfRule type="cellIs" dxfId="659" priority="10" operator="equal">
      <formula>"DESPESA"</formula>
    </cfRule>
    <cfRule type="cellIs" dxfId="658" priority="11" operator="equal">
      <formula>"RECEITA"</formula>
    </cfRule>
    <cfRule type="cellIs" dxfId="657" priority="12" operator="equal">
      <formula>"DESPESA"</formula>
    </cfRule>
  </conditionalFormatting>
  <conditionalFormatting sqref="D7:D84">
    <cfRule type="cellIs" dxfId="656" priority="3" operator="equal">
      <formula>"RECEITA"</formula>
    </cfRule>
    <cfRule type="cellIs" dxfId="655" priority="4" operator="equal">
      <formula>"DESPESA"</formula>
    </cfRule>
    <cfRule type="cellIs" dxfId="654" priority="5" operator="equal">
      <formula>"RECEITA"</formula>
    </cfRule>
    <cfRule type="cellIs" dxfId="65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650" priority="36" operator="equal">
      <formula>"RECEITA"</formula>
    </cfRule>
    <cfRule type="cellIs" dxfId="649" priority="37" operator="equal">
      <formula>"DESPESA"</formula>
    </cfRule>
    <cfRule type="cellIs" dxfId="648" priority="38" operator="equal">
      <formula>"RECEITA"</formula>
    </cfRule>
    <cfRule type="cellIs" dxfId="647" priority="39" operator="equal">
      <formula>"DESPESA"</formula>
    </cfRule>
    <cfRule type="cellIs" dxfId="646" priority="40" operator="equal">
      <formula>"RECEITA"</formula>
    </cfRule>
    <cfRule type="cellIs" dxfId="645" priority="41" operator="equal">
      <formula>"DESPESA"</formula>
    </cfRule>
  </conditionalFormatting>
  <conditionalFormatting sqref="M8">
    <cfRule type="cellIs" dxfId="644" priority="30" operator="equal">
      <formula>"RECEITA"</formula>
    </cfRule>
    <cfRule type="cellIs" dxfId="643" priority="31" operator="equal">
      <formula>"DESPESA"</formula>
    </cfRule>
    <cfRule type="cellIs" dxfId="642" priority="32" operator="equal">
      <formula>"RECEITA"</formula>
    </cfRule>
    <cfRule type="cellIs" dxfId="641" priority="33" operator="equal">
      <formula>"DESPESA"</formula>
    </cfRule>
    <cfRule type="cellIs" dxfId="640" priority="34" operator="equal">
      <formula>"RECEITA"</formula>
    </cfRule>
    <cfRule type="cellIs" dxfId="639" priority="35" operator="equal">
      <formula>"DESPESA"</formula>
    </cfRule>
  </conditionalFormatting>
  <conditionalFormatting sqref="M9">
    <cfRule type="cellIs" dxfId="638" priority="24" operator="equal">
      <formula>"RECEITA"</formula>
    </cfRule>
    <cfRule type="cellIs" dxfId="637" priority="25" operator="equal">
      <formula>"DESPESA"</formula>
    </cfRule>
    <cfRule type="cellIs" dxfId="636" priority="26" operator="equal">
      <formula>"RECEITA"</formula>
    </cfRule>
    <cfRule type="cellIs" dxfId="635" priority="27" operator="equal">
      <formula>"DESPESA"</formula>
    </cfRule>
    <cfRule type="cellIs" dxfId="634" priority="28" operator="equal">
      <formula>"RECEITA"</formula>
    </cfRule>
    <cfRule type="cellIs" dxfId="633" priority="29" operator="equal">
      <formula>"DESPESA"</formula>
    </cfRule>
  </conditionalFormatting>
  <conditionalFormatting sqref="N10">
    <cfRule type="cellIs" dxfId="632" priority="19" operator="greaterThan">
      <formula>0</formula>
    </cfRule>
    <cfRule type="cellIs" dxfId="631" priority="20" operator="greaterThan">
      <formula>0</formula>
    </cfRule>
    <cfRule type="cellIs" dxfId="630" priority="21" operator="greaterThan">
      <formula>0</formula>
    </cfRule>
    <cfRule type="cellIs" dxfId="629" priority="22" operator="lessThan">
      <formula>0</formula>
    </cfRule>
    <cfRule type="cellIs" dxfId="628" priority="23" operator="greaterThan">
      <formula>0</formula>
    </cfRule>
  </conditionalFormatting>
  <conditionalFormatting sqref="E7:E84">
    <cfRule type="cellIs" dxfId="627" priority="7" operator="equal">
      <formula>"RECEITA"</formula>
    </cfRule>
    <cfRule type="cellIs" dxfId="626" priority="8" operator="equal">
      <formula>"DESPESA"</formula>
    </cfRule>
    <cfRule type="cellIs" dxfId="625" priority="9" operator="equal">
      <formula>"RECEITA"</formula>
    </cfRule>
    <cfRule type="cellIs" dxfId="624" priority="10" operator="equal">
      <formula>"DESPESA"</formula>
    </cfRule>
    <cfRule type="cellIs" dxfId="623" priority="11" operator="equal">
      <formula>"RECEITA"</formula>
    </cfRule>
    <cfRule type="cellIs" dxfId="622" priority="12" operator="equal">
      <formula>"DESPESA"</formula>
    </cfRule>
  </conditionalFormatting>
  <conditionalFormatting sqref="D7:D84">
    <cfRule type="cellIs" dxfId="621" priority="3" operator="equal">
      <formula>"RECEITA"</formula>
    </cfRule>
    <cfRule type="cellIs" dxfId="620" priority="4" operator="equal">
      <formula>"DESPESA"</formula>
    </cfRule>
    <cfRule type="cellIs" dxfId="619" priority="5" operator="equal">
      <formula>"RECEITA"</formula>
    </cfRule>
    <cfRule type="cellIs" dxfId="618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615" priority="36" operator="equal">
      <formula>"RECEITA"</formula>
    </cfRule>
    <cfRule type="cellIs" dxfId="614" priority="37" operator="equal">
      <formula>"DESPESA"</formula>
    </cfRule>
    <cfRule type="cellIs" dxfId="613" priority="38" operator="equal">
      <formula>"RECEITA"</formula>
    </cfRule>
    <cfRule type="cellIs" dxfId="612" priority="39" operator="equal">
      <formula>"DESPESA"</formula>
    </cfRule>
    <cfRule type="cellIs" dxfId="611" priority="40" operator="equal">
      <formula>"RECEITA"</formula>
    </cfRule>
    <cfRule type="cellIs" dxfId="610" priority="41" operator="equal">
      <formula>"DESPESA"</formula>
    </cfRule>
  </conditionalFormatting>
  <conditionalFormatting sqref="M8">
    <cfRule type="cellIs" dxfId="609" priority="30" operator="equal">
      <formula>"RECEITA"</formula>
    </cfRule>
    <cfRule type="cellIs" dxfId="608" priority="31" operator="equal">
      <formula>"DESPESA"</formula>
    </cfRule>
    <cfRule type="cellIs" dxfId="607" priority="32" operator="equal">
      <formula>"RECEITA"</formula>
    </cfRule>
    <cfRule type="cellIs" dxfId="606" priority="33" operator="equal">
      <formula>"DESPESA"</formula>
    </cfRule>
    <cfRule type="cellIs" dxfId="605" priority="34" operator="equal">
      <formula>"RECEITA"</formula>
    </cfRule>
    <cfRule type="cellIs" dxfId="604" priority="35" operator="equal">
      <formula>"DESPESA"</formula>
    </cfRule>
  </conditionalFormatting>
  <conditionalFormatting sqref="M9">
    <cfRule type="cellIs" dxfId="603" priority="24" operator="equal">
      <formula>"RECEITA"</formula>
    </cfRule>
    <cfRule type="cellIs" dxfId="602" priority="25" operator="equal">
      <formula>"DESPESA"</formula>
    </cfRule>
    <cfRule type="cellIs" dxfId="601" priority="26" operator="equal">
      <formula>"RECEITA"</formula>
    </cfRule>
    <cfRule type="cellIs" dxfId="600" priority="27" operator="equal">
      <formula>"DESPESA"</formula>
    </cfRule>
    <cfRule type="cellIs" dxfId="599" priority="28" operator="equal">
      <formula>"RECEITA"</formula>
    </cfRule>
    <cfRule type="cellIs" dxfId="598" priority="29" operator="equal">
      <formula>"DESPESA"</formula>
    </cfRule>
  </conditionalFormatting>
  <conditionalFormatting sqref="N10">
    <cfRule type="cellIs" dxfId="597" priority="19" operator="greaterThan">
      <formula>0</formula>
    </cfRule>
    <cfRule type="cellIs" dxfId="596" priority="20" operator="greaterThan">
      <formula>0</formula>
    </cfRule>
    <cfRule type="cellIs" dxfId="595" priority="21" operator="greaterThan">
      <formula>0</formula>
    </cfRule>
    <cfRule type="cellIs" dxfId="594" priority="22" operator="lessThan">
      <formula>0</formula>
    </cfRule>
    <cfRule type="cellIs" dxfId="593" priority="23" operator="greaterThan">
      <formula>0</formula>
    </cfRule>
  </conditionalFormatting>
  <conditionalFormatting sqref="E7:E84">
    <cfRule type="cellIs" dxfId="592" priority="7" operator="equal">
      <formula>"RECEITA"</formula>
    </cfRule>
    <cfRule type="cellIs" dxfId="591" priority="8" operator="equal">
      <formula>"DESPESA"</formula>
    </cfRule>
    <cfRule type="cellIs" dxfId="590" priority="9" operator="equal">
      <formula>"RECEITA"</formula>
    </cfRule>
    <cfRule type="cellIs" dxfId="589" priority="10" operator="equal">
      <formula>"DESPESA"</formula>
    </cfRule>
    <cfRule type="cellIs" dxfId="588" priority="11" operator="equal">
      <formula>"RECEITA"</formula>
    </cfRule>
    <cfRule type="cellIs" dxfId="587" priority="12" operator="equal">
      <formula>"DESPESA"</formula>
    </cfRule>
  </conditionalFormatting>
  <conditionalFormatting sqref="D7:D84">
    <cfRule type="cellIs" dxfId="586" priority="3" operator="equal">
      <formula>"RECEITA"</formula>
    </cfRule>
    <cfRule type="cellIs" dxfId="585" priority="4" operator="equal">
      <formula>"DESPESA"</formula>
    </cfRule>
    <cfRule type="cellIs" dxfId="584" priority="5" operator="equal">
      <formula>"RECEITA"</formula>
    </cfRule>
    <cfRule type="cellIs" dxfId="58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580" priority="36" operator="equal">
      <formula>"RECEITA"</formula>
    </cfRule>
    <cfRule type="cellIs" dxfId="579" priority="37" operator="equal">
      <formula>"DESPESA"</formula>
    </cfRule>
    <cfRule type="cellIs" dxfId="578" priority="38" operator="equal">
      <formula>"RECEITA"</formula>
    </cfRule>
    <cfRule type="cellIs" dxfId="577" priority="39" operator="equal">
      <formula>"DESPESA"</formula>
    </cfRule>
    <cfRule type="cellIs" dxfId="576" priority="40" operator="equal">
      <formula>"RECEITA"</formula>
    </cfRule>
    <cfRule type="cellIs" dxfId="575" priority="41" operator="equal">
      <formula>"DESPESA"</formula>
    </cfRule>
  </conditionalFormatting>
  <conditionalFormatting sqref="M8">
    <cfRule type="cellIs" dxfId="574" priority="30" operator="equal">
      <formula>"RECEITA"</formula>
    </cfRule>
    <cfRule type="cellIs" dxfId="573" priority="31" operator="equal">
      <formula>"DESPESA"</formula>
    </cfRule>
    <cfRule type="cellIs" dxfId="572" priority="32" operator="equal">
      <formula>"RECEITA"</formula>
    </cfRule>
    <cfRule type="cellIs" dxfId="571" priority="33" operator="equal">
      <formula>"DESPESA"</formula>
    </cfRule>
    <cfRule type="cellIs" dxfId="570" priority="34" operator="equal">
      <formula>"RECEITA"</formula>
    </cfRule>
    <cfRule type="cellIs" dxfId="569" priority="35" operator="equal">
      <formula>"DESPESA"</formula>
    </cfRule>
  </conditionalFormatting>
  <conditionalFormatting sqref="M9">
    <cfRule type="cellIs" dxfId="568" priority="24" operator="equal">
      <formula>"RECEITA"</formula>
    </cfRule>
    <cfRule type="cellIs" dxfId="567" priority="25" operator="equal">
      <formula>"DESPESA"</formula>
    </cfRule>
    <cfRule type="cellIs" dxfId="566" priority="26" operator="equal">
      <formula>"RECEITA"</formula>
    </cfRule>
    <cfRule type="cellIs" dxfId="565" priority="27" operator="equal">
      <formula>"DESPESA"</formula>
    </cfRule>
    <cfRule type="cellIs" dxfId="564" priority="28" operator="equal">
      <formula>"RECEITA"</formula>
    </cfRule>
    <cfRule type="cellIs" dxfId="563" priority="29" operator="equal">
      <formula>"DESPESA"</formula>
    </cfRule>
  </conditionalFormatting>
  <conditionalFormatting sqref="N10">
    <cfRule type="cellIs" dxfId="562" priority="19" operator="greaterThan">
      <formula>0</formula>
    </cfRule>
    <cfRule type="cellIs" dxfId="561" priority="20" operator="greaterThan">
      <formula>0</formula>
    </cfRule>
    <cfRule type="cellIs" dxfId="560" priority="21" operator="greaterThan">
      <formula>0</formula>
    </cfRule>
    <cfRule type="cellIs" dxfId="559" priority="22" operator="lessThan">
      <formula>0</formula>
    </cfRule>
    <cfRule type="cellIs" dxfId="558" priority="23" operator="greaterThan">
      <formula>0</formula>
    </cfRule>
  </conditionalFormatting>
  <conditionalFormatting sqref="E7:E84">
    <cfRule type="cellIs" dxfId="557" priority="7" operator="equal">
      <formula>"RECEITA"</formula>
    </cfRule>
    <cfRule type="cellIs" dxfId="556" priority="8" operator="equal">
      <formula>"DESPESA"</formula>
    </cfRule>
    <cfRule type="cellIs" dxfId="555" priority="9" operator="equal">
      <formula>"RECEITA"</formula>
    </cfRule>
    <cfRule type="cellIs" dxfId="554" priority="10" operator="equal">
      <formula>"DESPESA"</formula>
    </cfRule>
    <cfRule type="cellIs" dxfId="553" priority="11" operator="equal">
      <formula>"RECEITA"</formula>
    </cfRule>
    <cfRule type="cellIs" dxfId="552" priority="12" operator="equal">
      <formula>"DESPESA"</formula>
    </cfRule>
  </conditionalFormatting>
  <conditionalFormatting sqref="D7:D84">
    <cfRule type="cellIs" dxfId="551" priority="3" operator="equal">
      <formula>"RECEITA"</formula>
    </cfRule>
    <cfRule type="cellIs" dxfId="550" priority="4" operator="equal">
      <formula>"DESPESA"</formula>
    </cfRule>
    <cfRule type="cellIs" dxfId="549" priority="5" operator="equal">
      <formula>"RECEITA"</formula>
    </cfRule>
    <cfRule type="cellIs" dxfId="548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545" priority="36" operator="equal">
      <formula>"RECEITA"</formula>
    </cfRule>
    <cfRule type="cellIs" dxfId="544" priority="37" operator="equal">
      <formula>"DESPESA"</formula>
    </cfRule>
    <cfRule type="cellIs" dxfId="543" priority="38" operator="equal">
      <formula>"RECEITA"</formula>
    </cfRule>
    <cfRule type="cellIs" dxfId="542" priority="39" operator="equal">
      <formula>"DESPESA"</formula>
    </cfRule>
    <cfRule type="cellIs" dxfId="541" priority="40" operator="equal">
      <formula>"RECEITA"</formula>
    </cfRule>
    <cfRule type="cellIs" dxfId="540" priority="41" operator="equal">
      <formula>"DESPESA"</formula>
    </cfRule>
  </conditionalFormatting>
  <conditionalFormatting sqref="M8">
    <cfRule type="cellIs" dxfId="539" priority="30" operator="equal">
      <formula>"RECEITA"</formula>
    </cfRule>
    <cfRule type="cellIs" dxfId="538" priority="31" operator="equal">
      <formula>"DESPESA"</formula>
    </cfRule>
    <cfRule type="cellIs" dxfId="537" priority="32" operator="equal">
      <formula>"RECEITA"</formula>
    </cfRule>
    <cfRule type="cellIs" dxfId="536" priority="33" operator="equal">
      <formula>"DESPESA"</formula>
    </cfRule>
    <cfRule type="cellIs" dxfId="535" priority="34" operator="equal">
      <formula>"RECEITA"</formula>
    </cfRule>
    <cfRule type="cellIs" dxfId="534" priority="35" operator="equal">
      <formula>"DESPESA"</formula>
    </cfRule>
  </conditionalFormatting>
  <conditionalFormatting sqref="M9">
    <cfRule type="cellIs" dxfId="533" priority="24" operator="equal">
      <formula>"RECEITA"</formula>
    </cfRule>
    <cfRule type="cellIs" dxfId="532" priority="25" operator="equal">
      <formula>"DESPESA"</formula>
    </cfRule>
    <cfRule type="cellIs" dxfId="531" priority="26" operator="equal">
      <formula>"RECEITA"</formula>
    </cfRule>
    <cfRule type="cellIs" dxfId="530" priority="27" operator="equal">
      <formula>"DESPESA"</formula>
    </cfRule>
    <cfRule type="cellIs" dxfId="529" priority="28" operator="equal">
      <formula>"RECEITA"</formula>
    </cfRule>
    <cfRule type="cellIs" dxfId="528" priority="29" operator="equal">
      <formula>"DESPESA"</formula>
    </cfRule>
  </conditionalFormatting>
  <conditionalFormatting sqref="N10">
    <cfRule type="cellIs" dxfId="527" priority="19" operator="greaterThan">
      <formula>0</formula>
    </cfRule>
    <cfRule type="cellIs" dxfId="526" priority="20" operator="greaterThan">
      <formula>0</formula>
    </cfRule>
    <cfRule type="cellIs" dxfId="525" priority="21" operator="greaterThan">
      <formula>0</formula>
    </cfRule>
    <cfRule type="cellIs" dxfId="524" priority="22" operator="lessThan">
      <formula>0</formula>
    </cfRule>
    <cfRule type="cellIs" dxfId="523" priority="23" operator="greaterThan">
      <formula>0</formula>
    </cfRule>
  </conditionalFormatting>
  <conditionalFormatting sqref="E7:E84">
    <cfRule type="cellIs" dxfId="522" priority="7" operator="equal">
      <formula>"RECEITA"</formula>
    </cfRule>
    <cfRule type="cellIs" dxfId="521" priority="8" operator="equal">
      <formula>"DESPESA"</formula>
    </cfRule>
    <cfRule type="cellIs" dxfId="520" priority="9" operator="equal">
      <formula>"RECEITA"</formula>
    </cfRule>
    <cfRule type="cellIs" dxfId="519" priority="10" operator="equal">
      <formula>"DESPESA"</formula>
    </cfRule>
    <cfRule type="cellIs" dxfId="518" priority="11" operator="equal">
      <formula>"RECEITA"</formula>
    </cfRule>
    <cfRule type="cellIs" dxfId="517" priority="12" operator="equal">
      <formula>"DESPESA"</formula>
    </cfRule>
  </conditionalFormatting>
  <conditionalFormatting sqref="D7:D84">
    <cfRule type="cellIs" dxfId="516" priority="3" operator="equal">
      <formula>"RECEITA"</formula>
    </cfRule>
    <cfRule type="cellIs" dxfId="515" priority="4" operator="equal">
      <formula>"DESPESA"</formula>
    </cfRule>
    <cfRule type="cellIs" dxfId="514" priority="5" operator="equal">
      <formula>"RECEITA"</formula>
    </cfRule>
    <cfRule type="cellIs" dxfId="51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topLeftCell="A5" zoomScale="90" zoomScaleNormal="90" workbookViewId="0">
      <selection activeCell="H18" sqref="H18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120</v>
      </c>
      <c r="H7" s="6">
        <v>100</v>
      </c>
      <c r="I7" s="4">
        <v>46204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 t="s">
        <v>120</v>
      </c>
      <c r="H8" s="6">
        <v>200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4480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 t="s">
        <v>120</v>
      </c>
      <c r="H9" s="6">
        <v>300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600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 t="s">
        <v>120</v>
      </c>
      <c r="H10" s="6">
        <v>400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3880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 t="s">
        <v>120</v>
      </c>
      <c r="H11" s="6">
        <v>500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600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 t="s">
        <v>116</v>
      </c>
      <c r="H13" s="6">
        <v>700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 t="s">
        <v>117</v>
      </c>
      <c r="H14" s="6">
        <v>800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 t="s">
        <v>119</v>
      </c>
      <c r="H15" s="6">
        <v>900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 t="s">
        <v>119</v>
      </c>
      <c r="H16" s="6">
        <v>100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 t="s">
        <v>119</v>
      </c>
      <c r="H17" s="6">
        <v>50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10" priority="36" operator="equal">
      <formula>"RECEITA"</formula>
    </cfRule>
    <cfRule type="cellIs" dxfId="509" priority="37" operator="equal">
      <formula>"DESPESA"</formula>
    </cfRule>
    <cfRule type="cellIs" dxfId="508" priority="38" operator="equal">
      <formula>"RECEITA"</formula>
    </cfRule>
    <cfRule type="cellIs" dxfId="507" priority="39" operator="equal">
      <formula>"DESPESA"</formula>
    </cfRule>
    <cfRule type="cellIs" dxfId="506" priority="40" operator="equal">
      <formula>"RECEITA"</formula>
    </cfRule>
    <cfRule type="cellIs" dxfId="505" priority="41" operator="equal">
      <formula>"DESPESA"</formula>
    </cfRule>
  </conditionalFormatting>
  <conditionalFormatting sqref="M8">
    <cfRule type="cellIs" dxfId="504" priority="30" operator="equal">
      <formula>"RECEITA"</formula>
    </cfRule>
    <cfRule type="cellIs" dxfId="503" priority="31" operator="equal">
      <formula>"DESPESA"</formula>
    </cfRule>
    <cfRule type="cellIs" dxfId="502" priority="32" operator="equal">
      <formula>"RECEITA"</formula>
    </cfRule>
    <cfRule type="cellIs" dxfId="501" priority="33" operator="equal">
      <formula>"DESPESA"</formula>
    </cfRule>
    <cfRule type="cellIs" dxfId="500" priority="34" operator="equal">
      <formula>"RECEITA"</formula>
    </cfRule>
    <cfRule type="cellIs" dxfId="499" priority="35" operator="equal">
      <formula>"DESPESA"</formula>
    </cfRule>
  </conditionalFormatting>
  <conditionalFormatting sqref="M9">
    <cfRule type="cellIs" dxfId="498" priority="24" operator="equal">
      <formula>"RECEITA"</formula>
    </cfRule>
    <cfRule type="cellIs" dxfId="497" priority="25" operator="equal">
      <formula>"DESPESA"</formula>
    </cfRule>
    <cfRule type="cellIs" dxfId="496" priority="26" operator="equal">
      <formula>"RECEITA"</formula>
    </cfRule>
    <cfRule type="cellIs" dxfId="495" priority="27" operator="equal">
      <formula>"DESPESA"</formula>
    </cfRule>
    <cfRule type="cellIs" dxfId="494" priority="28" operator="equal">
      <formula>"RECEITA"</formula>
    </cfRule>
    <cfRule type="cellIs" dxfId="493" priority="29" operator="equal">
      <formula>"DESPESA"</formula>
    </cfRule>
  </conditionalFormatting>
  <conditionalFormatting sqref="N10">
    <cfRule type="cellIs" dxfId="492" priority="19" operator="greaterThan">
      <formula>0</formula>
    </cfRule>
    <cfRule type="cellIs" dxfId="491" priority="20" operator="greaterThan">
      <formula>0</formula>
    </cfRule>
    <cfRule type="cellIs" dxfId="490" priority="21" operator="greaterThan">
      <formula>0</formula>
    </cfRule>
    <cfRule type="cellIs" dxfId="489" priority="22" operator="lessThan">
      <formula>0</formula>
    </cfRule>
    <cfRule type="cellIs" dxfId="488" priority="23" operator="greaterThan">
      <formula>0</formula>
    </cfRule>
  </conditionalFormatting>
  <conditionalFormatting sqref="E7:E84">
    <cfRule type="cellIs" dxfId="487" priority="7" operator="equal">
      <formula>"RECEITA"</formula>
    </cfRule>
    <cfRule type="cellIs" dxfId="486" priority="8" operator="equal">
      <formula>"DESPESA"</formula>
    </cfRule>
    <cfRule type="cellIs" dxfId="485" priority="9" operator="equal">
      <formula>"RECEITA"</formula>
    </cfRule>
    <cfRule type="cellIs" dxfId="484" priority="10" operator="equal">
      <formula>"DESPESA"</formula>
    </cfRule>
    <cfRule type="cellIs" dxfId="483" priority="11" operator="equal">
      <formula>"RECEITA"</formula>
    </cfRule>
    <cfRule type="cellIs" dxfId="482" priority="12" operator="equal">
      <formula>"DESPESA"</formula>
    </cfRule>
  </conditionalFormatting>
  <conditionalFormatting sqref="D7:D84">
    <cfRule type="cellIs" dxfId="481" priority="3" operator="equal">
      <formula>"RECEITA"</formula>
    </cfRule>
    <cfRule type="cellIs" dxfId="480" priority="4" operator="equal">
      <formula>"DESPESA"</formula>
    </cfRule>
    <cfRule type="cellIs" dxfId="479" priority="5" operator="equal">
      <formula>"RECEITA"</formula>
    </cfRule>
    <cfRule type="cellIs" dxfId="478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475" priority="36" operator="equal">
      <formula>"RECEITA"</formula>
    </cfRule>
    <cfRule type="cellIs" dxfId="474" priority="37" operator="equal">
      <formula>"DESPESA"</formula>
    </cfRule>
    <cfRule type="cellIs" dxfId="473" priority="38" operator="equal">
      <formula>"RECEITA"</formula>
    </cfRule>
    <cfRule type="cellIs" dxfId="472" priority="39" operator="equal">
      <formula>"DESPESA"</formula>
    </cfRule>
    <cfRule type="cellIs" dxfId="471" priority="40" operator="equal">
      <formula>"RECEITA"</formula>
    </cfRule>
    <cfRule type="cellIs" dxfId="470" priority="41" operator="equal">
      <formula>"DESPESA"</formula>
    </cfRule>
  </conditionalFormatting>
  <conditionalFormatting sqref="M8">
    <cfRule type="cellIs" dxfId="469" priority="30" operator="equal">
      <formula>"RECEITA"</formula>
    </cfRule>
    <cfRule type="cellIs" dxfId="468" priority="31" operator="equal">
      <formula>"DESPESA"</formula>
    </cfRule>
    <cfRule type="cellIs" dxfId="467" priority="32" operator="equal">
      <formula>"RECEITA"</formula>
    </cfRule>
    <cfRule type="cellIs" dxfId="466" priority="33" operator="equal">
      <formula>"DESPESA"</formula>
    </cfRule>
    <cfRule type="cellIs" dxfId="465" priority="34" operator="equal">
      <formula>"RECEITA"</formula>
    </cfRule>
    <cfRule type="cellIs" dxfId="464" priority="35" operator="equal">
      <formula>"DESPESA"</formula>
    </cfRule>
  </conditionalFormatting>
  <conditionalFormatting sqref="M9">
    <cfRule type="cellIs" dxfId="463" priority="24" operator="equal">
      <formula>"RECEITA"</formula>
    </cfRule>
    <cfRule type="cellIs" dxfId="462" priority="25" operator="equal">
      <formula>"DESPESA"</formula>
    </cfRule>
    <cfRule type="cellIs" dxfId="461" priority="26" operator="equal">
      <formula>"RECEITA"</formula>
    </cfRule>
    <cfRule type="cellIs" dxfId="460" priority="27" operator="equal">
      <formula>"DESPESA"</formula>
    </cfRule>
    <cfRule type="cellIs" dxfId="459" priority="28" operator="equal">
      <formula>"RECEITA"</formula>
    </cfRule>
    <cfRule type="cellIs" dxfId="458" priority="29" operator="equal">
      <formula>"DESPESA"</formula>
    </cfRule>
  </conditionalFormatting>
  <conditionalFormatting sqref="N10">
    <cfRule type="cellIs" dxfId="457" priority="19" operator="greaterThan">
      <formula>0</formula>
    </cfRule>
    <cfRule type="cellIs" dxfId="456" priority="20" operator="greaterThan">
      <formula>0</formula>
    </cfRule>
    <cfRule type="cellIs" dxfId="455" priority="21" operator="greaterThan">
      <formula>0</formula>
    </cfRule>
    <cfRule type="cellIs" dxfId="454" priority="22" operator="lessThan">
      <formula>0</formula>
    </cfRule>
    <cfRule type="cellIs" dxfId="453" priority="23" operator="greaterThan">
      <formula>0</formula>
    </cfRule>
  </conditionalFormatting>
  <conditionalFormatting sqref="E7:E84">
    <cfRule type="cellIs" dxfId="452" priority="7" operator="equal">
      <formula>"RECEITA"</formula>
    </cfRule>
    <cfRule type="cellIs" dxfId="451" priority="8" operator="equal">
      <formula>"DESPESA"</formula>
    </cfRule>
    <cfRule type="cellIs" dxfId="450" priority="9" operator="equal">
      <formula>"RECEITA"</formula>
    </cfRule>
    <cfRule type="cellIs" dxfId="449" priority="10" operator="equal">
      <formula>"DESPESA"</formula>
    </cfRule>
    <cfRule type="cellIs" dxfId="448" priority="11" operator="equal">
      <formula>"RECEITA"</formula>
    </cfRule>
    <cfRule type="cellIs" dxfId="447" priority="12" operator="equal">
      <formula>"DESPESA"</formula>
    </cfRule>
  </conditionalFormatting>
  <conditionalFormatting sqref="D7:D84">
    <cfRule type="cellIs" dxfId="446" priority="3" operator="equal">
      <formula>"RECEITA"</formula>
    </cfRule>
    <cfRule type="cellIs" dxfId="445" priority="4" operator="equal">
      <formula>"DESPESA"</formula>
    </cfRule>
    <cfRule type="cellIs" dxfId="444" priority="5" operator="equal">
      <formula>"RECEITA"</formula>
    </cfRule>
    <cfRule type="cellIs" dxfId="44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440" priority="36" operator="equal">
      <formula>"RECEITA"</formula>
    </cfRule>
    <cfRule type="cellIs" dxfId="439" priority="37" operator="equal">
      <formula>"DESPESA"</formula>
    </cfRule>
    <cfRule type="cellIs" dxfId="438" priority="38" operator="equal">
      <formula>"RECEITA"</formula>
    </cfRule>
    <cfRule type="cellIs" dxfId="437" priority="39" operator="equal">
      <formula>"DESPESA"</formula>
    </cfRule>
    <cfRule type="cellIs" dxfId="436" priority="40" operator="equal">
      <formula>"RECEITA"</formula>
    </cfRule>
    <cfRule type="cellIs" dxfId="435" priority="41" operator="equal">
      <formula>"DESPESA"</formula>
    </cfRule>
  </conditionalFormatting>
  <conditionalFormatting sqref="M8">
    <cfRule type="cellIs" dxfId="434" priority="30" operator="equal">
      <formula>"RECEITA"</formula>
    </cfRule>
    <cfRule type="cellIs" dxfId="433" priority="31" operator="equal">
      <formula>"DESPESA"</formula>
    </cfRule>
    <cfRule type="cellIs" dxfId="432" priority="32" operator="equal">
      <formula>"RECEITA"</formula>
    </cfRule>
    <cfRule type="cellIs" dxfId="431" priority="33" operator="equal">
      <formula>"DESPESA"</formula>
    </cfRule>
    <cfRule type="cellIs" dxfId="430" priority="34" operator="equal">
      <formula>"RECEITA"</formula>
    </cfRule>
    <cfRule type="cellIs" dxfId="429" priority="35" operator="equal">
      <formula>"DESPESA"</formula>
    </cfRule>
  </conditionalFormatting>
  <conditionalFormatting sqref="M9">
    <cfRule type="cellIs" dxfId="428" priority="24" operator="equal">
      <formula>"RECEITA"</formula>
    </cfRule>
    <cfRule type="cellIs" dxfId="427" priority="25" operator="equal">
      <formula>"DESPESA"</formula>
    </cfRule>
    <cfRule type="cellIs" dxfId="426" priority="26" operator="equal">
      <formula>"RECEITA"</formula>
    </cfRule>
    <cfRule type="cellIs" dxfId="425" priority="27" operator="equal">
      <formula>"DESPESA"</formula>
    </cfRule>
    <cfRule type="cellIs" dxfId="424" priority="28" operator="equal">
      <formula>"RECEITA"</formula>
    </cfRule>
    <cfRule type="cellIs" dxfId="423" priority="29" operator="equal">
      <formula>"DESPESA"</formula>
    </cfRule>
  </conditionalFormatting>
  <conditionalFormatting sqref="N10">
    <cfRule type="cellIs" dxfId="422" priority="19" operator="greaterThan">
      <formula>0</formula>
    </cfRule>
    <cfRule type="cellIs" dxfId="421" priority="20" operator="greaterThan">
      <formula>0</formula>
    </cfRule>
    <cfRule type="cellIs" dxfId="420" priority="21" operator="greaterThan">
      <formula>0</formula>
    </cfRule>
    <cfRule type="cellIs" dxfId="419" priority="22" operator="lessThan">
      <formula>0</formula>
    </cfRule>
    <cfRule type="cellIs" dxfId="418" priority="23" operator="greaterThan">
      <formula>0</formula>
    </cfRule>
  </conditionalFormatting>
  <conditionalFormatting sqref="E7:E84">
    <cfRule type="cellIs" dxfId="417" priority="7" operator="equal">
      <formula>"RECEITA"</formula>
    </cfRule>
    <cfRule type="cellIs" dxfId="416" priority="8" operator="equal">
      <formula>"DESPESA"</formula>
    </cfRule>
    <cfRule type="cellIs" dxfId="415" priority="9" operator="equal">
      <formula>"RECEITA"</formula>
    </cfRule>
    <cfRule type="cellIs" dxfId="414" priority="10" operator="equal">
      <formula>"DESPESA"</formula>
    </cfRule>
    <cfRule type="cellIs" dxfId="413" priority="11" operator="equal">
      <formula>"RECEITA"</formula>
    </cfRule>
    <cfRule type="cellIs" dxfId="412" priority="12" operator="equal">
      <formula>"DESPESA"</formula>
    </cfRule>
  </conditionalFormatting>
  <conditionalFormatting sqref="D7:D84">
    <cfRule type="cellIs" dxfId="411" priority="3" operator="equal">
      <formula>"RECEITA"</formula>
    </cfRule>
    <cfRule type="cellIs" dxfId="410" priority="4" operator="equal">
      <formula>"DESPESA"</formula>
    </cfRule>
    <cfRule type="cellIs" dxfId="409" priority="5" operator="equal">
      <formula>"RECEITA"</formula>
    </cfRule>
    <cfRule type="cellIs" dxfId="408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405" priority="36" operator="equal">
      <formula>"RECEITA"</formula>
    </cfRule>
    <cfRule type="cellIs" dxfId="404" priority="37" operator="equal">
      <formula>"DESPESA"</formula>
    </cfRule>
    <cfRule type="cellIs" dxfId="403" priority="38" operator="equal">
      <formula>"RECEITA"</formula>
    </cfRule>
    <cfRule type="cellIs" dxfId="402" priority="39" operator="equal">
      <formula>"DESPESA"</formula>
    </cfRule>
    <cfRule type="cellIs" dxfId="401" priority="40" operator="equal">
      <formula>"RECEITA"</formula>
    </cfRule>
    <cfRule type="cellIs" dxfId="400" priority="41" operator="equal">
      <formula>"DESPESA"</formula>
    </cfRule>
  </conditionalFormatting>
  <conditionalFormatting sqref="M8">
    <cfRule type="cellIs" dxfId="399" priority="30" operator="equal">
      <formula>"RECEITA"</formula>
    </cfRule>
    <cfRule type="cellIs" dxfId="398" priority="31" operator="equal">
      <formula>"DESPESA"</formula>
    </cfRule>
    <cfRule type="cellIs" dxfId="397" priority="32" operator="equal">
      <formula>"RECEITA"</formula>
    </cfRule>
    <cfRule type="cellIs" dxfId="396" priority="33" operator="equal">
      <formula>"DESPESA"</formula>
    </cfRule>
    <cfRule type="cellIs" dxfId="395" priority="34" operator="equal">
      <formula>"RECEITA"</formula>
    </cfRule>
    <cfRule type="cellIs" dxfId="394" priority="35" operator="equal">
      <formula>"DESPESA"</formula>
    </cfRule>
  </conditionalFormatting>
  <conditionalFormatting sqref="M9">
    <cfRule type="cellIs" dxfId="393" priority="24" operator="equal">
      <formula>"RECEITA"</formula>
    </cfRule>
    <cfRule type="cellIs" dxfId="392" priority="25" operator="equal">
      <formula>"DESPESA"</formula>
    </cfRule>
    <cfRule type="cellIs" dxfId="391" priority="26" operator="equal">
      <formula>"RECEITA"</formula>
    </cfRule>
    <cfRule type="cellIs" dxfId="390" priority="27" operator="equal">
      <formula>"DESPESA"</formula>
    </cfRule>
    <cfRule type="cellIs" dxfId="389" priority="28" operator="equal">
      <formula>"RECEITA"</formula>
    </cfRule>
    <cfRule type="cellIs" dxfId="388" priority="29" operator="equal">
      <formula>"DESPESA"</formula>
    </cfRule>
  </conditionalFormatting>
  <conditionalFormatting sqref="N10">
    <cfRule type="cellIs" dxfId="387" priority="19" operator="greaterThan">
      <formula>0</formula>
    </cfRule>
    <cfRule type="cellIs" dxfId="386" priority="20" operator="greaterThan">
      <formula>0</formula>
    </cfRule>
    <cfRule type="cellIs" dxfId="385" priority="21" operator="greaterThan">
      <formula>0</formula>
    </cfRule>
    <cfRule type="cellIs" dxfId="384" priority="22" operator="lessThan">
      <formula>0</formula>
    </cfRule>
    <cfRule type="cellIs" dxfId="383" priority="23" operator="greaterThan">
      <formula>0</formula>
    </cfRule>
  </conditionalFormatting>
  <conditionalFormatting sqref="E7:E84">
    <cfRule type="cellIs" dxfId="382" priority="7" operator="equal">
      <formula>"RECEITA"</formula>
    </cfRule>
    <cfRule type="cellIs" dxfId="381" priority="8" operator="equal">
      <formula>"DESPESA"</formula>
    </cfRule>
    <cfRule type="cellIs" dxfId="380" priority="9" operator="equal">
      <formula>"RECEITA"</formula>
    </cfRule>
    <cfRule type="cellIs" dxfId="379" priority="10" operator="equal">
      <formula>"DESPESA"</formula>
    </cfRule>
    <cfRule type="cellIs" dxfId="378" priority="11" operator="equal">
      <formula>"RECEITA"</formula>
    </cfRule>
    <cfRule type="cellIs" dxfId="377" priority="12" operator="equal">
      <formula>"DESPESA"</formula>
    </cfRule>
  </conditionalFormatting>
  <conditionalFormatting sqref="D7:D84">
    <cfRule type="cellIs" dxfId="376" priority="3" operator="equal">
      <formula>"RECEITA"</formula>
    </cfRule>
    <cfRule type="cellIs" dxfId="375" priority="4" operator="equal">
      <formula>"DESPESA"</formula>
    </cfRule>
    <cfRule type="cellIs" dxfId="374" priority="5" operator="equal">
      <formula>"RECEITA"</formula>
    </cfRule>
    <cfRule type="cellIs" dxfId="37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70" priority="36" operator="equal">
      <formula>"RECEITA"</formula>
    </cfRule>
    <cfRule type="cellIs" dxfId="369" priority="37" operator="equal">
      <formula>"DESPESA"</formula>
    </cfRule>
    <cfRule type="cellIs" dxfId="368" priority="38" operator="equal">
      <formula>"RECEITA"</formula>
    </cfRule>
    <cfRule type="cellIs" dxfId="367" priority="39" operator="equal">
      <formula>"DESPESA"</formula>
    </cfRule>
    <cfRule type="cellIs" dxfId="366" priority="40" operator="equal">
      <formula>"RECEITA"</formula>
    </cfRule>
    <cfRule type="cellIs" dxfId="365" priority="41" operator="equal">
      <formula>"DESPESA"</formula>
    </cfRule>
  </conditionalFormatting>
  <conditionalFormatting sqref="M8">
    <cfRule type="cellIs" dxfId="364" priority="30" operator="equal">
      <formula>"RECEITA"</formula>
    </cfRule>
    <cfRule type="cellIs" dxfId="363" priority="31" operator="equal">
      <formula>"DESPESA"</formula>
    </cfRule>
    <cfRule type="cellIs" dxfId="362" priority="32" operator="equal">
      <formula>"RECEITA"</formula>
    </cfRule>
    <cfRule type="cellIs" dxfId="361" priority="33" operator="equal">
      <formula>"DESPESA"</formula>
    </cfRule>
    <cfRule type="cellIs" dxfId="360" priority="34" operator="equal">
      <formula>"RECEITA"</formula>
    </cfRule>
    <cfRule type="cellIs" dxfId="359" priority="35" operator="equal">
      <formula>"DESPESA"</formula>
    </cfRule>
  </conditionalFormatting>
  <conditionalFormatting sqref="M9">
    <cfRule type="cellIs" dxfId="358" priority="24" operator="equal">
      <formula>"RECEITA"</formula>
    </cfRule>
    <cfRule type="cellIs" dxfId="357" priority="25" operator="equal">
      <formula>"DESPESA"</formula>
    </cfRule>
    <cfRule type="cellIs" dxfId="356" priority="26" operator="equal">
      <formula>"RECEITA"</formula>
    </cfRule>
    <cfRule type="cellIs" dxfId="355" priority="27" operator="equal">
      <formula>"DESPESA"</formula>
    </cfRule>
    <cfRule type="cellIs" dxfId="354" priority="28" operator="equal">
      <formula>"RECEITA"</formula>
    </cfRule>
    <cfRule type="cellIs" dxfId="353" priority="29" operator="equal">
      <formula>"DESPESA"</formula>
    </cfRule>
  </conditionalFormatting>
  <conditionalFormatting sqref="N10">
    <cfRule type="cellIs" dxfId="352" priority="19" operator="greaterThan">
      <formula>0</formula>
    </cfRule>
    <cfRule type="cellIs" dxfId="351" priority="20" operator="greaterThan">
      <formula>0</formula>
    </cfRule>
    <cfRule type="cellIs" dxfId="350" priority="21" operator="greaterThan">
      <formula>0</formula>
    </cfRule>
    <cfRule type="cellIs" dxfId="349" priority="22" operator="lessThan">
      <formula>0</formula>
    </cfRule>
    <cfRule type="cellIs" dxfId="348" priority="23" operator="greaterThan">
      <formula>0</formula>
    </cfRule>
  </conditionalFormatting>
  <conditionalFormatting sqref="E7:E84">
    <cfRule type="cellIs" dxfId="347" priority="7" operator="equal">
      <formula>"RECEITA"</formula>
    </cfRule>
    <cfRule type="cellIs" dxfId="346" priority="8" operator="equal">
      <formula>"DESPESA"</formula>
    </cfRule>
    <cfRule type="cellIs" dxfId="345" priority="9" operator="equal">
      <formula>"RECEITA"</formula>
    </cfRule>
    <cfRule type="cellIs" dxfId="344" priority="10" operator="equal">
      <formula>"DESPESA"</formula>
    </cfRule>
    <cfRule type="cellIs" dxfId="343" priority="11" operator="equal">
      <formula>"RECEITA"</formula>
    </cfRule>
    <cfRule type="cellIs" dxfId="342" priority="12" operator="equal">
      <formula>"DESPESA"</formula>
    </cfRule>
  </conditionalFormatting>
  <conditionalFormatting sqref="D7:D84">
    <cfRule type="cellIs" dxfId="341" priority="3" operator="equal">
      <formula>"RECEITA"</formula>
    </cfRule>
    <cfRule type="cellIs" dxfId="340" priority="4" operator="equal">
      <formula>"DESPESA"</formula>
    </cfRule>
    <cfRule type="cellIs" dxfId="339" priority="5" operator="equal">
      <formula>"RECEITA"</formula>
    </cfRule>
    <cfRule type="cellIs" dxfId="338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91" t="s">
        <v>14</v>
      </c>
      <c r="N7" s="91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335" priority="36" operator="equal">
      <formula>"RECEITA"</formula>
    </cfRule>
    <cfRule type="cellIs" dxfId="334" priority="37" operator="equal">
      <formula>"DESPESA"</formula>
    </cfRule>
    <cfRule type="cellIs" dxfId="333" priority="38" operator="equal">
      <formula>"RECEITA"</formula>
    </cfRule>
    <cfRule type="cellIs" dxfId="332" priority="39" operator="equal">
      <formula>"DESPESA"</formula>
    </cfRule>
    <cfRule type="cellIs" dxfId="331" priority="40" operator="equal">
      <formula>"RECEITA"</formula>
    </cfRule>
    <cfRule type="cellIs" dxfId="330" priority="41" operator="equal">
      <formula>"DESPESA"</formula>
    </cfRule>
  </conditionalFormatting>
  <conditionalFormatting sqref="M8">
    <cfRule type="cellIs" dxfId="329" priority="30" operator="equal">
      <formula>"RECEITA"</formula>
    </cfRule>
    <cfRule type="cellIs" dxfId="328" priority="31" operator="equal">
      <formula>"DESPESA"</formula>
    </cfRule>
    <cfRule type="cellIs" dxfId="327" priority="32" operator="equal">
      <formula>"RECEITA"</formula>
    </cfRule>
    <cfRule type="cellIs" dxfId="326" priority="33" operator="equal">
      <formula>"DESPESA"</formula>
    </cfRule>
    <cfRule type="cellIs" dxfId="325" priority="34" operator="equal">
      <formula>"RECEITA"</formula>
    </cfRule>
    <cfRule type="cellIs" dxfId="324" priority="35" operator="equal">
      <formula>"DESPESA"</formula>
    </cfRule>
  </conditionalFormatting>
  <conditionalFormatting sqref="M9">
    <cfRule type="cellIs" dxfId="323" priority="24" operator="equal">
      <formula>"RECEITA"</formula>
    </cfRule>
    <cfRule type="cellIs" dxfId="322" priority="25" operator="equal">
      <formula>"DESPESA"</formula>
    </cfRule>
    <cfRule type="cellIs" dxfId="321" priority="26" operator="equal">
      <formula>"RECEITA"</formula>
    </cfRule>
    <cfRule type="cellIs" dxfId="320" priority="27" operator="equal">
      <formula>"DESPESA"</formula>
    </cfRule>
    <cfRule type="cellIs" dxfId="319" priority="28" operator="equal">
      <formula>"RECEITA"</formula>
    </cfRule>
    <cfRule type="cellIs" dxfId="318" priority="29" operator="equal">
      <formula>"DESPESA"</formula>
    </cfRule>
  </conditionalFormatting>
  <conditionalFormatting sqref="N10">
    <cfRule type="cellIs" dxfId="317" priority="19" operator="greaterThan">
      <formula>0</formula>
    </cfRule>
    <cfRule type="cellIs" dxfId="316" priority="20" operator="greaterThan">
      <formula>0</formula>
    </cfRule>
    <cfRule type="cellIs" dxfId="315" priority="21" operator="greaterThan">
      <formula>0</formula>
    </cfRule>
    <cfRule type="cellIs" dxfId="314" priority="22" operator="lessThan">
      <formula>0</formula>
    </cfRule>
    <cfRule type="cellIs" dxfId="313" priority="23" operator="greaterThan">
      <formula>0</formula>
    </cfRule>
  </conditionalFormatting>
  <conditionalFormatting sqref="E7:E84">
    <cfRule type="cellIs" dxfId="312" priority="7" operator="equal">
      <formula>"RECEITA"</formula>
    </cfRule>
    <cfRule type="cellIs" dxfId="311" priority="8" operator="equal">
      <formula>"DESPESA"</formula>
    </cfRule>
    <cfRule type="cellIs" dxfId="310" priority="9" operator="equal">
      <formula>"RECEITA"</formula>
    </cfRule>
    <cfRule type="cellIs" dxfId="309" priority="10" operator="equal">
      <formula>"DESPESA"</formula>
    </cfRule>
    <cfRule type="cellIs" dxfId="308" priority="11" operator="equal">
      <formula>"RECEITA"</formula>
    </cfRule>
    <cfRule type="cellIs" dxfId="307" priority="12" operator="equal">
      <formula>"DESPESA"</formula>
    </cfRule>
  </conditionalFormatting>
  <conditionalFormatting sqref="D7:D84">
    <cfRule type="cellIs" dxfId="306" priority="3" operator="equal">
      <formula>"RECEITA"</formula>
    </cfRule>
    <cfRule type="cellIs" dxfId="305" priority="4" operator="equal">
      <formula>"DESPESA"</formula>
    </cfRule>
    <cfRule type="cellIs" dxfId="304" priority="5" operator="equal">
      <formula>"RECEITA"</formula>
    </cfRule>
    <cfRule type="cellIs" dxfId="303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>
      <selection activeCell="G3" sqref="G3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84" t="str">
        <f>'FLUXO DE CAIXA (2)'!B12</f>
        <v>VALOR ACUMULADO</v>
      </c>
      <c r="E3" s="84" t="str">
        <f>'FLUXO DE CAIXA (2)'!B9</f>
        <v>RECEITAS</v>
      </c>
      <c r="G3" s="84" t="str">
        <f>'FLUXO DE CAIXA (2)'!B10</f>
        <v>DESPESAS</v>
      </c>
      <c r="I3" s="84" t="str">
        <f>'FLUXO DE CAIXA (2)'!B11</f>
        <v>SALDO FINANCEIRO</v>
      </c>
    </row>
    <row r="4" spans="3:9" ht="43.5" customHeight="1" x14ac:dyDescent="0.5">
      <c r="C4" s="87">
        <f>'AUXILIAR 2'!J10</f>
        <v>411</v>
      </c>
      <c r="E4" s="86">
        <f>'AUXILIAR 2'!J7</f>
        <v>1505</v>
      </c>
      <c r="G4" s="88">
        <f>'AUXILIAR 2'!J8</f>
        <v>1205</v>
      </c>
      <c r="I4" s="87">
        <f>'AUXILIAR 2'!J9</f>
        <v>300</v>
      </c>
    </row>
    <row r="5" spans="3:9" ht="33.75" x14ac:dyDescent="0.5">
      <c r="E5" s="73"/>
      <c r="F5" s="73"/>
      <c r="G5" s="73"/>
      <c r="H5" s="73"/>
      <c r="I5" s="83"/>
    </row>
    <row r="6" spans="3:9" ht="22.5" customHeight="1" x14ac:dyDescent="0.25">
      <c r="C6" s="84" t="str">
        <f>'FLUXO DE CAIXA (2)'!B16</f>
        <v>CONTAS A RECEBER</v>
      </c>
      <c r="D6" s="77"/>
      <c r="E6" s="72"/>
      <c r="F6" s="72"/>
      <c r="G6" s="72"/>
      <c r="H6" s="72"/>
      <c r="I6" s="76"/>
    </row>
    <row r="7" spans="3:9" ht="43.5" customHeight="1" x14ac:dyDescent="0.5">
      <c r="C7" s="86">
        <f>'AUXILIAR 2'!J11</f>
        <v>18</v>
      </c>
      <c r="D7" s="77"/>
      <c r="E7" s="53"/>
      <c r="F7" s="72"/>
      <c r="G7" s="72"/>
      <c r="H7" s="72"/>
      <c r="I7" s="77"/>
    </row>
    <row r="8" spans="3:9" x14ac:dyDescent="0.25">
      <c r="D8" s="77"/>
      <c r="E8" s="72"/>
      <c r="F8" s="72"/>
      <c r="G8" s="72"/>
      <c r="H8" s="72"/>
      <c r="I8" s="77"/>
    </row>
    <row r="9" spans="3:9" ht="22.5" customHeight="1" x14ac:dyDescent="0.25">
      <c r="C9" s="84" t="str">
        <f>'FLUXO DE CAIXA (2)'!B17</f>
        <v>CONTAS A PAGAR</v>
      </c>
      <c r="D9" s="77"/>
      <c r="E9" s="72"/>
      <c r="F9" s="72"/>
      <c r="G9" s="72"/>
      <c r="H9" s="72"/>
      <c r="I9" s="77"/>
    </row>
    <row r="10" spans="3:9" ht="43.5" customHeight="1" x14ac:dyDescent="0.5">
      <c r="C10" s="88">
        <f>'AUXILIAR 2'!J12</f>
        <v>0</v>
      </c>
      <c r="D10" s="77"/>
      <c r="E10" s="72"/>
      <c r="F10" s="72"/>
      <c r="G10" s="72"/>
      <c r="H10" s="72"/>
      <c r="I10" s="77"/>
    </row>
    <row r="11" spans="3:9" ht="16.5" customHeight="1" x14ac:dyDescent="0.25">
      <c r="D11" s="77"/>
      <c r="E11" s="72"/>
      <c r="F11" s="72"/>
      <c r="G11" s="72"/>
      <c r="H11" s="72"/>
      <c r="I11" s="77"/>
    </row>
    <row r="12" spans="3:9" ht="22.5" customHeight="1" x14ac:dyDescent="0.25">
      <c r="C12" s="84" t="str">
        <f>'FLUXO DE CAIXA (2)'!B18</f>
        <v>NECESSIDADE DE CAIXA</v>
      </c>
      <c r="D12" s="77"/>
      <c r="E12" s="72"/>
      <c r="F12" s="72"/>
      <c r="G12" s="72"/>
      <c r="H12" s="72"/>
      <c r="I12" s="77"/>
    </row>
    <row r="13" spans="3:9" ht="43.5" customHeight="1" x14ac:dyDescent="0.25">
      <c r="C13" s="87">
        <f>'AUXILIAR 2'!J13</f>
        <v>18</v>
      </c>
      <c r="D13" s="77"/>
      <c r="E13" s="78"/>
      <c r="F13" s="73"/>
      <c r="G13" s="73"/>
      <c r="H13" s="73"/>
      <c r="I13" s="79"/>
    </row>
  </sheetData>
  <conditionalFormatting sqref="C13 E7">
    <cfRule type="cellIs" dxfId="300" priority="5" operator="lessThan">
      <formula>0</formula>
    </cfRule>
    <cfRule type="cellIs" dxfId="299" priority="6" operator="greaterThan">
      <formula>0</formula>
    </cfRule>
  </conditionalFormatting>
  <conditionalFormatting sqref="I4">
    <cfRule type="cellIs" dxfId="298" priority="3" operator="lessThan">
      <formula>0</formula>
    </cfRule>
    <cfRule type="cellIs" dxfId="297" priority="4" operator="greaterThan">
      <formula>0</formula>
    </cfRule>
  </conditionalFormatting>
  <conditionalFormatting sqref="C4">
    <cfRule type="cellIs" dxfId="296" priority="1" operator="lessThan">
      <formula>0</formula>
    </cfRule>
    <cfRule type="cellIs" dxfId="29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tabSelected="1" topLeftCell="C1" zoomScaleNormal="100" workbookViewId="0">
      <selection activeCell="E5" sqref="E5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45">
      <c r="C1" s="101" t="s">
        <v>202</v>
      </c>
      <c r="D1" s="75"/>
      <c r="E1" s="103" t="s">
        <v>204</v>
      </c>
      <c r="F1" s="75"/>
      <c r="G1" s="75"/>
      <c r="H1" s="75"/>
      <c r="I1" s="102" t="s">
        <v>203</v>
      </c>
    </row>
    <row r="2" spans="3:9" ht="6.75" customHeight="1" x14ac:dyDescent="0.25"/>
    <row r="3" spans="3:9" ht="22.5" customHeight="1" x14ac:dyDescent="0.25">
      <c r="C3" s="110" t="str">
        <f xml:space="preserve"> " RESULTADO "  &amp; 'AUXILIAR 2'!M12</f>
        <v xml:space="preserve"> RESULTADO CACUACO</v>
      </c>
      <c r="D3" s="110"/>
      <c r="E3" s="110"/>
      <c r="G3" s="110" t="str">
        <f>"DADOS DO " &amp; 'AUXILIAR 2'!M13</f>
        <v>DADOS DO CATETE</v>
      </c>
      <c r="H3" s="110"/>
      <c r="I3" s="110"/>
    </row>
    <row r="4" spans="3:9" ht="43.5" customHeight="1" x14ac:dyDescent="0.25">
      <c r="C4" s="109">
        <f>'AUXILIAR 2'!N12</f>
        <v>0</v>
      </c>
      <c r="D4" s="109"/>
      <c r="E4" s="109"/>
      <c r="G4" s="109">
        <f>'AUXILIAR 2'!N13</f>
        <v>800</v>
      </c>
      <c r="H4" s="109"/>
      <c r="I4" s="109"/>
    </row>
    <row r="5" spans="3:9" ht="33.75" x14ac:dyDescent="0.5">
      <c r="E5" s="72"/>
      <c r="F5" s="72"/>
      <c r="G5" s="72"/>
      <c r="H5" s="72"/>
      <c r="I5" s="99"/>
    </row>
    <row r="6" spans="3:9" ht="22.5" customHeight="1" x14ac:dyDescent="0.25">
      <c r="C6" s="100"/>
      <c r="D6" s="100"/>
      <c r="E6" s="100"/>
      <c r="F6" s="100"/>
      <c r="G6" s="100"/>
      <c r="H6" s="100"/>
      <c r="I6" s="100"/>
    </row>
    <row r="7" spans="3:9" ht="43.5" customHeight="1" x14ac:dyDescent="0.25">
      <c r="C7" s="100"/>
      <c r="D7" s="100"/>
      <c r="E7" s="100"/>
      <c r="F7" s="100"/>
      <c r="G7" s="100"/>
      <c r="H7" s="100"/>
      <c r="I7" s="100"/>
    </row>
    <row r="8" spans="3:9" x14ac:dyDescent="0.25">
      <c r="C8" s="100"/>
      <c r="D8" s="100"/>
      <c r="E8" s="100"/>
      <c r="F8" s="100"/>
      <c r="G8" s="100"/>
      <c r="H8" s="100"/>
      <c r="I8" s="100"/>
    </row>
    <row r="9" spans="3:9" ht="22.5" customHeight="1" x14ac:dyDescent="0.25">
      <c r="C9" s="100"/>
      <c r="D9" s="100"/>
      <c r="E9" s="100"/>
      <c r="F9" s="100"/>
      <c r="G9" s="100"/>
      <c r="H9" s="100"/>
      <c r="I9" s="100"/>
    </row>
    <row r="10" spans="3:9" ht="43.5" customHeight="1" x14ac:dyDescent="0.25">
      <c r="C10" s="100"/>
      <c r="D10" s="100"/>
      <c r="E10" s="100"/>
      <c r="F10" s="100"/>
      <c r="G10" s="100"/>
      <c r="H10" s="100"/>
      <c r="I10" s="100"/>
    </row>
    <row r="11" spans="3:9" ht="16.5" customHeight="1" x14ac:dyDescent="0.25">
      <c r="C11" s="100"/>
      <c r="D11" s="100"/>
      <c r="E11" s="100"/>
      <c r="F11" s="100"/>
      <c r="G11" s="100"/>
      <c r="H11" s="100"/>
      <c r="I11" s="100"/>
    </row>
    <row r="12" spans="3:9" ht="22.5" customHeight="1" x14ac:dyDescent="0.25">
      <c r="C12" s="100"/>
      <c r="D12" s="100"/>
      <c r="E12" s="100"/>
      <c r="F12" s="100"/>
      <c r="G12" s="100"/>
      <c r="H12" s="100"/>
      <c r="I12" s="100"/>
    </row>
    <row r="13" spans="3:9" ht="43.5" customHeight="1" x14ac:dyDescent="0.25">
      <c r="C13" s="100"/>
      <c r="D13" s="100"/>
      <c r="E13" s="100"/>
      <c r="F13" s="100"/>
      <c r="G13" s="100"/>
      <c r="H13" s="100"/>
      <c r="I13" s="100"/>
    </row>
  </sheetData>
  <mergeCells count="5">
    <mergeCell ref="C4:E4"/>
    <mergeCell ref="G4:I4"/>
    <mergeCell ref="C3:E3"/>
    <mergeCell ref="G3:I3"/>
    <mergeCell ref="C6:I13"/>
  </mergeCells>
  <conditionalFormatting sqref="G4">
    <cfRule type="cellIs" dxfId="28" priority="20" operator="lessThan">
      <formula>0</formula>
    </cfRule>
    <cfRule type="cellIs" dxfId="27" priority="21" operator="greaterThan">
      <formula>0</formula>
    </cfRule>
  </conditionalFormatting>
  <conditionalFormatting sqref="G4:I4">
    <cfRule type="cellIs" dxfId="0" priority="15" operator="greaterThan">
      <formula>$C$4</formula>
    </cfRule>
    <cfRule type="cellIs" dxfId="1" priority="14" operator="lessThan">
      <formula>$C$4</formula>
    </cfRule>
    <cfRule type="cellIs" dxfId="2" priority="13" operator="equal">
      <formula>$C$4</formula>
    </cfRule>
    <cfRule type="cellIs" dxfId="3" priority="5" operator="greaterThan">
      <formula>$G$4</formula>
    </cfRule>
    <cfRule type="cellIs" dxfId="4" priority="1" operator="equal">
      <formula>$C$4</formula>
    </cfRule>
  </conditionalFormatting>
  <conditionalFormatting sqref="C4">
    <cfRule type="cellIs" dxfId="26" priority="9" operator="lessThan">
      <formula>0</formula>
    </cfRule>
    <cfRule type="cellIs" dxfId="25" priority="10" operator="greaterThan">
      <formula>0</formula>
    </cfRule>
  </conditionalFormatting>
  <conditionalFormatting sqref="C4:E4">
    <cfRule type="cellIs" dxfId="24" priority="6" operator="equal">
      <formula>$C$4</formula>
    </cfRule>
    <cfRule type="cellIs" dxfId="23" priority="7" operator="lessThan">
      <formula>$C$4</formula>
    </cfRule>
    <cfRule type="cellIs" dxfId="22" priority="8" operator="greaterThan">
      <formula>$C$4</formula>
    </cfRule>
    <cfRule type="cellIs" dxfId="21" priority="4" operator="greaterThan">
      <formula>$G$4</formula>
    </cfRule>
    <cfRule type="cellIs" dxfId="20" priority="3" operator="equal">
      <formula>$G$4</formula>
    </cfRule>
    <cfRule type="cellIs" dxfId="19" priority="2" operator="lessThan">
      <formula>$G$4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Drop Down 1">
              <controlPr defaultSize="0" autoLine="0" autoPict="0">
                <anchor moveWithCells="1">
                  <from>
                    <xdr:col>2</xdr:col>
                    <xdr:colOff>1343025</xdr:colOff>
                    <xdr:row>0</xdr:row>
                    <xdr:rowOff>66675</xdr:rowOff>
                  </from>
                  <to>
                    <xdr:col>2</xdr:col>
                    <xdr:colOff>2781300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4" name="Drop Down 3">
              <controlPr defaultSize="0" autoLine="0" autoPict="0">
                <anchor moveWithCells="1">
                  <from>
                    <xdr:col>5</xdr:col>
                    <xdr:colOff>47625</xdr:colOff>
                    <xdr:row>0</xdr:row>
                    <xdr:rowOff>161925</xdr:rowOff>
                  </from>
                  <to>
                    <xdr:col>6</xdr:col>
                    <xdr:colOff>1781175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5" name="Drop Down 4">
              <controlPr defaultSize="0" autoLine="0" autoPict="0">
                <anchor moveWithCells="1">
                  <from>
                    <xdr:col>8</xdr:col>
                    <xdr:colOff>1171575</xdr:colOff>
                    <xdr:row>0</xdr:row>
                    <xdr:rowOff>161925</xdr:rowOff>
                  </from>
                  <to>
                    <xdr:col>8</xdr:col>
                    <xdr:colOff>2857500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Y14"/>
  <sheetViews>
    <sheetView showGridLines="0" topLeftCell="J1" zoomScale="80" zoomScaleNormal="80" workbookViewId="0">
      <selection activeCell="N8" sqref="N8:Y10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  <col min="13" max="13" width="43.140625" bestFit="1" customWidth="1"/>
    <col min="14" max="14" width="15.5703125" bestFit="1" customWidth="1"/>
  </cols>
  <sheetData>
    <row r="2" spans="2:25" x14ac:dyDescent="0.25">
      <c r="B2" s="93" t="s">
        <v>182</v>
      </c>
      <c r="C2" s="93"/>
      <c r="E2" t="s">
        <v>183</v>
      </c>
      <c r="F2" s="71">
        <v>5</v>
      </c>
      <c r="I2" t="s">
        <v>192</v>
      </c>
      <c r="J2">
        <v>1</v>
      </c>
      <c r="M2" t="s">
        <v>198</v>
      </c>
      <c r="N2">
        <v>7</v>
      </c>
      <c r="O2" t="s">
        <v>83</v>
      </c>
    </row>
    <row r="3" spans="2:25" x14ac:dyDescent="0.25">
      <c r="B3" s="45">
        <v>1</v>
      </c>
      <c r="C3" s="45" t="s">
        <v>20</v>
      </c>
      <c r="M3" t="s">
        <v>199</v>
      </c>
      <c r="N3">
        <v>2</v>
      </c>
      <c r="O3" t="s">
        <v>208</v>
      </c>
    </row>
    <row r="4" spans="2:25" x14ac:dyDescent="0.25">
      <c r="B4" s="45">
        <v>2</v>
      </c>
      <c r="C4" s="45" t="s">
        <v>21</v>
      </c>
      <c r="E4" t="s">
        <v>184</v>
      </c>
      <c r="F4" t="s">
        <v>185</v>
      </c>
      <c r="M4" t="s">
        <v>200</v>
      </c>
      <c r="N4">
        <v>8</v>
      </c>
      <c r="O4" t="s">
        <v>208</v>
      </c>
    </row>
    <row r="5" spans="2:25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  <c r="M5" t="s">
        <v>201</v>
      </c>
      <c r="N5">
        <v>1</v>
      </c>
    </row>
    <row r="6" spans="2:25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2" t="s">
        <v>186</v>
      </c>
      <c r="M6" s="104"/>
      <c r="N6" s="105" t="s">
        <v>205</v>
      </c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7"/>
    </row>
    <row r="7" spans="2:25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5">
        <v>1</v>
      </c>
      <c r="I7" s="72" t="str">
        <f>INDICADORES!B3</f>
        <v>RECEITAS</v>
      </c>
      <c r="J7" s="82">
        <f>INDEX('FLUXO DE CAIXA (2)'!$C$9:$N$18,'AUXILIAR 2'!H7,'AUXILIAR 2'!$J$2)</f>
        <v>1505</v>
      </c>
      <c r="K7" s="50"/>
      <c r="M7" s="104" t="s">
        <v>206</v>
      </c>
      <c r="N7" s="104" t="s">
        <v>20</v>
      </c>
      <c r="O7" s="104" t="s">
        <v>21</v>
      </c>
      <c r="P7" s="104" t="s">
        <v>22</v>
      </c>
      <c r="Q7" s="104" t="s">
        <v>23</v>
      </c>
      <c r="R7" s="104" t="s">
        <v>24</v>
      </c>
      <c r="S7" s="104" t="s">
        <v>25</v>
      </c>
      <c r="T7" s="104" t="s">
        <v>26</v>
      </c>
      <c r="U7" s="104" t="s">
        <v>27</v>
      </c>
      <c r="V7" s="104" t="s">
        <v>28</v>
      </c>
      <c r="W7" s="104" t="s">
        <v>29</v>
      </c>
      <c r="X7" s="104" t="s">
        <v>30</v>
      </c>
      <c r="Y7" s="104" t="s">
        <v>31</v>
      </c>
    </row>
    <row r="8" spans="2:25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5">
        <v>2</v>
      </c>
      <c r="I8" s="72" t="str">
        <f>INDICADORES!B4</f>
        <v>DESPESA</v>
      </c>
      <c r="J8" s="82">
        <f>INDEX('FLUXO DE CAIXA (2)'!$C$9:$N$18,'AUXILIAR 2'!H8,'AUXILIAR 2'!$J$2)</f>
        <v>1205</v>
      </c>
      <c r="K8" s="50"/>
      <c r="M8" s="104" t="str">
        <f>VLOOKUP($N$3,'COMPARAÇAO CENTROS DE CUSTO'!$A$8:$B$18,2,)</f>
        <v>CACUACO</v>
      </c>
      <c r="N8" s="104">
        <f>INDEX('COMPARAÇAO CENTROS DE CUSTO'!$C$8:$N$18,'AUXILIAR 2'!$N$3,'AUXILIAR 2'!N$10)</f>
        <v>-1022</v>
      </c>
      <c r="O8" s="104">
        <f>INDEX('COMPARAÇAO CENTROS DE CUSTO'!$C$8:$N$18,'AUXILIAR 2'!$N$3,'AUXILIAR 2'!O$10)</f>
        <v>0</v>
      </c>
      <c r="P8" s="104">
        <f>INDEX('COMPARAÇAO CENTROS DE CUSTO'!$C$8:$N$18,'AUXILIAR 2'!$N$3,'AUXILIAR 2'!P$10)</f>
        <v>0</v>
      </c>
      <c r="Q8" s="104">
        <f>INDEX('COMPARAÇAO CENTROS DE CUSTO'!$C$8:$N$18,'AUXILIAR 2'!$N$3,'AUXILIAR 2'!Q$10)</f>
        <v>0</v>
      </c>
      <c r="R8" s="104">
        <f>INDEX('COMPARAÇAO CENTROS DE CUSTO'!$C$8:$N$18,'AUXILIAR 2'!$N$3,'AUXILIAR 2'!R$10)</f>
        <v>0</v>
      </c>
      <c r="S8" s="104">
        <f>INDEX('COMPARAÇAO CENTROS DE CUSTO'!$C$8:$N$18,'AUXILIAR 2'!$N$3,'AUXILIAR 2'!S$10)</f>
        <v>0</v>
      </c>
      <c r="T8" s="104">
        <f>INDEX('COMPARAÇAO CENTROS DE CUSTO'!$C$8:$N$18,'AUXILIAR 2'!$N$3,'AUXILIAR 2'!T$10)</f>
        <v>0</v>
      </c>
      <c r="U8" s="104">
        <f>INDEX('COMPARAÇAO CENTROS DE CUSTO'!$C$8:$N$18,'AUXILIAR 2'!$N$3,'AUXILIAR 2'!U$10)</f>
        <v>0</v>
      </c>
      <c r="V8" s="104">
        <f>INDEX('COMPARAÇAO CENTROS DE CUSTO'!$C$8:$N$18,'AUXILIAR 2'!$N$3,'AUXILIAR 2'!V$10)</f>
        <v>0</v>
      </c>
      <c r="W8" s="104">
        <f>INDEX('COMPARAÇAO CENTROS DE CUSTO'!$C$8:$N$18,'AUXILIAR 2'!$N$3,'AUXILIAR 2'!W$10)</f>
        <v>0</v>
      </c>
      <c r="X8" s="104">
        <f>INDEX('COMPARAÇAO CENTROS DE CUSTO'!$C$8:$N$18,'AUXILIAR 2'!$N$3,'AUXILIAR 2'!X$10)</f>
        <v>0</v>
      </c>
      <c r="Y8" s="104">
        <f>INDEX('COMPARAÇAO CENTROS DE CUSTO'!$C$8:$N$18,'AUXILIAR 2'!$N$3,'AUXILIAR 2'!Y$10)</f>
        <v>0</v>
      </c>
    </row>
    <row r="9" spans="2:25" x14ac:dyDescent="0.25">
      <c r="B9" s="45">
        <v>7</v>
      </c>
      <c r="C9" s="45" t="s">
        <v>26</v>
      </c>
      <c r="F9">
        <f>INDEX('FLUXO DE CAIXA (2)'!C13:$N$18,1,'AUXILIAR 2'!$F$2)</f>
        <v>0</v>
      </c>
      <c r="H9" s="85">
        <v>3</v>
      </c>
      <c r="I9" s="72" t="str">
        <f>INDICADORES!B5</f>
        <v>RESULTADOS</v>
      </c>
      <c r="J9" s="82">
        <f>INDEX('FLUXO DE CAIXA (2)'!$C$9:$N$18,'AUXILIAR 2'!H9,'AUXILIAR 2'!$J$2)</f>
        <v>300</v>
      </c>
      <c r="K9" s="50"/>
      <c r="M9" s="104" t="str">
        <f>VLOOKUP($N$4,'COMPARAÇAO CENTROS DE CUSTO'!$A$8:$B$18,2,)</f>
        <v>CATETE</v>
      </c>
      <c r="N9" s="104">
        <f>INDEX('COMPARAÇAO CENTROS DE CUSTO'!$C$8:$N$18,'AUXILIAR 2'!$N$4,'AUXILIAR 2'!N$10)</f>
        <v>0</v>
      </c>
      <c r="O9" s="104">
        <f>INDEX('COMPARAÇAO CENTROS DE CUSTO'!$C$8:$N$18,'AUXILIAR 2'!$N$4,'AUXILIAR 2'!O$10)</f>
        <v>0</v>
      </c>
      <c r="P9" s="104">
        <f>INDEX('COMPARAÇAO CENTROS DE CUSTO'!$C$8:$N$18,'AUXILIAR 2'!$N$4,'AUXILIAR 2'!P$10)</f>
        <v>0</v>
      </c>
      <c r="Q9" s="104">
        <f>INDEX('COMPARAÇAO CENTROS DE CUSTO'!$C$8:$N$18,'AUXILIAR 2'!$N$4,'AUXILIAR 2'!Q$10)</f>
        <v>0</v>
      </c>
      <c r="R9" s="104">
        <f>INDEX('COMPARAÇAO CENTROS DE CUSTO'!$C$8:$N$18,'AUXILIAR 2'!$N$4,'AUXILIAR 2'!R$10)</f>
        <v>0</v>
      </c>
      <c r="S9" s="104">
        <f>INDEX('COMPARAÇAO CENTROS DE CUSTO'!$C$8:$N$18,'AUXILIAR 2'!$N$4,'AUXILIAR 2'!S$10)</f>
        <v>0</v>
      </c>
      <c r="T9" s="104">
        <f>INDEX('COMPARAÇAO CENTROS DE CUSTO'!$C$8:$N$18,'AUXILIAR 2'!$N$4,'AUXILIAR 2'!T$10)</f>
        <v>800</v>
      </c>
      <c r="U9" s="104">
        <f>INDEX('COMPARAÇAO CENTROS DE CUSTO'!$C$8:$N$18,'AUXILIAR 2'!$N$4,'AUXILIAR 2'!U$10)</f>
        <v>0</v>
      </c>
      <c r="V9" s="104">
        <f>INDEX('COMPARAÇAO CENTROS DE CUSTO'!$C$8:$N$18,'AUXILIAR 2'!$N$4,'AUXILIAR 2'!V$10)</f>
        <v>0</v>
      </c>
      <c r="W9" s="104">
        <f>INDEX('COMPARAÇAO CENTROS DE CUSTO'!$C$8:$N$18,'AUXILIAR 2'!$N$4,'AUXILIAR 2'!W$10)</f>
        <v>0</v>
      </c>
      <c r="X9" s="104">
        <f>INDEX('COMPARAÇAO CENTROS DE CUSTO'!$C$8:$N$18,'AUXILIAR 2'!$N$4,'AUXILIAR 2'!X$10)</f>
        <v>-13</v>
      </c>
      <c r="Y9" s="104">
        <f>INDEX('COMPARAÇAO CENTROS DE CUSTO'!$C$8:$N$18,'AUXILIAR 2'!$N$4,'AUXILIAR 2'!Y$10)</f>
        <v>0</v>
      </c>
    </row>
    <row r="10" spans="2:25" x14ac:dyDescent="0.25">
      <c r="B10" s="45">
        <v>8</v>
      </c>
      <c r="C10" s="45" t="s">
        <v>27</v>
      </c>
      <c r="F10">
        <f>INDEX('FLUXO DE CAIXA (2)'!C14:$N$18,1,'AUXILIAR 2'!$F$2)</f>
        <v>0</v>
      </c>
      <c r="H10" s="85">
        <v>4</v>
      </c>
      <c r="I10" s="72" t="str">
        <f>INDICADORES!B6</f>
        <v>ACUMULADO</v>
      </c>
      <c r="J10" s="82">
        <f>INDEX('FLUXO DE CAIXA (2)'!$C$9:$N$18,'AUXILIAR 2'!H10,'AUXILIAR 2'!$J$2)</f>
        <v>411</v>
      </c>
      <c r="K10" s="50"/>
      <c r="M10" s="104" t="s">
        <v>209</v>
      </c>
      <c r="N10" s="104">
        <v>1</v>
      </c>
      <c r="O10" s="104">
        <v>2</v>
      </c>
      <c r="P10" s="104">
        <v>3</v>
      </c>
      <c r="Q10" s="104">
        <v>4</v>
      </c>
      <c r="R10" s="104">
        <v>5</v>
      </c>
      <c r="S10" s="104">
        <v>6</v>
      </c>
      <c r="T10" s="104">
        <v>7</v>
      </c>
      <c r="U10" s="104">
        <v>8</v>
      </c>
      <c r="V10" s="104">
        <v>9</v>
      </c>
      <c r="W10" s="104">
        <v>10</v>
      </c>
      <c r="X10" s="104">
        <v>11</v>
      </c>
      <c r="Y10" s="104">
        <v>12</v>
      </c>
    </row>
    <row r="11" spans="2:25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5">
        <v>8</v>
      </c>
      <c r="I11" s="72" t="str">
        <f>INDICADORES!B7</f>
        <v>CONTAS A RECEBER</v>
      </c>
      <c r="J11" s="82">
        <f>INDEX('FLUXO DE CAIXA (2)'!$C$9:$N$18,'AUXILIAR 2'!H11,'AUXILIAR 2'!$J$2)</f>
        <v>18</v>
      </c>
      <c r="K11" s="50"/>
      <c r="M11" s="108" t="s">
        <v>207</v>
      </c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</row>
    <row r="12" spans="2:25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5">
        <v>9</v>
      </c>
      <c r="I12" s="72" t="str">
        <f>INDICADORES!B8</f>
        <v>CONTAS A PAGAR</v>
      </c>
      <c r="J12" s="82">
        <f>INDEX('FLUXO DE CAIXA (2)'!$C$9:$N$18,'AUXILIAR 2'!H12,'AUXILIAR 2'!$J$2)</f>
        <v>0</v>
      </c>
      <c r="K12" s="50"/>
      <c r="M12" s="104" t="str">
        <f>VLOOKUP($N$3,'COMPARAÇAO CENTROS DE CUSTO'!$A$8:$B$18,2,)</f>
        <v>CACUACO</v>
      </c>
      <c r="N12" s="82">
        <f>INDEX('COMPARAÇAO CENTROS DE CUSTO'!$C$8:$N$18,'AUXILIAR 2'!$N$3,'AUXILIAR 2'!$N$2)</f>
        <v>0</v>
      </c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</row>
    <row r="13" spans="2:25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5">
        <v>10</v>
      </c>
      <c r="I13" s="72" t="str">
        <f>INDICADORES!B9</f>
        <v>NECESSIDADE DE CAIXA</v>
      </c>
      <c r="J13" s="82">
        <f>INDEX('FLUXO DE CAIXA (2)'!$C$9:$N$18,'AUXILIAR 2'!H13,'AUXILIAR 2'!$J$2)</f>
        <v>18</v>
      </c>
      <c r="K13" s="50"/>
      <c r="M13" s="104" t="str">
        <f>VLOOKUP($N$4,'COMPARAÇAO CENTROS DE CUSTO'!$A$8:$B$18,2,)</f>
        <v>CATETE</v>
      </c>
      <c r="N13" s="82">
        <f>INDEX('COMPARAÇAO CENTROS DE CUSTO'!$C$8:$N$18,'AUXILIAR 2'!$N$4,'AUXILIAR 2'!$N$2)</f>
        <v>800</v>
      </c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</row>
    <row r="14" spans="2:25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2">
    <mergeCell ref="B2:C2"/>
    <mergeCell ref="N6:Y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selection activeCell="G3" sqref="G3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60" customFormat="1" ht="31.5" customHeight="1" x14ac:dyDescent="0.25"/>
    <row r="2" spans="2:18" s="60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70" t="s">
        <v>20</v>
      </c>
      <c r="D7" s="70" t="s">
        <v>21</v>
      </c>
      <c r="E7" s="70" t="s">
        <v>22</v>
      </c>
      <c r="F7" s="70" t="s">
        <v>23</v>
      </c>
      <c r="G7" s="70" t="s">
        <v>24</v>
      </c>
      <c r="H7" s="70" t="s">
        <v>25</v>
      </c>
      <c r="I7" s="70" t="s">
        <v>26</v>
      </c>
      <c r="J7" s="70" t="s">
        <v>27</v>
      </c>
      <c r="K7" s="70" t="s">
        <v>28</v>
      </c>
      <c r="L7" s="70" t="s">
        <v>29</v>
      </c>
      <c r="M7" s="70" t="s">
        <v>30</v>
      </c>
      <c r="N7" s="70" t="s">
        <v>31</v>
      </c>
      <c r="O7" s="70" t="s">
        <v>37</v>
      </c>
      <c r="P7" s="70" t="s">
        <v>32</v>
      </c>
      <c r="Q7" s="55"/>
      <c r="R7" s="55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6447</v>
      </c>
      <c r="K8" s="53">
        <f t="shared" si="0"/>
        <v>6447</v>
      </c>
      <c r="L8" s="53">
        <f t="shared" si="0"/>
        <v>5841</v>
      </c>
      <c r="M8" s="53">
        <f t="shared" si="0"/>
        <v>4394.6000000000004</v>
      </c>
      <c r="N8" s="53">
        <f t="shared" si="0"/>
        <v>4108.9333333333343</v>
      </c>
      <c r="O8" s="53">
        <f>SUM(C8:N8)</f>
        <v>36875.533333333333</v>
      </c>
      <c r="P8" s="53">
        <f>C8</f>
        <v>111</v>
      </c>
      <c r="Q8" s="55"/>
      <c r="R8" s="55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4480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17224.833333333336</v>
      </c>
      <c r="P9" s="53">
        <f>SUM(C9:N9)</f>
        <v>17224.833333333336</v>
      </c>
      <c r="Q9" s="55"/>
      <c r="R9" s="55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600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16743.899999999998</v>
      </c>
      <c r="P10" s="53">
        <f>SUM(C10:N10)</f>
        <v>16743.899999999998</v>
      </c>
      <c r="Q10" s="55"/>
      <c r="R10" s="55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3880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480.93333333333385</v>
      </c>
      <c r="P11" s="53">
        <f>P9-P10</f>
        <v>480.93333333333794</v>
      </c>
      <c r="Q11" s="55"/>
      <c r="R11" s="55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6447</v>
      </c>
      <c r="J12" s="53">
        <f t="shared" si="2"/>
        <v>6447</v>
      </c>
      <c r="K12" s="53">
        <f t="shared" si="2"/>
        <v>5841</v>
      </c>
      <c r="L12" s="53">
        <f t="shared" si="2"/>
        <v>4394.6000000000004</v>
      </c>
      <c r="M12" s="53">
        <f t="shared" si="2"/>
        <v>4108.9333333333343</v>
      </c>
      <c r="N12" s="53">
        <f t="shared" si="2"/>
        <v>591.9333333333343</v>
      </c>
      <c r="O12" s="53">
        <f>SUM(C12:N12)</f>
        <v>37356.466666666667</v>
      </c>
      <c r="P12" s="53">
        <f>N12</f>
        <v>591.9333333333343</v>
      </c>
      <c r="Q12" s="55"/>
      <c r="R12" s="55"/>
    </row>
    <row r="13" spans="2:18" ht="23.25" x14ac:dyDescent="0.25">
      <c r="C13" s="55"/>
      <c r="D13" s="55"/>
      <c r="E13" s="80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2:18" ht="30" customHeight="1" x14ac:dyDescent="0.25"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2:18" ht="53.25" customHeight="1" x14ac:dyDescent="0.25">
      <c r="B15" s="57" t="s">
        <v>104</v>
      </c>
      <c r="C15" s="70" t="s">
        <v>20</v>
      </c>
      <c r="D15" s="70" t="s">
        <v>21</v>
      </c>
      <c r="E15" s="70" t="s">
        <v>22</v>
      </c>
      <c r="F15" s="70" t="s">
        <v>23</v>
      </c>
      <c r="G15" s="70" t="s">
        <v>24</v>
      </c>
      <c r="H15" s="70" t="s">
        <v>25</v>
      </c>
      <c r="I15" s="70" t="s">
        <v>26</v>
      </c>
      <c r="J15" s="70" t="s">
        <v>27</v>
      </c>
      <c r="K15" s="70" t="s">
        <v>28</v>
      </c>
      <c r="L15" s="70" t="s">
        <v>29</v>
      </c>
      <c r="M15" s="70" t="s">
        <v>30</v>
      </c>
      <c r="N15" s="70" t="s">
        <v>31</v>
      </c>
      <c r="O15" s="70" t="s">
        <v>32</v>
      </c>
      <c r="P15" s="55"/>
      <c r="Q15" s="55"/>
      <c r="R15" s="55"/>
    </row>
    <row r="16" spans="2:18" ht="30" customHeight="1" x14ac:dyDescent="0.25">
      <c r="B16" s="57" t="s">
        <v>105</v>
      </c>
      <c r="C16" s="81">
        <f>SUMIFS(AUXILIAR!$G$6:$G$941,AUXILIAR!$I$6:$I$941,"RECEITAS",AUXILIAR!$P$6:$P$941,"NAO PAGO",AUXILIAR!$L$6:$L$941,'FLUXO DE CAIXA (2)'!C$15)</f>
        <v>18</v>
      </c>
      <c r="D16" s="81">
        <f>SUMIFS(AUXILIAR!$G$6:$G$941,AUXILIAR!$I$6:$I$941,"RECEITAS",AUXILIAR!$P$6:$P$941,"NAO PAGO",AUXILIAR!$L$6:$L$941,'FLUXO DE CAIXA (2)'!D$15)</f>
        <v>0</v>
      </c>
      <c r="E16" s="81">
        <f>SUMIFS(AUXILIAR!$G$6:$G$941,AUXILIAR!$I$6:$I$941,"RECEITAS",AUXILIAR!$P$6:$P$941,"NAO PAGO",AUXILIAR!$L$6:$L$941,'FLUXO DE CAIXA (2)'!E$15)</f>
        <v>0</v>
      </c>
      <c r="F16" s="81">
        <f>SUMIFS(AUXILIAR!$G$6:$G$941,AUXILIAR!$I$6:$I$941,"RECEITAS",AUXILIAR!$P$6:$P$941,"NAO PAGO",AUXILIAR!$L$6:$L$941,'FLUXO DE CAIXA (2)'!F$15)</f>
        <v>0</v>
      </c>
      <c r="G16" s="81">
        <f>SUMIFS(AUXILIAR!$G$6:$G$941,AUXILIAR!$I$6:$I$941,"RECEITAS",AUXILIAR!$P$6:$P$941,"NAO PAGO",AUXILIAR!$L$6:$L$941,'FLUXO DE CAIXA (2)'!G$15)</f>
        <v>0</v>
      </c>
      <c r="H16" s="81">
        <f>SUMIFS(AUXILIAR!$G$6:$G$941,AUXILIAR!$I$6:$I$941,"RECEITAS",AUXILIAR!$P$6:$P$941,"NAO PAGO",AUXILIAR!$L$6:$L$941,'FLUXO DE CAIXA (2)'!H$15)</f>
        <v>0</v>
      </c>
      <c r="I16" s="81">
        <f>SUMIFS(AUXILIAR!$G$6:$G$941,AUXILIAR!$I$6:$I$941,"RECEITAS",AUXILIAR!$P$6:$P$941,"NAO PAGO",AUXILIAR!$L$6:$L$941,'FLUXO DE CAIXA (2)'!I$15)</f>
        <v>0</v>
      </c>
      <c r="J16" s="81">
        <f>SUMIFS(AUXILIAR!$G$6:$G$941,AUXILIAR!$I$6:$I$941,"RECEITAS",AUXILIAR!$P$6:$P$941,"NAO PAGO",AUXILIAR!$L$6:$L$941,'FLUXO DE CAIXA (2)'!J$15)</f>
        <v>1</v>
      </c>
      <c r="K16" s="81">
        <f>SUMIFS(AUXILIAR!$G$6:$G$941,AUXILIAR!$I$6:$I$941,"RECEITAS",AUXILIAR!$P$6:$P$941,"NAO PAGO",AUXILIAR!$L$6:$L$941,'FLUXO DE CAIXA (2)'!K$15)</f>
        <v>0</v>
      </c>
      <c r="L16" s="81">
        <f>SUMIFS(AUXILIAR!$G$6:$G$941,AUXILIAR!$I$6:$I$941,"RECEITAS",AUXILIAR!$P$6:$P$941,"NAO PAGO",AUXILIAR!$L$6:$L$941,'FLUXO DE CAIXA (2)'!L$15)</f>
        <v>0</v>
      </c>
      <c r="M16" s="81">
        <f>SUMIFS(AUXILIAR!$G$6:$G$941,AUXILIAR!$I$6:$I$941,"RECEITAS",AUXILIAR!$P$6:$P$941,"NAO PAGO",AUXILIAR!$L$6:$L$941,'FLUXO DE CAIXA (2)'!M$15)</f>
        <v>0</v>
      </c>
      <c r="N16" s="81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5"/>
      <c r="Q16" s="55"/>
      <c r="R16" s="55"/>
    </row>
    <row r="17" spans="2:18" ht="30" customHeight="1" x14ac:dyDescent="0.25">
      <c r="B17" s="57" t="s">
        <v>56</v>
      </c>
      <c r="C17" s="81">
        <f>SUMIFS(AUXILIAR!$G$6:$G$941,AUXILIAR!$I$6:$I$941,"DESPESAS",AUXILIAR!$P$6:$P$941,"NAO PAGO",AUXILIAR!$L$6:$L$941,'FLUXO DE CAIXA (2)'!C$15)</f>
        <v>0</v>
      </c>
      <c r="D17" s="81">
        <f>SUMIFS(AUXILIAR!$G$6:$G$941,AUXILIAR!$I$6:$I$941,"DESPESAS",AUXILIAR!$P$6:$P$941,"NAO PAGO",AUXILIAR!$L$6:$L$941,'FLUXO DE CAIXA (2)'!D$15)</f>
        <v>0</v>
      </c>
      <c r="E17" s="81">
        <f>SUMIFS(AUXILIAR!$G$6:$G$941,AUXILIAR!$I$6:$I$941,"DESPESAS",AUXILIAR!$P$6:$P$941,"NAO PAGO",AUXILIAR!$L$6:$L$941,'FLUXO DE CAIXA (2)'!E$15)</f>
        <v>0</v>
      </c>
      <c r="F17" s="81">
        <f>SUMIFS(AUXILIAR!$G$6:$G$941,AUXILIAR!$I$6:$I$941,"DESPESAS",AUXILIAR!$P$6:$P$941,"NAO PAGO",AUXILIAR!$L$6:$L$941,'FLUXO DE CAIXA (2)'!F$15)</f>
        <v>0</v>
      </c>
      <c r="G17" s="81">
        <f>SUMIFS(AUXILIAR!$G$6:$G$941,AUXILIAR!$I$6:$I$941,"DESPESAS",AUXILIAR!$P$6:$P$941,"NAO PAGO",AUXILIAR!$L$6:$L$941,'FLUXO DE CAIXA (2)'!G$15)</f>
        <v>0</v>
      </c>
      <c r="H17" s="81">
        <f>SUMIFS(AUXILIAR!$G$6:$G$941,AUXILIAR!$I$6:$I$941,"DESPESAS",AUXILIAR!$P$6:$P$941,"NAO PAGO",AUXILIAR!$L$6:$L$941,'FLUXO DE CAIXA (2)'!H$15)</f>
        <v>0</v>
      </c>
      <c r="I17" s="81">
        <f>SUMIFS(AUXILIAR!$G$6:$G$941,AUXILIAR!$I$6:$I$941,"DESPESAS",AUXILIAR!$P$6:$P$941,"NAO PAGO",AUXILIAR!$L$6:$L$941,'FLUXO DE CAIXA (2)'!I$15)</f>
        <v>0</v>
      </c>
      <c r="J17" s="81">
        <f>SUMIFS(AUXILIAR!$G$6:$G$941,AUXILIAR!$I$6:$I$941,"DESPESAS",AUXILIAR!$P$6:$P$941,"NAO PAGO",AUXILIAR!$L$6:$L$941,'FLUXO DE CAIXA (2)'!J$15)</f>
        <v>26</v>
      </c>
      <c r="K17" s="81">
        <f>SUMIFS(AUXILIAR!$G$6:$G$941,AUXILIAR!$I$6:$I$941,"DESPESAS",AUXILIAR!$P$6:$P$941,"NAO PAGO",AUXILIAR!$L$6:$L$941,'FLUXO DE CAIXA (2)'!K$15)</f>
        <v>0</v>
      </c>
      <c r="L17" s="81">
        <f>SUMIFS(AUXILIAR!$G$6:$G$941,AUXILIAR!$I$6:$I$941,"DESPESAS",AUXILIAR!$P$6:$P$941,"NAO PAGO",AUXILIAR!$L$6:$L$941,'FLUXO DE CAIXA (2)'!L$15)</f>
        <v>19</v>
      </c>
      <c r="M17" s="81">
        <f>SUMIFS(AUXILIAR!$G$6:$G$941,AUXILIAR!$I$6:$I$941,"DESPESAS",AUXILIAR!$P$6:$P$941,"NAO PAGO",AUXILIAR!$L$6:$L$941,'FLUXO DE CAIXA (2)'!M$15)</f>
        <v>0</v>
      </c>
      <c r="N17" s="81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5"/>
      <c r="Q17" s="55"/>
      <c r="R17" s="55"/>
    </row>
    <row r="18" spans="2:18" ht="46.5" x14ac:dyDescent="0.25">
      <c r="B18" s="57" t="s">
        <v>106</v>
      </c>
      <c r="C18" s="81">
        <f>C16-C17</f>
        <v>18</v>
      </c>
      <c r="D18" s="81">
        <f t="shared" ref="D18:O18" si="3">D16-D17</f>
        <v>0</v>
      </c>
      <c r="E18" s="81">
        <f t="shared" si="3"/>
        <v>0</v>
      </c>
      <c r="F18" s="81">
        <f t="shared" si="3"/>
        <v>0</v>
      </c>
      <c r="G18" s="81">
        <f t="shared" si="3"/>
        <v>0</v>
      </c>
      <c r="H18" s="81">
        <f t="shared" si="3"/>
        <v>0</v>
      </c>
      <c r="I18" s="81">
        <f t="shared" si="3"/>
        <v>0</v>
      </c>
      <c r="J18" s="81">
        <f t="shared" si="3"/>
        <v>-25</v>
      </c>
      <c r="K18" s="81">
        <f t="shared" si="3"/>
        <v>0</v>
      </c>
      <c r="L18" s="81">
        <f t="shared" si="3"/>
        <v>-19</v>
      </c>
      <c r="M18" s="81">
        <f t="shared" si="3"/>
        <v>0</v>
      </c>
      <c r="N18" s="81">
        <f t="shared" si="3"/>
        <v>0</v>
      </c>
      <c r="O18" s="81">
        <f t="shared" si="3"/>
        <v>-26</v>
      </c>
      <c r="P18" s="55"/>
      <c r="Q18" s="55"/>
      <c r="R18" s="55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294" priority="11" operator="equal">
      <formula>"RECEITA"</formula>
    </cfRule>
    <cfRule type="cellIs" dxfId="293" priority="12" operator="equal">
      <formula>"DESPESA"</formula>
    </cfRule>
    <cfRule type="cellIs" dxfId="292" priority="13" operator="equal">
      <formula>"RECEITA"</formula>
    </cfRule>
    <cfRule type="cellIs" dxfId="291" priority="14" operator="equal">
      <formula>"DESPESA"</formula>
    </cfRule>
    <cfRule type="cellIs" dxfId="290" priority="15" operator="equal">
      <formula>"RECEITA"</formula>
    </cfRule>
    <cfRule type="cellIs" dxfId="289" priority="16" operator="equal">
      <formula>"DESPESA"</formula>
    </cfRule>
  </conditionalFormatting>
  <conditionalFormatting sqref="B9">
    <cfRule type="cellIs" dxfId="288" priority="5" operator="equal">
      <formula>"RECEITA"</formula>
    </cfRule>
    <cfRule type="cellIs" dxfId="287" priority="6" operator="equal">
      <formula>"DESPESA"</formula>
    </cfRule>
    <cfRule type="cellIs" dxfId="286" priority="7" operator="equal">
      <formula>"RECEITA"</formula>
    </cfRule>
    <cfRule type="cellIs" dxfId="285" priority="8" operator="equal">
      <formula>"DESPESA"</formula>
    </cfRule>
    <cfRule type="cellIs" dxfId="284" priority="9" operator="equal">
      <formula>"RECEITA"</formula>
    </cfRule>
    <cfRule type="cellIs" dxfId="283" priority="10" operator="equal">
      <formula>"DESPESA"</formula>
    </cfRule>
  </conditionalFormatting>
  <conditionalFormatting sqref="C11:O11">
    <cfRule type="cellIs" dxfId="282" priority="3" operator="lessThan">
      <formula>0</formula>
    </cfRule>
    <cfRule type="cellIs" dxfId="281" priority="4" operator="greaterThan">
      <formula>0</formula>
    </cfRule>
  </conditionalFormatting>
  <conditionalFormatting sqref="C12:P12">
    <cfRule type="cellIs" dxfId="280" priority="1" operator="lessThan">
      <formula>0</formula>
    </cfRule>
    <cfRule type="cellIs" dxfId="27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workbookViewId="0">
      <selection activeCell="G3" sqref="G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89" t="s">
        <v>186</v>
      </c>
      <c r="C2" s="89" t="s">
        <v>187</v>
      </c>
      <c r="D2" s="89" t="s">
        <v>83</v>
      </c>
      <c r="F2" s="90" t="s">
        <v>194</v>
      </c>
      <c r="G2" s="90" t="s">
        <v>195</v>
      </c>
    </row>
    <row r="3" spans="2:7" x14ac:dyDescent="0.25">
      <c r="B3" s="72" t="s">
        <v>34</v>
      </c>
      <c r="C3" s="72" t="s">
        <v>189</v>
      </c>
      <c r="D3" s="72" t="s">
        <v>190</v>
      </c>
      <c r="F3" t="s">
        <v>196</v>
      </c>
      <c r="G3" t="s">
        <v>197</v>
      </c>
    </row>
    <row r="4" spans="2:7" x14ac:dyDescent="0.25">
      <c r="B4" s="72" t="s">
        <v>4</v>
      </c>
      <c r="C4" s="72" t="s">
        <v>189</v>
      </c>
      <c r="D4" s="72" t="s">
        <v>190</v>
      </c>
    </row>
    <row r="5" spans="2:7" x14ac:dyDescent="0.25">
      <c r="B5" s="72" t="s">
        <v>188</v>
      </c>
      <c r="C5" s="72" t="s">
        <v>189</v>
      </c>
      <c r="D5" s="72" t="s">
        <v>190</v>
      </c>
    </row>
    <row r="6" spans="2:7" x14ac:dyDescent="0.25">
      <c r="B6" s="74" t="s">
        <v>191</v>
      </c>
      <c r="C6" s="72" t="s">
        <v>189</v>
      </c>
    </row>
    <row r="7" spans="2:7" x14ac:dyDescent="0.25">
      <c r="B7" s="72" t="s">
        <v>105</v>
      </c>
      <c r="C7" s="72" t="s">
        <v>189</v>
      </c>
      <c r="D7" s="72"/>
    </row>
    <row r="8" spans="2:7" x14ac:dyDescent="0.25">
      <c r="B8" s="72" t="s">
        <v>56</v>
      </c>
      <c r="C8" s="72" t="s">
        <v>189</v>
      </c>
      <c r="D8" s="72"/>
    </row>
    <row r="9" spans="2:7" x14ac:dyDescent="0.25">
      <c r="B9" s="73" t="s">
        <v>106</v>
      </c>
      <c r="C9" s="73" t="s">
        <v>189</v>
      </c>
      <c r="D9" s="73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selection activeCell="N18" sqref="N18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A8">
        <v>1</v>
      </c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A9">
        <v>2</v>
      </c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A10">
        <v>3</v>
      </c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A11">
        <v>4</v>
      </c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-600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507.26666666666665</v>
      </c>
    </row>
    <row r="12" spans="1:16" ht="23.25" x14ac:dyDescent="0.25">
      <c r="A12">
        <v>5</v>
      </c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A13">
        <v>6</v>
      </c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A14">
        <v>7</v>
      </c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700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714</v>
      </c>
    </row>
    <row r="15" spans="1:16" ht="53.25" customHeight="1" x14ac:dyDescent="0.25">
      <c r="A15">
        <v>8</v>
      </c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800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787</v>
      </c>
    </row>
    <row r="16" spans="1:16" ht="42" customHeight="1" x14ac:dyDescent="0.25">
      <c r="A16">
        <v>9</v>
      </c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1:15" ht="30" customHeight="1" x14ac:dyDescent="0.25">
      <c r="A17">
        <v>10</v>
      </c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1050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1045</v>
      </c>
    </row>
    <row r="18" spans="1:15" ht="29.25" customHeight="1" x14ac:dyDescent="0.25">
      <c r="A18">
        <v>11</v>
      </c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1500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>
        <f t="shared" si="0"/>
        <v>1500</v>
      </c>
    </row>
    <row r="19" spans="1:15" ht="30" customHeight="1" x14ac:dyDescent="0.25"/>
    <row r="20" spans="1:15" ht="30" customHeight="1" x14ac:dyDescent="0.25"/>
    <row r="21" spans="1:15" ht="30" customHeight="1" x14ac:dyDescent="0.25">
      <c r="G21" t="s">
        <v>79</v>
      </c>
    </row>
    <row r="22" spans="1:15" ht="30" customHeight="1" x14ac:dyDescent="0.25"/>
    <row r="23" spans="1:15" ht="30" customHeight="1" x14ac:dyDescent="0.25"/>
    <row r="24" spans="1:15" ht="30" customHeight="1" x14ac:dyDescent="0.25"/>
    <row r="25" spans="1:15" ht="30" customHeight="1" x14ac:dyDescent="0.25"/>
    <row r="26" spans="1:15" ht="30" customHeight="1" x14ac:dyDescent="0.25"/>
    <row r="27" spans="1:15" ht="30" customHeight="1" x14ac:dyDescent="0.25"/>
    <row r="28" spans="1:15" ht="30" customHeight="1" x14ac:dyDescent="0.25">
      <c r="L28" t="s">
        <v>107</v>
      </c>
    </row>
    <row r="29" spans="1:15" ht="30" customHeight="1" x14ac:dyDescent="0.25"/>
    <row r="30" spans="1:15" ht="30" customHeight="1" x14ac:dyDescent="0.25"/>
    <row r="31" spans="1:15" ht="30" customHeight="1" x14ac:dyDescent="0.25"/>
    <row r="32" spans="1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278" priority="13" operator="equal">
      <formula>"RECEITA"</formula>
    </cfRule>
    <cfRule type="cellIs" dxfId="277" priority="14" operator="equal">
      <formula>"DESPESA"</formula>
    </cfRule>
    <cfRule type="cellIs" dxfId="276" priority="15" operator="equal">
      <formula>"RECEITA"</formula>
    </cfRule>
    <cfRule type="cellIs" dxfId="275" priority="16" operator="equal">
      <formula>"DESPESA"</formula>
    </cfRule>
    <cfRule type="cellIs" dxfId="274" priority="17" operator="equal">
      <formula>"RECEITA"</formula>
    </cfRule>
    <cfRule type="cellIs" dxfId="273" priority="18" operator="equal">
      <formula>"DESPESA"</formula>
    </cfRule>
  </conditionalFormatting>
  <conditionalFormatting sqref="C11:O11 O18">
    <cfRule type="cellIs" dxfId="272" priority="5" operator="lessThan">
      <formula>0</formula>
    </cfRule>
    <cfRule type="cellIs" dxfId="271" priority="6" operator="greaterThan">
      <formula>0</formula>
    </cfRule>
  </conditionalFormatting>
  <conditionalFormatting sqref="C12:O12">
    <cfRule type="cellIs" dxfId="270" priority="3" operator="lessThan">
      <formula>0</formula>
    </cfRule>
    <cfRule type="cellIs" dxfId="269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topLeftCell="A4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825</v>
      </c>
      <c r="K10" s="47">
        <f t="shared" si="0"/>
        <v>825</v>
      </c>
      <c r="L10" s="47">
        <f t="shared" si="0"/>
        <v>825</v>
      </c>
      <c r="M10" s="47">
        <f t="shared" si="0"/>
        <v>825</v>
      </c>
      <c r="N10" s="47">
        <f t="shared" si="0"/>
        <v>825</v>
      </c>
      <c r="O10" s="47">
        <f>SUM(C10:N10)</f>
        <v>4986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700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714</v>
      </c>
      <c r="P11" s="47">
        <f>SUM(C11:N11)</f>
        <v>714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700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714</v>
      </c>
      <c r="P13" s="47">
        <f>P11-P12</f>
        <v>714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825</v>
      </c>
      <c r="J14" s="47">
        <f t="shared" si="2"/>
        <v>825</v>
      </c>
      <c r="K14" s="47">
        <f t="shared" si="2"/>
        <v>825</v>
      </c>
      <c r="L14" s="47">
        <f t="shared" si="2"/>
        <v>825</v>
      </c>
      <c r="M14" s="47">
        <f t="shared" si="2"/>
        <v>825</v>
      </c>
      <c r="N14" s="47">
        <f t="shared" si="2"/>
        <v>825</v>
      </c>
      <c r="O14" s="47">
        <f>SUM(C14:N14)</f>
        <v>5700</v>
      </c>
      <c r="P14" s="47">
        <f>N14</f>
        <v>825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3">D18-D19</f>
        <v>0</v>
      </c>
      <c r="E20" s="58">
        <f t="shared" si="3"/>
        <v>0</v>
      </c>
      <c r="F20" s="58">
        <f t="shared" si="3"/>
        <v>0</v>
      </c>
      <c r="G20" s="58">
        <f t="shared" si="3"/>
        <v>0</v>
      </c>
      <c r="H20" s="58">
        <f t="shared" si="3"/>
        <v>0</v>
      </c>
      <c r="I20" s="58">
        <f t="shared" si="3"/>
        <v>0</v>
      </c>
      <c r="J20" s="58">
        <f t="shared" si="3"/>
        <v>0</v>
      </c>
      <c r="K20" s="58">
        <f t="shared" si="3"/>
        <v>0</v>
      </c>
      <c r="L20" s="58">
        <f t="shared" si="3"/>
        <v>0</v>
      </c>
      <c r="M20" s="58">
        <f t="shared" si="3"/>
        <v>0</v>
      </c>
      <c r="N20" s="58">
        <f t="shared" si="3"/>
        <v>0</v>
      </c>
      <c r="O20" s="58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268" priority="11" operator="equal">
      <formula>"RECEITA"</formula>
    </cfRule>
    <cfRule type="cellIs" dxfId="267" priority="12" operator="equal">
      <formula>"DESPESA"</formula>
    </cfRule>
    <cfRule type="cellIs" dxfId="266" priority="13" operator="equal">
      <formula>"RECEITA"</formula>
    </cfRule>
    <cfRule type="cellIs" dxfId="265" priority="14" operator="equal">
      <formula>"DESPESA"</formula>
    </cfRule>
    <cfRule type="cellIs" dxfId="264" priority="15" operator="equal">
      <formula>"RECEITA"</formula>
    </cfRule>
    <cfRule type="cellIs" dxfId="263" priority="16" operator="equal">
      <formula>"DESPESA"</formula>
    </cfRule>
  </conditionalFormatting>
  <conditionalFormatting sqref="B11">
    <cfRule type="cellIs" dxfId="262" priority="5" operator="equal">
      <formula>"RECEITA"</formula>
    </cfRule>
    <cfRule type="cellIs" dxfId="261" priority="6" operator="equal">
      <formula>"DESPESA"</formula>
    </cfRule>
    <cfRule type="cellIs" dxfId="260" priority="7" operator="equal">
      <formula>"RECEITA"</formula>
    </cfRule>
    <cfRule type="cellIs" dxfId="259" priority="8" operator="equal">
      <formula>"DESPESA"</formula>
    </cfRule>
    <cfRule type="cellIs" dxfId="258" priority="9" operator="equal">
      <formula>"RECEITA"</formula>
    </cfRule>
    <cfRule type="cellIs" dxfId="257" priority="10" operator="equal">
      <formula>"DESPESA"</formula>
    </cfRule>
  </conditionalFormatting>
  <conditionalFormatting sqref="C13:O13">
    <cfRule type="cellIs" dxfId="256" priority="3" operator="lessThan">
      <formula>0</formula>
    </cfRule>
    <cfRule type="cellIs" dxfId="255" priority="4" operator="greaterThan">
      <formula>0</formula>
    </cfRule>
  </conditionalFormatting>
  <conditionalFormatting sqref="C14:P14">
    <cfRule type="cellIs" dxfId="254" priority="1" operator="lessThan">
      <formula>0</formula>
    </cfRule>
    <cfRule type="cellIs" dxfId="253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94" t="s">
        <v>60</v>
      </c>
      <c r="P7" s="94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/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252" priority="11" operator="equal">
      <formula>"RECEITA"</formula>
    </cfRule>
    <cfRule type="cellIs" dxfId="251" priority="12" operator="equal">
      <formula>"DESPESA"</formula>
    </cfRule>
    <cfRule type="cellIs" dxfId="250" priority="13" operator="equal">
      <formula>"RECEITA"</formula>
    </cfRule>
    <cfRule type="cellIs" dxfId="249" priority="14" operator="equal">
      <formula>"DESPESA"</formula>
    </cfRule>
    <cfRule type="cellIs" dxfId="248" priority="15" operator="equal">
      <formula>"RECEITA"</formula>
    </cfRule>
    <cfRule type="cellIs" dxfId="247" priority="16" operator="equal">
      <formula>"DESPESA"</formula>
    </cfRule>
  </conditionalFormatting>
  <conditionalFormatting sqref="B8:B10">
    <cfRule type="cellIs" dxfId="246" priority="5" operator="equal">
      <formula>"RECEITA"</formula>
    </cfRule>
    <cfRule type="cellIs" dxfId="245" priority="6" operator="equal">
      <formula>"DESPESA"</formula>
    </cfRule>
    <cfRule type="cellIs" dxfId="244" priority="7" operator="equal">
      <formula>"RECEITA"</formula>
    </cfRule>
    <cfRule type="cellIs" dxfId="243" priority="8" operator="equal">
      <formula>"DESPESA"</formula>
    </cfRule>
    <cfRule type="cellIs" dxfId="242" priority="9" operator="equal">
      <formula>"RECEITA"</formula>
    </cfRule>
    <cfRule type="cellIs" dxfId="241" priority="10" operator="equal">
      <formula>"DESPESA"</formula>
    </cfRule>
  </conditionalFormatting>
  <conditionalFormatting sqref="C16:O16">
    <cfRule type="cellIs" dxfId="240" priority="3" operator="lessThan">
      <formula>0</formula>
    </cfRule>
    <cfRule type="cellIs" dxfId="239" priority="4" operator="greaterThan">
      <formula>0</formula>
    </cfRule>
  </conditionalFormatting>
  <conditionalFormatting sqref="C17:P17">
    <cfRule type="cellIs" dxfId="238" priority="1" operator="lessThan">
      <formula>0</formula>
    </cfRule>
    <cfRule type="cellIs" dxfId="23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selection activeCell="F5" sqref="F5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97"/>
      <c r="E5" s="97"/>
      <c r="F5" s="56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0</v>
      </c>
      <c r="D8" s="53">
        <f>SUMIFS(AUXILIAR!$G$6:$G$941,AUXILIAR!$M$6:$M$941,'FC-DIARIO'!$B8,AUXILIAR!$I$6:$I$941,'FC-DIARIO'!D$7,AUXILIAR!$O$6:$O$941,'FC-DIARIO'!$F$5)</f>
        <v>34</v>
      </c>
      <c r="E8" s="54">
        <f>C8-D8</f>
        <v>-34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15</v>
      </c>
      <c r="I8" s="53">
        <f>SUMIFS(AUXILIAR!$G$6:$G$941,AUXILIAR!$M$6:$M$941,'FC-DIARIO'!$G8,AUXILIAR!$I$6:$I$941,'FC-DIARIO'!I$7,AUXILIAR!$O$6:$O$941,'FC-DIARIO'!$F$5)</f>
        <v>56</v>
      </c>
      <c r="J8" s="54">
        <f>H8-I8</f>
        <v>-41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1</v>
      </c>
      <c r="N8" s="53">
        <f>SUMIFS(AUXILIAR!$G$6:$G$941,AUXILIAR!$M$6:$M$941,'FC-DIARIO'!$L8,AUXILIAR!$I$6:$I$941,'FC-DIARIO'!N$7,AUXILIAR!$O$6:$O$941,'FC-DIARIO'!$F$5)</f>
        <v>42.3333333333333</v>
      </c>
      <c r="O8" s="54">
        <f>M8-N8</f>
        <v>-41.3333333333333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36</v>
      </c>
      <c r="E9" s="54">
        <f t="shared" ref="E9:E18" si="0">C9-D9</f>
        <v>-36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62</v>
      </c>
      <c r="J9" s="54">
        <f t="shared" ref="J9:J18" si="1">H9-I9</f>
        <v>-62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1</v>
      </c>
      <c r="N9" s="53">
        <f>SUMIFS(AUXILIAR!$G$6:$G$941,AUXILIAR!$M$6:$M$941,'FC-DIARIO'!$L9,AUXILIAR!$I$6:$I$941,'FC-DIARIO'!N$7,AUXILIAR!$O$6:$O$941,'FC-DIARIO'!$F$5)</f>
        <v>19.8333333333333</v>
      </c>
      <c r="O9" s="54">
        <f t="shared" ref="O9:O16" si="2">M9-N9</f>
        <v>-18.8333333333333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0</v>
      </c>
      <c r="D10" s="53">
        <f>SUMIFS(AUXILIAR!$G$6:$G$941,AUXILIAR!$M$6:$M$941,'FC-DIARIO'!$B10,AUXILIAR!$I$6:$I$941,'FC-DIARIO'!D$7,AUXILIAR!$O$6:$O$941,'FC-DIARIO'!$F$5)</f>
        <v>38</v>
      </c>
      <c r="E10" s="54">
        <f t="shared" si="0"/>
        <v>-38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67</v>
      </c>
      <c r="J10" s="54">
        <f t="shared" si="1"/>
        <v>-67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1</v>
      </c>
      <c r="N10" s="53">
        <f>SUMIFS(AUXILIAR!$G$6:$G$941,AUXILIAR!$M$6:$M$941,'FC-DIARIO'!$L10,AUXILIAR!$I$6:$I$941,'FC-DIARIO'!N$7,AUXILIAR!$O$6:$O$941,'FC-DIARIO'!$F$5)</f>
        <v>21.3333333333333</v>
      </c>
      <c r="O10" s="54">
        <f t="shared" si="2"/>
        <v>-20.3333333333333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40</v>
      </c>
      <c r="E11" s="54">
        <f t="shared" si="0"/>
        <v>-40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71.333333333333329</v>
      </c>
      <c r="J11" s="54">
        <f t="shared" si="1"/>
        <v>-71.333333333333329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1</v>
      </c>
      <c r="N11" s="53">
        <f>SUMIFS(AUXILIAR!$G$6:$G$941,AUXILIAR!$M$6:$M$941,'FC-DIARIO'!$L11,AUXILIAR!$I$6:$I$941,'FC-DIARIO'!N$7,AUXILIAR!$O$6:$O$941,'FC-DIARIO'!$F$5)</f>
        <v>48.8333333333333</v>
      </c>
      <c r="O11" s="54">
        <f t="shared" si="2"/>
        <v>-47.8333333333333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42</v>
      </c>
      <c r="E12" s="54">
        <f t="shared" si="0"/>
        <v>-42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69.833333333333329</v>
      </c>
      <c r="J12" s="54">
        <f t="shared" si="1"/>
        <v>-69.833333333333329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1</v>
      </c>
      <c r="N12" s="53">
        <f>SUMIFS(AUXILIAR!$G$6:$G$941,AUXILIAR!$M$6:$M$941,'FC-DIARIO'!$L12,AUXILIAR!$I$6:$I$941,'FC-DIARIO'!N$7,AUXILIAR!$O$6:$O$941,'FC-DIARIO'!$F$5)</f>
        <v>51.3333333333333</v>
      </c>
      <c r="O12" s="54">
        <f t="shared" si="2"/>
        <v>-50.3333333333333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44</v>
      </c>
      <c r="E13" s="54">
        <f t="shared" si="0"/>
        <v>-44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70.733333333333334</v>
      </c>
      <c r="J13" s="54">
        <f t="shared" si="1"/>
        <v>-70.733333333333334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1</v>
      </c>
      <c r="N13" s="53">
        <f>SUMIFS(AUXILIAR!$G$6:$G$941,AUXILIAR!$M$6:$M$941,'FC-DIARIO'!$L13,AUXILIAR!$I$6:$I$941,'FC-DIARIO'!N$7,AUXILIAR!$O$6:$O$941,'FC-DIARIO'!$F$5)</f>
        <v>53.8333333333333</v>
      </c>
      <c r="O13" s="54">
        <f t="shared" si="2"/>
        <v>-52.8333333333333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46</v>
      </c>
      <c r="E14" s="54">
        <f t="shared" si="0"/>
        <v>-46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71.633333333333297</v>
      </c>
      <c r="J14" s="54">
        <f t="shared" si="1"/>
        <v>-71.633333333333297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1</v>
      </c>
      <c r="N14" s="53">
        <f>SUMIFS(AUXILIAR!$G$6:$G$941,AUXILIAR!$M$6:$M$941,'FC-DIARIO'!$L14,AUXILIAR!$I$6:$I$941,'FC-DIARIO'!N$7,AUXILIAR!$O$6:$O$941,'FC-DIARIO'!$F$5)</f>
        <v>56.3333333333333</v>
      </c>
      <c r="O14" s="54">
        <f t="shared" si="2"/>
        <v>-55.3333333333333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48</v>
      </c>
      <c r="E15" s="54">
        <f t="shared" si="0"/>
        <v>-48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22.533333333333299</v>
      </c>
      <c r="J15" s="54">
        <f t="shared" si="1"/>
        <v>-22.533333333333299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1</v>
      </c>
      <c r="N15" s="53">
        <f>SUMIFS(AUXILIAR!$G$6:$G$941,AUXILIAR!$M$6:$M$941,'FC-DIARIO'!$L15,AUXILIAR!$I$6:$I$941,'FC-DIARIO'!N$7,AUXILIAR!$O$6:$O$941,'FC-DIARIO'!$F$5)</f>
        <v>58.8333333333333</v>
      </c>
      <c r="O15" s="54">
        <f t="shared" si="2"/>
        <v>-57.8333333333333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0</v>
      </c>
      <c r="D16" s="53">
        <f>SUMIFS(AUXILIAR!$G$6:$G$941,AUXILIAR!$M$6:$M$941,'FC-DIARIO'!$B16,AUXILIAR!$I$6:$I$941,'FC-DIARIO'!D$7,AUXILIAR!$O$6:$O$941,'FC-DIARIO'!$F$5)</f>
        <v>50</v>
      </c>
      <c r="E16" s="54">
        <f t="shared" si="0"/>
        <v>-50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14.8333333333333</v>
      </c>
      <c r="I16" s="53">
        <f>SUMIFS(AUXILIAR!$G$6:$G$941,AUXILIAR!$M$6:$M$941,'FC-DIARIO'!$G16,AUXILIAR!$I$6:$I$941,'FC-DIARIO'!I$7,AUXILIAR!$O$6:$O$941,'FC-DIARIO'!$F$5)</f>
        <v>21</v>
      </c>
      <c r="J16" s="54">
        <f t="shared" si="1"/>
        <v>-6.1666666666666998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1</v>
      </c>
      <c r="N16" s="53">
        <f>SUMIFS(AUXILIAR!$G$6:$G$941,AUXILIAR!$M$6:$M$941,'FC-DIARIO'!$L16,AUXILIAR!$I$6:$I$941,'FC-DIARIO'!N$7,AUXILIAR!$O$6:$O$941,'FC-DIARIO'!$F$5)</f>
        <v>61.3333333333333</v>
      </c>
      <c r="O16" s="54">
        <f t="shared" si="2"/>
        <v>-60.3333333333333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52</v>
      </c>
      <c r="E17" s="54">
        <f t="shared" si="0"/>
        <v>-52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1</v>
      </c>
      <c r="I17" s="53">
        <f>SUMIFS(AUXILIAR!$G$6:$G$941,AUXILIAR!$M$6:$M$941,'FC-DIARIO'!$G17,AUXILIAR!$I$6:$I$941,'FC-DIARIO'!I$7,AUXILIAR!$O$6:$O$941,'FC-DIARIO'!$F$5)</f>
        <v>37.3333333333333</v>
      </c>
      <c r="J17" s="54">
        <f t="shared" si="1"/>
        <v>-36.3333333333333</v>
      </c>
      <c r="K17" s="55"/>
      <c r="L17" s="95" t="s">
        <v>32</v>
      </c>
      <c r="M17" s="96">
        <f>SUM(M8:M16,H8:H18,C8:C18)</f>
        <v>40.8333333333333</v>
      </c>
      <c r="N17" s="96">
        <f>SUM(N8:N16,I8:I18,D8:D18)</f>
        <v>1487.2333333333331</v>
      </c>
      <c r="O17" s="96">
        <f>M17-N17</f>
        <v>-1446.3999999999999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54</v>
      </c>
      <c r="E18" s="54">
        <f t="shared" si="0"/>
        <v>-54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1</v>
      </c>
      <c r="I18" s="53">
        <f>SUMIFS(AUXILIAR!$G$6:$G$941,AUXILIAR!$M$6:$M$941,'FC-DIARIO'!$G18,AUXILIAR!$I$6:$I$941,'FC-DIARIO'!I$7,AUXILIAR!$O$6:$O$941,'FC-DIARIO'!$F$5)</f>
        <v>39.8333333333333</v>
      </c>
      <c r="J18" s="54">
        <f t="shared" si="1"/>
        <v>-38.8333333333333</v>
      </c>
      <c r="K18" s="55"/>
      <c r="L18" s="96"/>
      <c r="M18" s="96"/>
      <c r="N18" s="96"/>
      <c r="O18" s="96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236" priority="53" operator="lessThan">
      <formula>0</formula>
    </cfRule>
    <cfRule type="cellIs" dxfId="235" priority="54" operator="greaterThan">
      <formula>0</formula>
    </cfRule>
  </conditionalFormatting>
  <conditionalFormatting sqref="F12 K12">
    <cfRule type="cellIs" dxfId="234" priority="51" operator="lessThan">
      <formula>0</formula>
    </cfRule>
    <cfRule type="cellIs" dxfId="233" priority="52" operator="greaterThan">
      <formula>0</formula>
    </cfRule>
  </conditionalFormatting>
  <conditionalFormatting sqref="E8:E18">
    <cfRule type="cellIs" dxfId="232" priority="20" operator="lessThan">
      <formula>0</formula>
    </cfRule>
    <cfRule type="cellIs" dxfId="231" priority="21" operator="greaterThan">
      <formula>0</formula>
    </cfRule>
  </conditionalFormatting>
  <conditionalFormatting sqref="E8:E18">
    <cfRule type="cellIs" dxfId="230" priority="19" operator="equal">
      <formula>0</formula>
    </cfRule>
  </conditionalFormatting>
  <conditionalFormatting sqref="J8:J18">
    <cfRule type="cellIs" dxfId="229" priority="11" operator="lessThan">
      <formula>0</formula>
    </cfRule>
    <cfRule type="cellIs" dxfId="228" priority="12" operator="greaterThan">
      <formula>0</formula>
    </cfRule>
  </conditionalFormatting>
  <conditionalFormatting sqref="J8:J18">
    <cfRule type="cellIs" dxfId="227" priority="10" operator="equal">
      <formula>0</formula>
    </cfRule>
  </conditionalFormatting>
  <conditionalFormatting sqref="O8:O16">
    <cfRule type="cellIs" dxfId="226" priority="8" operator="lessThan">
      <formula>0</formula>
    </cfRule>
    <cfRule type="cellIs" dxfId="225" priority="9" operator="greaterThan">
      <formula>0</formula>
    </cfRule>
  </conditionalFormatting>
  <conditionalFormatting sqref="O8:O16">
    <cfRule type="cellIs" dxfId="224" priority="7" operator="equal">
      <formula>0</formula>
    </cfRule>
  </conditionalFormatting>
  <conditionalFormatting sqref="L17:M17">
    <cfRule type="cellIs" dxfId="223" priority="5" operator="lessThan">
      <formula>0</formula>
    </cfRule>
    <cfRule type="cellIs" dxfId="222" priority="6" operator="greaterThan">
      <formula>0</formula>
    </cfRule>
  </conditionalFormatting>
  <conditionalFormatting sqref="L17:M17">
    <cfRule type="cellIs" dxfId="221" priority="4" operator="equal">
      <formula>0</formula>
    </cfRule>
  </conditionalFormatting>
  <conditionalFormatting sqref="N17:O17">
    <cfRule type="cellIs" dxfId="220" priority="2" operator="lessThan">
      <formula>0</formula>
    </cfRule>
    <cfRule type="cellIs" dxfId="219" priority="3" operator="greaterThan">
      <formula>0</formula>
    </cfRule>
  </conditionalFormatting>
  <conditionalFormatting sqref="N17:O17">
    <cfRule type="cellIs" dxfId="218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-51700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-72270.866666666654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23310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95880.566666666666</v>
      </c>
      <c r="P9" s="28">
        <f t="shared" si="1"/>
        <v>95880.566666666666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26640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104627.93333333333</v>
      </c>
      <c r="P10" s="28">
        <f t="shared" si="2"/>
        <v>104627.93333333333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49950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200508.5</v>
      </c>
      <c r="P11" s="27">
        <f>SUM(C11:N11)</f>
        <v>200508.5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26690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103705.76666666668</v>
      </c>
      <c r="P12" s="28">
        <f t="shared" si="4"/>
        <v>103705.76666666668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26940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103004.93333333333</v>
      </c>
      <c r="P13" s="28">
        <f t="shared" si="5"/>
        <v>103004.93333333333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24710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101233.1</v>
      </c>
      <c r="P14" s="28">
        <f t="shared" si="6"/>
        <v>101233.1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23310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89764.566666666666</v>
      </c>
      <c r="P15" s="28">
        <f t="shared" si="7"/>
        <v>89764.566666666666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101650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397708.3666666667</v>
      </c>
      <c r="P16" s="27">
        <f t="shared" si="8"/>
        <v>397708.3666666667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-51700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-197199.86666666664</v>
      </c>
      <c r="P17" s="28">
        <f>P11-P16</f>
        <v>-197199.8666666667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-51700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-197199.86666666664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23310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95880.566666666666</v>
      </c>
      <c r="P22" s="27">
        <f t="shared" si="11"/>
        <v>95880.566666666666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3330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12822.366666666665</v>
      </c>
      <c r="P26" s="26">
        <f t="shared" si="13"/>
        <v>12822.366666666665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3330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12822.366666666665</v>
      </c>
      <c r="P27" s="26">
        <f t="shared" si="13"/>
        <v>12822.366666666665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3330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12822.366666666665</v>
      </c>
      <c r="P28" s="26">
        <f t="shared" si="13"/>
        <v>12822.366666666665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3330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12822.366666666665</v>
      </c>
      <c r="P29" s="26">
        <f t="shared" si="13"/>
        <v>12822.366666666665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3330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12822.366666666665</v>
      </c>
      <c r="P30" s="26">
        <f t="shared" si="13"/>
        <v>12822.366666666665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3330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12822.366666666665</v>
      </c>
      <c r="P31" s="26">
        <f t="shared" si="13"/>
        <v>12822.366666666665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3330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12822.366666666665</v>
      </c>
      <c r="P32" s="26">
        <f t="shared" si="13"/>
        <v>12822.366666666665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26640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104627.93333333333</v>
      </c>
      <c r="P36" s="27">
        <f t="shared" si="14"/>
        <v>104627.93333333333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3330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12822.366666666665</v>
      </c>
      <c r="P39" s="26">
        <f t="shared" si="16"/>
        <v>12822.366666666665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3330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12822.366666666665</v>
      </c>
      <c r="P40" s="26">
        <f t="shared" si="16"/>
        <v>12822.366666666665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3330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12822.366666666665</v>
      </c>
      <c r="P41" s="26">
        <f t="shared" si="16"/>
        <v>12822.366666666665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3330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12822.366666666665</v>
      </c>
      <c r="P42" s="26">
        <f t="shared" si="16"/>
        <v>12822.366666666665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3330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12822.366666666665</v>
      </c>
      <c r="P43" s="26">
        <f t="shared" si="16"/>
        <v>12822.366666666665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3330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12822.366666666665</v>
      </c>
      <c r="P44" s="26">
        <f t="shared" si="16"/>
        <v>12822.366666666665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3330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12822.366666666665</v>
      </c>
      <c r="P45" s="26">
        <f t="shared" si="16"/>
        <v>12822.366666666665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3330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12822.366666666665</v>
      </c>
      <c r="P46" s="26">
        <f t="shared" si="16"/>
        <v>12822.366666666665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26690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103705.76666666668</v>
      </c>
      <c r="P49" s="27">
        <f t="shared" si="17"/>
        <v>103705.76666666668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50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1121.8333333333333</v>
      </c>
      <c r="P51" s="26">
        <f t="shared" ref="P51:P60" si="19">SUM(C51:N51)</f>
        <v>1121.8333333333333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3330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12822.366666666665</v>
      </c>
      <c r="P52" s="26">
        <f t="shared" si="19"/>
        <v>12822.366666666665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3330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12822.366666666665</v>
      </c>
      <c r="P53" s="26">
        <f t="shared" si="19"/>
        <v>12822.366666666665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3330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12822.366666666665</v>
      </c>
      <c r="P54" s="26">
        <f t="shared" si="19"/>
        <v>12822.366666666665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3330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12822.366666666665</v>
      </c>
      <c r="P55" s="26">
        <f t="shared" si="19"/>
        <v>12822.366666666665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3330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12822.366666666665</v>
      </c>
      <c r="P56" s="26">
        <f t="shared" si="19"/>
        <v>12822.366666666665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3330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12822.366666666665</v>
      </c>
      <c r="P57" s="26">
        <f t="shared" si="19"/>
        <v>12822.366666666665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3330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12822.366666666665</v>
      </c>
      <c r="P58" s="26">
        <f t="shared" si="19"/>
        <v>12822.366666666665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3330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12822.366666666665</v>
      </c>
      <c r="P59" s="26">
        <f t="shared" si="19"/>
        <v>12822.366666666665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26940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103004.93333333333</v>
      </c>
      <c r="P62" s="27">
        <f t="shared" si="20"/>
        <v>103004.93333333333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300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351</v>
      </c>
      <c r="P64" s="26">
        <f t="shared" ref="P64:P73" si="22">SUM(C64:N64)</f>
        <v>351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3330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12822.366666666665</v>
      </c>
      <c r="P65" s="26">
        <f t="shared" si="22"/>
        <v>12822.366666666665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3330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12822.366666666665</v>
      </c>
      <c r="P66" s="26">
        <f t="shared" si="22"/>
        <v>12822.366666666665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3330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12822.366666666665</v>
      </c>
      <c r="P67" s="26">
        <f t="shared" si="22"/>
        <v>12822.366666666665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3330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12822.366666666665</v>
      </c>
      <c r="P68" s="26">
        <f t="shared" si="22"/>
        <v>12822.366666666665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3330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12822.366666666665</v>
      </c>
      <c r="P69" s="26">
        <f t="shared" si="22"/>
        <v>12822.366666666665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3330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12822.366666666665</v>
      </c>
      <c r="P70" s="26">
        <f t="shared" si="22"/>
        <v>12822.366666666665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3330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12822.366666666665</v>
      </c>
      <c r="P71" s="26">
        <f t="shared" si="22"/>
        <v>12822.366666666665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3330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12822.366666666665</v>
      </c>
      <c r="P72" s="26">
        <f t="shared" si="22"/>
        <v>12822.366666666665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24710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101233.1</v>
      </c>
      <c r="P75" s="27">
        <f t="shared" si="23"/>
        <v>101233.1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800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864.5333333333333</v>
      </c>
      <c r="P78" s="26">
        <f t="shared" si="25"/>
        <v>864.5333333333333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3330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12822.366666666665</v>
      </c>
      <c r="P79" s="26">
        <f t="shared" si="25"/>
        <v>12822.366666666665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3330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12822.366666666665</v>
      </c>
      <c r="P80" s="26">
        <f t="shared" si="25"/>
        <v>12822.366666666665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3330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12822.366666666665</v>
      </c>
      <c r="P81" s="26">
        <f t="shared" si="25"/>
        <v>12822.366666666665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3330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12822.366666666665</v>
      </c>
      <c r="P82" s="26">
        <f t="shared" si="25"/>
        <v>12822.366666666665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3330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12822.366666666665</v>
      </c>
      <c r="P83" s="26">
        <f t="shared" si="25"/>
        <v>12822.366666666665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3330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12822.366666666665</v>
      </c>
      <c r="P84" s="26">
        <f t="shared" si="25"/>
        <v>12822.366666666665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3330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12822.366666666665</v>
      </c>
      <c r="P85" s="26">
        <f t="shared" si="25"/>
        <v>12822.366666666665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600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600</v>
      </c>
      <c r="P86" s="26">
        <f t="shared" si="25"/>
        <v>600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23310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89764.566666666666</v>
      </c>
      <c r="P88" s="22">
        <f t="shared" si="26"/>
        <v>89764.566666666666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3330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12822.366666666665</v>
      </c>
      <c r="P92" s="23">
        <f t="shared" si="28"/>
        <v>12822.366666666665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3330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12822.366666666665</v>
      </c>
      <c r="P93" s="23">
        <f t="shared" si="28"/>
        <v>12822.366666666665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3330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12822.366666666665</v>
      </c>
      <c r="P94" s="23">
        <f t="shared" si="28"/>
        <v>12822.366666666665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3330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12822.366666666665</v>
      </c>
      <c r="P95" s="23">
        <f t="shared" si="28"/>
        <v>12822.366666666665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3330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12822.366666666665</v>
      </c>
      <c r="P96" s="23">
        <f t="shared" si="28"/>
        <v>12822.366666666665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3330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12822.366666666665</v>
      </c>
      <c r="P97" s="23">
        <f t="shared" si="28"/>
        <v>12822.366666666665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3330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12822.366666666665</v>
      </c>
      <c r="P98" s="23">
        <f t="shared" si="28"/>
        <v>12822.366666666665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217" priority="92" operator="equal">
      <formula>"RECEITA"</formula>
    </cfRule>
    <cfRule type="cellIs" dxfId="216" priority="93" operator="equal">
      <formula>"DESPESA"</formula>
    </cfRule>
    <cfRule type="cellIs" dxfId="215" priority="94" operator="equal">
      <formula>"RECEITA"</formula>
    </cfRule>
    <cfRule type="cellIs" dxfId="214" priority="95" operator="equal">
      <formula>"DESPESA"</formula>
    </cfRule>
    <cfRule type="cellIs" dxfId="213" priority="96" operator="equal">
      <formula>"RECEITA"</formula>
    </cfRule>
    <cfRule type="cellIs" dxfId="212" priority="97" operator="equal">
      <formula>"DESPESA"</formula>
    </cfRule>
  </conditionalFormatting>
  <conditionalFormatting sqref="B11:B15">
    <cfRule type="cellIs" dxfId="211" priority="86" operator="equal">
      <formula>"RECEITA"</formula>
    </cfRule>
    <cfRule type="cellIs" dxfId="210" priority="87" operator="equal">
      <formula>"DESPESA"</formula>
    </cfRule>
    <cfRule type="cellIs" dxfId="209" priority="88" operator="equal">
      <formula>"RECEITA"</formula>
    </cfRule>
    <cfRule type="cellIs" dxfId="208" priority="89" operator="equal">
      <formula>"DESPESA"</formula>
    </cfRule>
    <cfRule type="cellIs" dxfId="207" priority="90" operator="equal">
      <formula>"RECEITA"</formula>
    </cfRule>
    <cfRule type="cellIs" dxfId="206" priority="91" operator="equal">
      <formula>"DESPESA"</formula>
    </cfRule>
  </conditionalFormatting>
  <conditionalFormatting sqref="C17:E18">
    <cfRule type="cellIs" dxfId="205" priority="84" operator="lessThan">
      <formula>0</formula>
    </cfRule>
    <cfRule type="cellIs" dxfId="204" priority="85" operator="greaterThan">
      <formula>0</formula>
    </cfRule>
  </conditionalFormatting>
  <conditionalFormatting sqref="C18:E18">
    <cfRule type="cellIs" dxfId="203" priority="82" operator="lessThan">
      <formula>0</formula>
    </cfRule>
    <cfRule type="cellIs" dxfId="202" priority="83" operator="greaterThan">
      <formula>0</formula>
    </cfRule>
  </conditionalFormatting>
  <conditionalFormatting sqref="B21">
    <cfRule type="cellIs" dxfId="201" priority="60" operator="equal">
      <formula>"RECEITA"</formula>
    </cfRule>
    <cfRule type="cellIs" dxfId="200" priority="61" operator="equal">
      <formula>"DESPESA"</formula>
    </cfRule>
    <cfRule type="cellIs" dxfId="199" priority="62" operator="equal">
      <formula>"RECEITA"</formula>
    </cfRule>
    <cfRule type="cellIs" dxfId="198" priority="63" operator="equal">
      <formula>"DESPESA"</formula>
    </cfRule>
    <cfRule type="cellIs" dxfId="197" priority="64" operator="equal">
      <formula>"RECEITA"</formula>
    </cfRule>
    <cfRule type="cellIs" dxfId="196" priority="65" operator="equal">
      <formula>"DESPESA"</formula>
    </cfRule>
  </conditionalFormatting>
  <conditionalFormatting sqref="B22:B33">
    <cfRule type="cellIs" dxfId="195" priority="54" operator="equal">
      <formula>"RECEITA"</formula>
    </cfRule>
    <cfRule type="cellIs" dxfId="194" priority="55" operator="equal">
      <formula>"DESPESA"</formula>
    </cfRule>
    <cfRule type="cellIs" dxfId="193" priority="56" operator="equal">
      <formula>"RECEITA"</formula>
    </cfRule>
    <cfRule type="cellIs" dxfId="192" priority="57" operator="equal">
      <formula>"DESPESA"</formula>
    </cfRule>
    <cfRule type="cellIs" dxfId="191" priority="58" operator="equal">
      <formula>"RECEITA"</formula>
    </cfRule>
    <cfRule type="cellIs" dxfId="190" priority="59" operator="equal">
      <formula>"DESPESA"</formula>
    </cfRule>
  </conditionalFormatting>
  <conditionalFormatting sqref="B36">
    <cfRule type="cellIs" dxfId="189" priority="48" operator="equal">
      <formula>"RECEITA"</formula>
    </cfRule>
    <cfRule type="cellIs" dxfId="188" priority="49" operator="equal">
      <formula>"DESPESA"</formula>
    </cfRule>
    <cfRule type="cellIs" dxfId="187" priority="50" operator="equal">
      <formula>"RECEITA"</formula>
    </cfRule>
    <cfRule type="cellIs" dxfId="186" priority="51" operator="equal">
      <formula>"DESPESA"</formula>
    </cfRule>
    <cfRule type="cellIs" dxfId="185" priority="52" operator="equal">
      <formula>"RECEITA"</formula>
    </cfRule>
    <cfRule type="cellIs" dxfId="184" priority="53" operator="equal">
      <formula>"DESPESA"</formula>
    </cfRule>
  </conditionalFormatting>
  <conditionalFormatting sqref="B37:B47">
    <cfRule type="cellIs" dxfId="183" priority="42" operator="equal">
      <formula>"RECEITA"</formula>
    </cfRule>
    <cfRule type="cellIs" dxfId="182" priority="43" operator="equal">
      <formula>"DESPESA"</formula>
    </cfRule>
    <cfRule type="cellIs" dxfId="181" priority="44" operator="equal">
      <formula>"RECEITA"</formula>
    </cfRule>
    <cfRule type="cellIs" dxfId="180" priority="45" operator="equal">
      <formula>"DESPESA"</formula>
    </cfRule>
    <cfRule type="cellIs" dxfId="179" priority="46" operator="equal">
      <formula>"RECEITA"</formula>
    </cfRule>
    <cfRule type="cellIs" dxfId="178" priority="47" operator="equal">
      <formula>"DESPESA"</formula>
    </cfRule>
  </conditionalFormatting>
  <conditionalFormatting sqref="B49:B60">
    <cfRule type="cellIs" dxfId="177" priority="36" operator="equal">
      <formula>"RECEITA"</formula>
    </cfRule>
    <cfRule type="cellIs" dxfId="176" priority="37" operator="equal">
      <formula>"DESPESA"</formula>
    </cfRule>
    <cfRule type="cellIs" dxfId="175" priority="38" operator="equal">
      <formula>"RECEITA"</formula>
    </cfRule>
    <cfRule type="cellIs" dxfId="174" priority="39" operator="equal">
      <formula>"DESPESA"</formula>
    </cfRule>
    <cfRule type="cellIs" dxfId="173" priority="40" operator="equal">
      <formula>"RECEITA"</formula>
    </cfRule>
    <cfRule type="cellIs" dxfId="172" priority="41" operator="equal">
      <formula>"DESPESA"</formula>
    </cfRule>
  </conditionalFormatting>
  <conditionalFormatting sqref="B88:B99">
    <cfRule type="cellIs" dxfId="171" priority="12" operator="equal">
      <formula>"RECEITA"</formula>
    </cfRule>
    <cfRule type="cellIs" dxfId="170" priority="13" operator="equal">
      <formula>"DESPESA"</formula>
    </cfRule>
    <cfRule type="cellIs" dxfId="169" priority="14" operator="equal">
      <formula>"RECEITA"</formula>
    </cfRule>
    <cfRule type="cellIs" dxfId="168" priority="15" operator="equal">
      <formula>"DESPESA"</formula>
    </cfRule>
    <cfRule type="cellIs" dxfId="167" priority="16" operator="equal">
      <formula>"RECEITA"</formula>
    </cfRule>
    <cfRule type="cellIs" dxfId="166" priority="17" operator="equal">
      <formula>"DESPESA"</formula>
    </cfRule>
  </conditionalFormatting>
  <conditionalFormatting sqref="B62:B73">
    <cfRule type="cellIs" dxfId="165" priority="24" operator="equal">
      <formula>"RECEITA"</formula>
    </cfRule>
    <cfRule type="cellIs" dxfId="164" priority="25" operator="equal">
      <formula>"DESPESA"</formula>
    </cfRule>
    <cfRule type="cellIs" dxfId="163" priority="26" operator="equal">
      <formula>"RECEITA"</formula>
    </cfRule>
    <cfRule type="cellIs" dxfId="162" priority="27" operator="equal">
      <formula>"DESPESA"</formula>
    </cfRule>
    <cfRule type="cellIs" dxfId="161" priority="28" operator="equal">
      <formula>"RECEITA"</formula>
    </cfRule>
    <cfRule type="cellIs" dxfId="160" priority="29" operator="equal">
      <formula>"DESPESA"</formula>
    </cfRule>
  </conditionalFormatting>
  <conditionalFormatting sqref="B75:B86">
    <cfRule type="cellIs" dxfId="159" priority="18" operator="equal">
      <formula>"RECEITA"</formula>
    </cfRule>
    <cfRule type="cellIs" dxfId="158" priority="19" operator="equal">
      <formula>"DESPESA"</formula>
    </cfRule>
    <cfRule type="cellIs" dxfId="157" priority="20" operator="equal">
      <formula>"RECEITA"</formula>
    </cfRule>
    <cfRule type="cellIs" dxfId="156" priority="21" operator="equal">
      <formula>"DESPESA"</formula>
    </cfRule>
    <cfRule type="cellIs" dxfId="155" priority="22" operator="equal">
      <formula>"RECEITA"</formula>
    </cfRule>
    <cfRule type="cellIs" dxfId="154" priority="23" operator="equal">
      <formula>"DESPESA"</formula>
    </cfRule>
  </conditionalFormatting>
  <conditionalFormatting sqref="C17:E18">
    <cfRule type="cellIs" dxfId="153" priority="11" operator="equal">
      <formula>0</formula>
    </cfRule>
  </conditionalFormatting>
  <conditionalFormatting sqref="F17:P18">
    <cfRule type="cellIs" dxfId="152" priority="4" operator="lessThan">
      <formula>0</formula>
    </cfRule>
    <cfRule type="cellIs" dxfId="151" priority="5" operator="greaterThan">
      <formula>0</formula>
    </cfRule>
  </conditionalFormatting>
  <conditionalFormatting sqref="F17:P18">
    <cfRule type="cellIs" dxfId="150" priority="2" operator="lessThan">
      <formula>0</formula>
    </cfRule>
    <cfRule type="cellIs" dxfId="149" priority="3" operator="greaterThan">
      <formula>0</formula>
    </cfRule>
  </conditionalFormatting>
  <conditionalFormatting sqref="F17:P18">
    <cfRule type="cellIs" dxfId="148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/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98" t="s">
        <v>101</v>
      </c>
      <c r="S5" s="98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 t="str">
        <f>JULHO!G7</f>
        <v>MUTAMBA</v>
      </c>
      <c r="G474" s="68">
        <f>JULHO!H7</f>
        <v>100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 t="str">
        <f>JULHO!G8</f>
        <v>MUTAMBA</v>
      </c>
      <c r="G475" s="68">
        <f>JULHO!H8</f>
        <v>200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 t="str">
        <f>JULHO!G9</f>
        <v>MUTAMBA</v>
      </c>
      <c r="G476" s="68">
        <f>JULHO!H9</f>
        <v>300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 t="str">
        <f>JULHO!G10</f>
        <v>MUTAMBA</v>
      </c>
      <c r="G477" s="68">
        <f>JULHO!H10</f>
        <v>400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 t="str">
        <f>JULHO!G11</f>
        <v>MUTAMBA</v>
      </c>
      <c r="G478" s="68">
        <f>JULHO!H11</f>
        <v>500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600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 t="str">
        <f>JULHO!G13</f>
        <v>VILA ALICE</v>
      </c>
      <c r="G480" s="68">
        <f>JULHO!H13</f>
        <v>700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 t="str">
        <f>JULHO!G14</f>
        <v>CATETE</v>
      </c>
      <c r="G481" s="68">
        <f>JULHO!H14</f>
        <v>800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 t="str">
        <f>JULHO!G15</f>
        <v>ESTALAGEM</v>
      </c>
      <c r="G482" s="68">
        <f>JULHO!H15</f>
        <v>900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 t="str">
        <f>JULHO!G16</f>
        <v>ESTALAGEM</v>
      </c>
      <c r="G483" s="68">
        <f>JULHO!H16</f>
        <v>100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 t="str">
        <f>JULHO!G17</f>
        <v>ESTALAGEM</v>
      </c>
      <c r="G484" s="68">
        <f>JULHO!H17</f>
        <v>50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8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DASHBOARD (2)</vt:lpstr>
      <vt:lpstr>AUXILIAR 2</vt:lpstr>
      <vt:lpstr>RASCUNHO (2)</vt:lpstr>
      <vt:lpstr>FLUXO DE CAIXA (2)</vt:lpstr>
      <vt:lpstr>RASCUNHO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2026-03-16T11:23:33Z</dcterms:modified>
</cp:coreProperties>
</file>