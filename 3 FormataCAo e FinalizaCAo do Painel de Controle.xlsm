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comments14.xml" ContentType="application/vnd.openxmlformats-officedocument.spreadsheetml.comments+xml"/>
  <Override PartName="/xl/drawings/drawing18.xml" ContentType="application/vnd.openxmlformats-officedocument.drawing+xml"/>
  <Override PartName="/xl/comments15.xml" ContentType="application/vnd.openxmlformats-officedocument.spreadsheetml.comments+xml"/>
  <Override PartName="/xl/drawings/drawing19.xml" ContentType="application/vnd.openxmlformats-officedocument.drawing+xml"/>
  <Override PartName="/xl/comments16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17.xml" ContentType="application/vnd.openxmlformats-officedocument.spreadsheetml.comments+xml"/>
  <Override PartName="/xl/drawings/drawing2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5.xml" ContentType="application/vnd.openxmlformats-officedocument.drawing+xml"/>
  <Override PartName="/xl/comments18.xml" ContentType="application/vnd.openxmlformats-officedocument.spreadsheetml.comments+xml"/>
  <Override PartName="/xl/drawings/drawing26.xml" ContentType="application/vnd.openxmlformats-officedocument.drawing+xml"/>
  <Override PartName="/xl/comments19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15" activeTab="15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DASHBOARD" sheetId="45" r:id="rId16"/>
    <sheet name="AUXILIAR 2" sheetId="42" r:id="rId17"/>
    <sheet name="FLUXO DE CAIXA (2)" sheetId="29" r:id="rId18"/>
    <sheet name="COMPARAÇAO CENTROS DE CUSTO" sheetId="40" r:id="rId19"/>
    <sheet name="FLUXO DE CAIXA CENTROS" sheetId="38" r:id="rId20"/>
    <sheet name="plano de contas" sheetId="21" r:id="rId21"/>
    <sheet name="CENTRO DE CUSTO" sheetId="37" r:id="rId22"/>
    <sheet name="DRE" sheetId="22" r:id="rId23"/>
    <sheet name="GRAFICO DESPESAS" sheetId="24" r:id="rId24"/>
    <sheet name="GRAFICOS" sheetId="25" r:id="rId25"/>
    <sheet name="FC-DIARIO" sheetId="30" r:id="rId26"/>
    <sheet name="DRE1" sheetId="23" r:id="rId27"/>
    <sheet name="AUXILIAR" sheetId="26" r:id="rId28"/>
    <sheet name="INDICADORES" sheetId="44" r:id="rId29"/>
    <sheet name="RASCUNHO" sheetId="43" r:id="rId30"/>
  </sheet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18" hidden="1">'COMPARAÇAO CENTROS DE CUSTO'!#REF!</definedName>
    <definedName name="_xlnm._FilterDatabase" localSheetId="14" hidden="1">DEZEMBRO!$H$8:$H$37</definedName>
    <definedName name="_xlnm._FilterDatabase" localSheetId="22" hidden="1">DRE!#REF!</definedName>
    <definedName name="_xlnm._FilterDatabase" localSheetId="26" hidden="1">'DRE1'!#REF!</definedName>
    <definedName name="_xlnm._FilterDatabase" localSheetId="25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7" hidden="1">'FLUXO DE CAIXA (2)'!#REF!</definedName>
    <definedName name="_xlnm._FilterDatabase" localSheetId="19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42" l="1"/>
  <c r="J9" i="42"/>
  <c r="J10" i="42"/>
  <c r="J11" i="42"/>
  <c r="J12" i="42"/>
  <c r="J13" i="42"/>
  <c r="J7" i="42"/>
  <c r="I4" i="45"/>
  <c r="G4" i="45"/>
  <c r="E4" i="45"/>
  <c r="C13" i="45"/>
  <c r="C10" i="45"/>
  <c r="C12" i="45"/>
  <c r="C7" i="45"/>
  <c r="C4" i="45"/>
  <c r="C9" i="45"/>
  <c r="C6" i="45"/>
  <c r="I3" i="45"/>
  <c r="G3" i="45"/>
  <c r="E3" i="45"/>
  <c r="C3" i="45"/>
  <c r="I8" i="42"/>
  <c r="I9" i="42"/>
  <c r="I10" i="42"/>
  <c r="I11" i="42"/>
  <c r="I12" i="42"/>
  <c r="I13" i="42"/>
  <c r="I7" i="42"/>
  <c r="F14" i="42"/>
  <c r="F13" i="42"/>
  <c r="E14" i="42"/>
  <c r="F9" i="42"/>
  <c r="F10" i="42"/>
  <c r="F11" i="42"/>
  <c r="E8" i="42"/>
  <c r="E11" i="42"/>
  <c r="E12" i="42"/>
  <c r="E13" i="42"/>
  <c r="E6" i="42"/>
  <c r="E7" i="42"/>
  <c r="E5" i="42"/>
  <c r="B13" i="40"/>
  <c r="B14" i="40"/>
  <c r="B15" i="40"/>
  <c r="B16" i="40"/>
  <c r="B17" i="40"/>
  <c r="B18" i="40"/>
  <c r="B9" i="40"/>
  <c r="B10" i="40"/>
  <c r="B11" i="40"/>
  <c r="B12" i="40"/>
  <c r="B8" i="40"/>
  <c r="P10" i="38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/>
  <c r="H8" i="40"/>
  <c r="L8" i="40"/>
  <c r="E9" i="40"/>
  <c r="I9" i="40"/>
  <c r="M9" i="40"/>
  <c r="F10" i="40"/>
  <c r="K10" i="40"/>
  <c r="D11" i="40"/>
  <c r="I11" i="40"/>
  <c r="M11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E18" i="40"/>
  <c r="I18" i="40"/>
  <c r="M18" i="40"/>
  <c r="C11" i="40"/>
  <c r="C15" i="40"/>
  <c r="C8" i="40"/>
  <c r="K9" i="40"/>
  <c r="I10" i="40"/>
  <c r="F11" i="40"/>
  <c r="D12" i="40"/>
  <c r="L12" i="40"/>
  <c r="I13" i="40"/>
  <c r="F14" i="40"/>
  <c r="N14" i="40"/>
  <c r="D16" i="40"/>
  <c r="M16" i="40"/>
  <c r="J17" i="40"/>
  <c r="G18" i="40"/>
  <c r="C17" i="40"/>
  <c r="G8" i="40"/>
  <c r="D9" i="40"/>
  <c r="L9" i="40"/>
  <c r="J10" i="40"/>
  <c r="H11" i="40"/>
  <c r="E12" i="40"/>
  <c r="M12" i="40"/>
  <c r="J13" i="40"/>
  <c r="G14" i="40"/>
  <c r="D15" i="40"/>
  <c r="L15" i="40"/>
  <c r="J16" i="40"/>
  <c r="G17" i="40"/>
  <c r="K17" i="40"/>
  <c r="L18" i="40"/>
  <c r="C14" i="40"/>
  <c r="H16" i="40"/>
  <c r="E8" i="40"/>
  <c r="I8" i="40"/>
  <c r="M8" i="40"/>
  <c r="F9" i="40"/>
  <c r="J9" i="40"/>
  <c r="N9" i="40"/>
  <c r="G10" i="40"/>
  <c r="L10" i="40"/>
  <c r="E11" i="40"/>
  <c r="J11" i="40"/>
  <c r="N11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I17" i="40"/>
  <c r="F18" i="40"/>
  <c r="J18" i="40"/>
  <c r="N18" i="40"/>
  <c r="C12" i="40"/>
  <c r="C16" i="40"/>
  <c r="H10" i="40"/>
  <c r="F8" i="40"/>
  <c r="J8" i="40"/>
  <c r="G9" i="40"/>
  <c r="D10" i="40"/>
  <c r="M10" i="40"/>
  <c r="K11" i="40"/>
  <c r="H12" i="40"/>
  <c r="E13" i="40"/>
  <c r="M13" i="40"/>
  <c r="J14" i="40"/>
  <c r="G15" i="40"/>
  <c r="K15" i="40"/>
  <c r="I16" i="40"/>
  <c r="F17" i="40"/>
  <c r="N17" i="40"/>
  <c r="K18" i="40"/>
  <c r="C13" i="40"/>
  <c r="K8" i="40"/>
  <c r="H9" i="40"/>
  <c r="E10" i="40"/>
  <c r="N10" i="40"/>
  <c r="L11" i="40"/>
  <c r="I12" i="40"/>
  <c r="F13" i="40"/>
  <c r="N13" i="40"/>
  <c r="K14" i="40"/>
  <c r="H15" i="40"/>
  <c r="E16" i="40"/>
  <c r="N16" i="40"/>
  <c r="D18" i="40"/>
  <c r="H18" i="40"/>
  <c r="C10" i="40"/>
  <c r="C18" i="40"/>
  <c r="G6" i="26"/>
  <c r="O12" i="40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/>
  <c r="O17" i="9"/>
  <c r="I328" i="26"/>
  <c r="O18" i="9"/>
  <c r="I329" i="26"/>
  <c r="O19" i="9"/>
  <c r="O20" i="9"/>
  <c r="I331" i="26"/>
  <c r="O21" i="9"/>
  <c r="I332" i="26"/>
  <c r="O22" i="9"/>
  <c r="I333" i="26"/>
  <c r="O23" i="9"/>
  <c r="O24" i="9"/>
  <c r="I335" i="26"/>
  <c r="O25" i="9"/>
  <c r="I336" i="26"/>
  <c r="O26" i="9"/>
  <c r="I337" i="26"/>
  <c r="O27" i="9"/>
  <c r="O28" i="9"/>
  <c r="I339" i="26"/>
  <c r="O29" i="9"/>
  <c r="I340" i="26"/>
  <c r="O30" i="9"/>
  <c r="I341" i="26"/>
  <c r="O31" i="9"/>
  <c r="O32" i="9"/>
  <c r="I343" i="26"/>
  <c r="O33" i="9"/>
  <c r="I344" i="26"/>
  <c r="O34" i="9"/>
  <c r="I345" i="26"/>
  <c r="O35" i="9"/>
  <c r="O36" i="9"/>
  <c r="I347" i="26"/>
  <c r="O37" i="9"/>
  <c r="I348" i="26"/>
  <c r="O38" i="9"/>
  <c r="I349" i="26"/>
  <c r="O39" i="9"/>
  <c r="O40" i="9"/>
  <c r="I351" i="26"/>
  <c r="O41" i="9"/>
  <c r="I352" i="26"/>
  <c r="O42" i="9"/>
  <c r="I353" i="26"/>
  <c r="O43" i="9"/>
  <c r="O44" i="9"/>
  <c r="I355" i="26"/>
  <c r="O45" i="9"/>
  <c r="I356" i="26"/>
  <c r="O46" i="9"/>
  <c r="I357" i="26"/>
  <c r="O47" i="9"/>
  <c r="O48" i="9"/>
  <c r="I359" i="26"/>
  <c r="O49" i="9"/>
  <c r="I360" i="26"/>
  <c r="O50" i="9"/>
  <c r="I361" i="26"/>
  <c r="O51" i="9"/>
  <c r="O52" i="9"/>
  <c r="I363" i="26"/>
  <c r="O53" i="9"/>
  <c r="I364" i="26"/>
  <c r="O54" i="9"/>
  <c r="I365" i="26"/>
  <c r="O55" i="9"/>
  <c r="O56" i="9"/>
  <c r="I367" i="26"/>
  <c r="O57" i="9"/>
  <c r="I368" i="26"/>
  <c r="O58" i="9"/>
  <c r="I369" i="26"/>
  <c r="O59" i="9"/>
  <c r="O60" i="9"/>
  <c r="I371" i="26"/>
  <c r="O61" i="9"/>
  <c r="I372" i="26"/>
  <c r="O62" i="9"/>
  <c r="I373" i="26"/>
  <c r="O63" i="9"/>
  <c r="O64" i="9"/>
  <c r="I375" i="26"/>
  <c r="O65" i="9"/>
  <c r="I376" i="26"/>
  <c r="O66" i="9"/>
  <c r="I377" i="26"/>
  <c r="O67" i="9"/>
  <c r="O68" i="9"/>
  <c r="I379" i="26"/>
  <c r="O69" i="9"/>
  <c r="I380" i="26"/>
  <c r="O70" i="9"/>
  <c r="I381" i="26"/>
  <c r="O71" i="9"/>
  <c r="O72" i="9"/>
  <c r="I383" i="26"/>
  <c r="O73" i="9"/>
  <c r="I384" i="26"/>
  <c r="O74" i="9"/>
  <c r="I385" i="26"/>
  <c r="O75" i="9"/>
  <c r="O76" i="9"/>
  <c r="I387" i="26"/>
  <c r="O77" i="9"/>
  <c r="I388" i="26"/>
  <c r="O78" i="9"/>
  <c r="I389" i="26"/>
  <c r="O79" i="9"/>
  <c r="O80" i="9"/>
  <c r="I391" i="26"/>
  <c r="O81" i="9"/>
  <c r="I392" i="26"/>
  <c r="O82" i="9"/>
  <c r="I393" i="26"/>
  <c r="O83" i="9"/>
  <c r="O84" i="9"/>
  <c r="I395" i="26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/>
  <c r="O17" i="15"/>
  <c r="O18" i="15"/>
  <c r="I797" i="26"/>
  <c r="O19" i="15"/>
  <c r="I798" i="26"/>
  <c r="O20" i="15"/>
  <c r="I799" i="26"/>
  <c r="O21" i="15"/>
  <c r="I800" i="26"/>
  <c r="O22" i="15"/>
  <c r="I801" i="26"/>
  <c r="O23" i="15"/>
  <c r="I802" i="26"/>
  <c r="O24" i="15"/>
  <c r="I803" i="26"/>
  <c r="O25" i="15"/>
  <c r="O26" i="15"/>
  <c r="I805" i="26"/>
  <c r="O27" i="15"/>
  <c r="I806" i="26"/>
  <c r="O28" i="15"/>
  <c r="I807" i="26"/>
  <c r="O29" i="15"/>
  <c r="I808" i="26"/>
  <c r="O30" i="15"/>
  <c r="I809" i="26"/>
  <c r="O31" i="15"/>
  <c r="I810" i="26"/>
  <c r="O32" i="15"/>
  <c r="I811" i="26"/>
  <c r="O33" i="15"/>
  <c r="O34" i="15"/>
  <c r="I813" i="26"/>
  <c r="O35" i="15"/>
  <c r="I814" i="26"/>
  <c r="O36" i="15"/>
  <c r="I815" i="26"/>
  <c r="O37" i="15"/>
  <c r="I816" i="26"/>
  <c r="O38" i="15"/>
  <c r="I817" i="26"/>
  <c r="O39" i="15"/>
  <c r="I818" i="26"/>
  <c r="O40" i="15"/>
  <c r="I819" i="26"/>
  <c r="O41" i="15"/>
  <c r="O42" i="15"/>
  <c r="I821" i="26"/>
  <c r="O43" i="15"/>
  <c r="I822" i="26"/>
  <c r="O44" i="15"/>
  <c r="I823" i="26"/>
  <c r="O45" i="15"/>
  <c r="I824" i="26"/>
  <c r="O46" i="15"/>
  <c r="I825" i="26"/>
  <c r="O47" i="15"/>
  <c r="I826" i="26"/>
  <c r="O48" i="15"/>
  <c r="I827" i="26"/>
  <c r="O49" i="15"/>
  <c r="O50" i="15"/>
  <c r="I829" i="26"/>
  <c r="O51" i="15"/>
  <c r="I830" i="26"/>
  <c r="O52" i="15"/>
  <c r="I831" i="26"/>
  <c r="O53" i="15"/>
  <c r="I832" i="26"/>
  <c r="O54" i="15"/>
  <c r="I833" i="26"/>
  <c r="O55" i="15"/>
  <c r="I834" i="26"/>
  <c r="O56" i="15"/>
  <c r="I835" i="26"/>
  <c r="O57" i="15"/>
  <c r="O58" i="15"/>
  <c r="I837" i="26"/>
  <c r="O59" i="15"/>
  <c r="I838" i="26"/>
  <c r="O60" i="15"/>
  <c r="I839" i="26"/>
  <c r="O61" i="15"/>
  <c r="I840" i="26"/>
  <c r="O62" i="15"/>
  <c r="I841" i="26"/>
  <c r="O63" i="15"/>
  <c r="I842" i="26"/>
  <c r="O64" i="15"/>
  <c r="I843" i="26"/>
  <c r="O65" i="15"/>
  <c r="O66" i="15"/>
  <c r="I845" i="26"/>
  <c r="O67" i="15"/>
  <c r="I846" i="26"/>
  <c r="O68" i="15"/>
  <c r="I847" i="26"/>
  <c r="O69" i="15"/>
  <c r="I848" i="26"/>
  <c r="O70" i="15"/>
  <c r="I849" i="26"/>
  <c r="O71" i="15"/>
  <c r="I850" i="26"/>
  <c r="O72" i="15"/>
  <c r="I851" i="26"/>
  <c r="O73" i="15"/>
  <c r="O74" i="15"/>
  <c r="I853" i="26"/>
  <c r="O75" i="15"/>
  <c r="I854" i="26"/>
  <c r="O76" i="15"/>
  <c r="I855" i="26"/>
  <c r="O77" i="15"/>
  <c r="I856" i="26"/>
  <c r="O78" i="15"/>
  <c r="I857" i="26"/>
  <c r="O79" i="15"/>
  <c r="I858" i="26"/>
  <c r="O80" i="15"/>
  <c r="I859" i="26"/>
  <c r="O81" i="15"/>
  <c r="O82" i="15"/>
  <c r="I861" i="26"/>
  <c r="O83" i="15"/>
  <c r="I862" i="26"/>
  <c r="O84" i="15"/>
  <c r="I863" i="26"/>
  <c r="O15" i="16"/>
  <c r="O16" i="16"/>
  <c r="I873" i="2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/>
  <c r="O10" i="9"/>
  <c r="I321" i="26"/>
  <c r="O11" i="9"/>
  <c r="O12" i="9"/>
  <c r="O13" i="9"/>
  <c r="I324" i="26"/>
  <c r="O14" i="9"/>
  <c r="I325" i="26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/>
  <c r="O10" i="13"/>
  <c r="O11" i="13"/>
  <c r="O12" i="13"/>
  <c r="O13" i="13"/>
  <c r="O14" i="13"/>
  <c r="O8" i="14"/>
  <c r="O9" i="14"/>
  <c r="O10" i="14"/>
  <c r="I711" i="26"/>
  <c r="M17" i="40"/>
  <c r="O17" i="40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/>
  <c r="O8" i="40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G475" i="26"/>
  <c r="H475" i="26"/>
  <c r="C476" i="26"/>
  <c r="D476" i="26"/>
  <c r="E476" i="26"/>
  <c r="G476" i="26"/>
  <c r="H476" i="26"/>
  <c r="C477" i="26"/>
  <c r="D477" i="26"/>
  <c r="E477" i="26"/>
  <c r="G477" i="26"/>
  <c r="H477" i="26"/>
  <c r="C478" i="26"/>
  <c r="D478" i="26"/>
  <c r="E478" i="26"/>
  <c r="G478" i="26"/>
  <c r="H478" i="26"/>
  <c r="C479" i="26"/>
  <c r="D479" i="26"/>
  <c r="E479" i="26"/>
  <c r="G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G483" i="26"/>
  <c r="H483" i="26"/>
  <c r="C484" i="26"/>
  <c r="D484" i="26"/>
  <c r="E484" i="26"/>
  <c r="G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G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G11" i="40"/>
  <c r="O11" i="40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/>
  <c r="O9" i="40"/>
  <c r="K152" i="26"/>
  <c r="L152" i="26"/>
  <c r="J152" i="26"/>
  <c r="K144" i="26"/>
  <c r="L144" i="26"/>
  <c r="J144" i="26"/>
  <c r="K140" i="26"/>
  <c r="L140" i="26"/>
  <c r="J140" i="26"/>
  <c r="K132" i="26"/>
  <c r="L132" i="26"/>
  <c r="J132" i="26"/>
  <c r="K162" i="26"/>
  <c r="L162" i="26"/>
  <c r="J162" i="26"/>
  <c r="K166" i="26"/>
  <c r="L166" i="26"/>
  <c r="J166" i="26"/>
  <c r="K174" i="26"/>
  <c r="L174" i="26"/>
  <c r="J174" i="26"/>
  <c r="K312" i="26"/>
  <c r="L312" i="26"/>
  <c r="J312" i="26"/>
  <c r="K304" i="26"/>
  <c r="L304" i="26"/>
  <c r="J304" i="26"/>
  <c r="K284" i="26"/>
  <c r="L284" i="26"/>
  <c r="J284" i="26"/>
  <c r="K264" i="26"/>
  <c r="L264" i="26"/>
  <c r="J264" i="26"/>
  <c r="K392" i="26"/>
  <c r="L392" i="26"/>
  <c r="J392" i="26"/>
  <c r="K388" i="26"/>
  <c r="L388" i="26"/>
  <c r="J388" i="26"/>
  <c r="K376" i="26"/>
  <c r="L376" i="26"/>
  <c r="J376" i="26"/>
  <c r="K368" i="26"/>
  <c r="L368" i="26"/>
  <c r="J368" i="26"/>
  <c r="K360" i="26"/>
  <c r="L360" i="26"/>
  <c r="J360" i="26"/>
  <c r="K352" i="26"/>
  <c r="L352" i="26"/>
  <c r="J352" i="26"/>
  <c r="K328" i="26"/>
  <c r="L328" i="26"/>
  <c r="J328" i="26"/>
  <c r="K468" i="26"/>
  <c r="L468" i="26"/>
  <c r="J468" i="26"/>
  <c r="K440" i="26"/>
  <c r="L440" i="26"/>
  <c r="J440" i="26"/>
  <c r="K428" i="26"/>
  <c r="L428" i="26"/>
  <c r="J428" i="26"/>
  <c r="K420" i="26"/>
  <c r="L420" i="26"/>
  <c r="J420" i="26"/>
  <c r="K416" i="26"/>
  <c r="L416" i="26"/>
  <c r="J416" i="26"/>
  <c r="K412" i="26"/>
  <c r="L412" i="26"/>
  <c r="J412" i="26"/>
  <c r="K404" i="26"/>
  <c r="L404" i="26"/>
  <c r="J404" i="26"/>
  <c r="K400" i="26"/>
  <c r="L400" i="26"/>
  <c r="J400" i="26"/>
  <c r="K536" i="26"/>
  <c r="L536" i="26"/>
  <c r="J536" i="26"/>
  <c r="K524" i="26"/>
  <c r="L524" i="26"/>
  <c r="J524" i="26"/>
  <c r="K508" i="26"/>
  <c r="L508" i="26"/>
  <c r="J508" i="26"/>
  <c r="K504" i="26"/>
  <c r="L504" i="26"/>
  <c r="J504" i="26"/>
  <c r="K500" i="26"/>
  <c r="L500" i="26"/>
  <c r="J500" i="26"/>
  <c r="K496" i="26"/>
  <c r="L496" i="26"/>
  <c r="J496" i="26"/>
  <c r="K630" i="26"/>
  <c r="L630" i="26"/>
  <c r="J630" i="26"/>
  <c r="K704" i="26"/>
  <c r="L704" i="26"/>
  <c r="J704" i="26"/>
  <c r="K692" i="26"/>
  <c r="L692" i="26"/>
  <c r="J692" i="26"/>
  <c r="K684" i="26"/>
  <c r="L684" i="26"/>
  <c r="J684" i="26"/>
  <c r="K680" i="26"/>
  <c r="L680" i="26"/>
  <c r="J680" i="26"/>
  <c r="K676" i="26"/>
  <c r="L676" i="26"/>
  <c r="J676" i="26"/>
  <c r="K656" i="26"/>
  <c r="L656" i="26"/>
  <c r="J656" i="26"/>
  <c r="K632" i="26"/>
  <c r="L632" i="26"/>
  <c r="J632" i="26"/>
  <c r="K780" i="26"/>
  <c r="L780" i="26"/>
  <c r="J780" i="26"/>
  <c r="K752" i="26"/>
  <c r="L752" i="26"/>
  <c r="J752" i="26"/>
  <c r="K744" i="26"/>
  <c r="L744" i="26"/>
  <c r="J744" i="26"/>
  <c r="K732" i="26"/>
  <c r="L732" i="26"/>
  <c r="J732" i="26"/>
  <c r="K724" i="26"/>
  <c r="L724" i="26"/>
  <c r="J724" i="26"/>
  <c r="K712" i="26"/>
  <c r="L712" i="26"/>
  <c r="J712" i="26"/>
  <c r="K786" i="26"/>
  <c r="L786" i="26"/>
  <c r="J786" i="26"/>
  <c r="K811" i="26"/>
  <c r="L811" i="26"/>
  <c r="J811" i="26"/>
  <c r="K799" i="26"/>
  <c r="L799" i="26"/>
  <c r="J799" i="26"/>
  <c r="K791" i="26"/>
  <c r="L791" i="26"/>
  <c r="J791" i="26"/>
  <c r="K842" i="26"/>
  <c r="L842" i="26"/>
  <c r="J842" i="26"/>
  <c r="K858" i="26"/>
  <c r="L858" i="26"/>
  <c r="J858" i="26"/>
  <c r="K925" i="26"/>
  <c r="L925" i="26"/>
  <c r="J925" i="26"/>
  <c r="K901" i="26"/>
  <c r="L901" i="26"/>
  <c r="J901" i="26"/>
  <c r="K893" i="26"/>
  <c r="L893" i="26"/>
  <c r="J893" i="26"/>
  <c r="K885" i="26"/>
  <c r="L885" i="26"/>
  <c r="J885" i="26"/>
  <c r="K877" i="26"/>
  <c r="L877" i="26"/>
  <c r="J877" i="26"/>
  <c r="K869" i="26"/>
  <c r="L869" i="26"/>
  <c r="J869" i="26"/>
  <c r="K865" i="26"/>
  <c r="L865" i="26"/>
  <c r="J865" i="26"/>
  <c r="K938" i="26"/>
  <c r="L938" i="26"/>
  <c r="J938" i="26"/>
  <c r="K35" i="26"/>
  <c r="L35" i="26"/>
  <c r="J35" i="26"/>
  <c r="K31" i="26"/>
  <c r="L31" i="26"/>
  <c r="J31" i="26"/>
  <c r="K27" i="26"/>
  <c r="L27" i="26"/>
  <c r="J27" i="26"/>
  <c r="K23" i="26"/>
  <c r="L23" i="26"/>
  <c r="J23" i="26"/>
  <c r="K19" i="26"/>
  <c r="L19" i="26"/>
  <c r="J19" i="26"/>
  <c r="K15" i="26"/>
  <c r="L15" i="26"/>
  <c r="J15" i="26"/>
  <c r="K11" i="26"/>
  <c r="L11" i="26"/>
  <c r="J11" i="26"/>
  <c r="K7" i="26"/>
  <c r="L7" i="26"/>
  <c r="J7" i="26"/>
  <c r="K84" i="26"/>
  <c r="L84" i="26"/>
  <c r="J84" i="26"/>
  <c r="P84" i="26"/>
  <c r="M84" i="26"/>
  <c r="N84" i="26"/>
  <c r="O84" i="26"/>
  <c r="K159" i="26"/>
  <c r="L159" i="26"/>
  <c r="J159" i="26"/>
  <c r="K155" i="26"/>
  <c r="L155" i="26"/>
  <c r="J155" i="26"/>
  <c r="K151" i="26"/>
  <c r="L151" i="26"/>
  <c r="J151" i="26"/>
  <c r="K147" i="26"/>
  <c r="L147" i="26"/>
  <c r="J147" i="26"/>
  <c r="K143" i="26"/>
  <c r="L143" i="26"/>
  <c r="J143" i="26"/>
  <c r="K139" i="26"/>
  <c r="L139" i="26"/>
  <c r="J139" i="26"/>
  <c r="K135" i="26"/>
  <c r="L135" i="26"/>
  <c r="J135" i="26"/>
  <c r="K131" i="26"/>
  <c r="L131" i="26"/>
  <c r="J131" i="26"/>
  <c r="K128" i="26"/>
  <c r="L128" i="26"/>
  <c r="J128" i="26"/>
  <c r="K126" i="26"/>
  <c r="L126" i="26"/>
  <c r="J126" i="26"/>
  <c r="K124" i="26"/>
  <c r="L124" i="26"/>
  <c r="J124" i="26"/>
  <c r="K122" i="26"/>
  <c r="L122" i="26"/>
  <c r="J122" i="26"/>
  <c r="K120" i="26"/>
  <c r="L120" i="26"/>
  <c r="J120" i="26"/>
  <c r="K118" i="26"/>
  <c r="L118" i="26"/>
  <c r="J118" i="26"/>
  <c r="K116" i="26"/>
  <c r="L116" i="26"/>
  <c r="J116" i="26"/>
  <c r="K114" i="26"/>
  <c r="L114" i="26"/>
  <c r="J114" i="26"/>
  <c r="K112" i="26"/>
  <c r="L112" i="26"/>
  <c r="J112" i="26"/>
  <c r="K110" i="26"/>
  <c r="L110" i="26"/>
  <c r="J110" i="26"/>
  <c r="K108" i="26"/>
  <c r="L108" i="26"/>
  <c r="J108" i="26"/>
  <c r="K106" i="26"/>
  <c r="L106" i="26"/>
  <c r="J106" i="26"/>
  <c r="K104" i="26"/>
  <c r="L104" i="26"/>
  <c r="J104" i="26"/>
  <c r="K102" i="26"/>
  <c r="L102" i="26"/>
  <c r="J102" i="26"/>
  <c r="K100" i="26"/>
  <c r="L100" i="26"/>
  <c r="J100" i="26"/>
  <c r="K98" i="26"/>
  <c r="L98" i="26"/>
  <c r="J98" i="26"/>
  <c r="K96" i="26"/>
  <c r="L96" i="26"/>
  <c r="J96" i="26"/>
  <c r="K94" i="26"/>
  <c r="L94" i="26"/>
  <c r="J94" i="26"/>
  <c r="K92" i="26"/>
  <c r="L92" i="26"/>
  <c r="J92" i="26"/>
  <c r="K90" i="26"/>
  <c r="L90" i="26"/>
  <c r="J90" i="26"/>
  <c r="K88" i="26"/>
  <c r="L88" i="26"/>
  <c r="J88" i="26"/>
  <c r="K163" i="26"/>
  <c r="L163" i="26"/>
  <c r="J163" i="26"/>
  <c r="K167" i="26"/>
  <c r="L167" i="26"/>
  <c r="J167" i="26"/>
  <c r="K171" i="26"/>
  <c r="L171" i="26"/>
  <c r="J171" i="26"/>
  <c r="K175" i="26"/>
  <c r="L175" i="26"/>
  <c r="J175" i="26"/>
  <c r="K179" i="26"/>
  <c r="L179" i="26"/>
  <c r="J179" i="26"/>
  <c r="K183" i="26"/>
  <c r="L183" i="26"/>
  <c r="J183" i="26"/>
  <c r="K187" i="26"/>
  <c r="L187" i="26"/>
  <c r="J187" i="26"/>
  <c r="K191" i="26"/>
  <c r="L191" i="26"/>
  <c r="J191" i="26"/>
  <c r="K195" i="26"/>
  <c r="L195" i="26"/>
  <c r="J195" i="26"/>
  <c r="K199" i="26"/>
  <c r="L199" i="26"/>
  <c r="J199" i="26"/>
  <c r="K203" i="26"/>
  <c r="L203" i="26"/>
  <c r="J203" i="26"/>
  <c r="K207" i="26"/>
  <c r="L207" i="26"/>
  <c r="J207" i="26"/>
  <c r="K211" i="26"/>
  <c r="L211" i="26"/>
  <c r="J211" i="26"/>
  <c r="K215" i="26"/>
  <c r="L215" i="26"/>
  <c r="J215" i="26"/>
  <c r="K219" i="26"/>
  <c r="L219" i="26"/>
  <c r="J219" i="26"/>
  <c r="K223" i="26"/>
  <c r="L223" i="26"/>
  <c r="J223" i="26"/>
  <c r="K227" i="26"/>
  <c r="L227" i="26"/>
  <c r="J227" i="26"/>
  <c r="K231" i="26"/>
  <c r="L231" i="26"/>
  <c r="J231" i="26"/>
  <c r="K235" i="26"/>
  <c r="L235" i="26"/>
  <c r="J235" i="26"/>
  <c r="K239" i="26"/>
  <c r="L239" i="26"/>
  <c r="J239" i="26"/>
  <c r="K315" i="26"/>
  <c r="L315" i="26"/>
  <c r="J315" i="26"/>
  <c r="K311" i="26"/>
  <c r="L311" i="26"/>
  <c r="J311" i="26"/>
  <c r="K307" i="26"/>
  <c r="L307" i="26"/>
  <c r="J307" i="26"/>
  <c r="K303" i="26"/>
  <c r="L303" i="26"/>
  <c r="J303" i="26"/>
  <c r="K299" i="26"/>
  <c r="L299" i="26"/>
  <c r="J299" i="26"/>
  <c r="K295" i="26"/>
  <c r="L295" i="26"/>
  <c r="J295" i="26"/>
  <c r="K291" i="26"/>
  <c r="L291" i="26"/>
  <c r="J291" i="26"/>
  <c r="K287" i="26"/>
  <c r="L287" i="26"/>
  <c r="J287" i="26"/>
  <c r="K283" i="26"/>
  <c r="L283" i="26"/>
  <c r="J283" i="26"/>
  <c r="K279" i="26"/>
  <c r="L279" i="26"/>
  <c r="J279" i="26"/>
  <c r="K275" i="26"/>
  <c r="L275" i="26"/>
  <c r="J275" i="26"/>
  <c r="K271" i="26"/>
  <c r="L271" i="26"/>
  <c r="J271" i="26"/>
  <c r="K267" i="26"/>
  <c r="L267" i="26"/>
  <c r="J267" i="26"/>
  <c r="K263" i="26"/>
  <c r="L263" i="26"/>
  <c r="J263" i="26"/>
  <c r="K259" i="26"/>
  <c r="L259" i="26"/>
  <c r="J259" i="26"/>
  <c r="K255" i="26"/>
  <c r="L255" i="26"/>
  <c r="J255" i="26"/>
  <c r="K251" i="26"/>
  <c r="L251" i="26"/>
  <c r="J251" i="26"/>
  <c r="K247" i="26"/>
  <c r="L247" i="26"/>
  <c r="J247" i="26"/>
  <c r="K243" i="26"/>
  <c r="L243" i="26"/>
  <c r="J243" i="26"/>
  <c r="K395" i="26"/>
  <c r="L395" i="26"/>
  <c r="J395" i="26"/>
  <c r="K391" i="26"/>
  <c r="L391" i="26"/>
  <c r="J391" i="26"/>
  <c r="K387" i="26"/>
  <c r="L387" i="26"/>
  <c r="J387" i="26"/>
  <c r="K383" i="26"/>
  <c r="L383" i="26"/>
  <c r="J383" i="26"/>
  <c r="K379" i="26"/>
  <c r="L379" i="26"/>
  <c r="J379" i="26"/>
  <c r="K375" i="26"/>
  <c r="L375" i="26"/>
  <c r="J375" i="26"/>
  <c r="K371" i="26"/>
  <c r="L371" i="26"/>
  <c r="J371" i="26"/>
  <c r="K367" i="26"/>
  <c r="L367" i="26"/>
  <c r="J367" i="26"/>
  <c r="K363" i="26"/>
  <c r="L363" i="26"/>
  <c r="J363" i="26"/>
  <c r="K359" i="26"/>
  <c r="L359" i="26"/>
  <c r="J359" i="26"/>
  <c r="K355" i="26"/>
  <c r="L355" i="26"/>
  <c r="J355" i="26"/>
  <c r="K351" i="26"/>
  <c r="L351" i="26"/>
  <c r="J351" i="26"/>
  <c r="K347" i="26"/>
  <c r="L347" i="26"/>
  <c r="J347" i="26"/>
  <c r="K343" i="26"/>
  <c r="L343" i="26"/>
  <c r="J343" i="26"/>
  <c r="K339" i="26"/>
  <c r="L339" i="26"/>
  <c r="J339" i="26"/>
  <c r="K335" i="26"/>
  <c r="L335" i="26"/>
  <c r="J335" i="26"/>
  <c r="K331" i="26"/>
  <c r="L331" i="26"/>
  <c r="J331" i="26"/>
  <c r="K327" i="26"/>
  <c r="L327" i="26"/>
  <c r="J327" i="26"/>
  <c r="K323" i="26"/>
  <c r="L323" i="26"/>
  <c r="J323" i="26"/>
  <c r="K319" i="26"/>
  <c r="L319" i="26"/>
  <c r="J319" i="26"/>
  <c r="K471" i="26"/>
  <c r="L471" i="26"/>
  <c r="J471" i="26"/>
  <c r="K467" i="26"/>
  <c r="L467" i="26"/>
  <c r="J467" i="26"/>
  <c r="K463" i="26"/>
  <c r="L463" i="26"/>
  <c r="J463" i="26"/>
  <c r="K459" i="26"/>
  <c r="L459" i="26"/>
  <c r="J459" i="26"/>
  <c r="K455" i="26"/>
  <c r="L455" i="26"/>
  <c r="J455" i="26"/>
  <c r="K451" i="26"/>
  <c r="L451" i="26"/>
  <c r="J451" i="26"/>
  <c r="K447" i="26"/>
  <c r="L447" i="26"/>
  <c r="J447" i="26"/>
  <c r="K443" i="26"/>
  <c r="L443" i="26"/>
  <c r="J443" i="26"/>
  <c r="K439" i="26"/>
  <c r="L439" i="26"/>
  <c r="J439" i="26"/>
  <c r="K435" i="26"/>
  <c r="L435" i="26"/>
  <c r="J435" i="26"/>
  <c r="K431" i="26"/>
  <c r="L431" i="26"/>
  <c r="J431" i="26"/>
  <c r="K427" i="26"/>
  <c r="L427" i="26"/>
  <c r="J427" i="26"/>
  <c r="K423" i="26"/>
  <c r="L423" i="26"/>
  <c r="J423" i="26"/>
  <c r="K419" i="26"/>
  <c r="L419" i="26"/>
  <c r="J419" i="26"/>
  <c r="K415" i="26"/>
  <c r="L415" i="26"/>
  <c r="J415" i="26"/>
  <c r="K411" i="26"/>
  <c r="L411" i="26"/>
  <c r="J411" i="26"/>
  <c r="K407" i="26"/>
  <c r="L407" i="26"/>
  <c r="J407" i="26"/>
  <c r="K403" i="26"/>
  <c r="L403" i="26"/>
  <c r="J403" i="26"/>
  <c r="K399" i="26"/>
  <c r="L399" i="26"/>
  <c r="J399" i="26"/>
  <c r="K551" i="26"/>
  <c r="L551" i="26"/>
  <c r="J551" i="26"/>
  <c r="K547" i="26"/>
  <c r="L547" i="26"/>
  <c r="J547" i="26"/>
  <c r="K543" i="26"/>
  <c r="L543" i="26"/>
  <c r="J543" i="26"/>
  <c r="K539" i="26"/>
  <c r="L539" i="26"/>
  <c r="J539" i="26"/>
  <c r="K535" i="26"/>
  <c r="L535" i="26"/>
  <c r="J535" i="26"/>
  <c r="K531" i="26"/>
  <c r="L531" i="26"/>
  <c r="J531" i="26"/>
  <c r="K527" i="26"/>
  <c r="L527" i="26"/>
  <c r="J527" i="26"/>
  <c r="K523" i="26"/>
  <c r="L523" i="26"/>
  <c r="J523" i="26"/>
  <c r="K519" i="26"/>
  <c r="L519" i="26"/>
  <c r="J519" i="26"/>
  <c r="K515" i="26"/>
  <c r="L515" i="26"/>
  <c r="J515" i="26"/>
  <c r="K511" i="26"/>
  <c r="L511" i="26"/>
  <c r="J511" i="26"/>
  <c r="K507" i="26"/>
  <c r="L507" i="26"/>
  <c r="J507" i="26"/>
  <c r="K503" i="26"/>
  <c r="L503" i="26"/>
  <c r="J503" i="26"/>
  <c r="K499" i="26"/>
  <c r="L499" i="26"/>
  <c r="J499" i="26"/>
  <c r="K495" i="26"/>
  <c r="L495" i="26"/>
  <c r="J495" i="26"/>
  <c r="K491" i="26"/>
  <c r="L491" i="26"/>
  <c r="J491" i="26"/>
  <c r="K487" i="26"/>
  <c r="L487" i="26"/>
  <c r="J487" i="26"/>
  <c r="K483" i="26"/>
  <c r="L483" i="26"/>
  <c r="J483" i="26"/>
  <c r="K479" i="26"/>
  <c r="L479" i="26"/>
  <c r="J479" i="26"/>
  <c r="K475" i="26"/>
  <c r="L475" i="26"/>
  <c r="J475" i="26"/>
  <c r="K707" i="26"/>
  <c r="L707" i="26"/>
  <c r="J707" i="26"/>
  <c r="K703" i="26"/>
  <c r="L703" i="26"/>
  <c r="J703" i="26"/>
  <c r="K699" i="26"/>
  <c r="L699" i="26"/>
  <c r="J699" i="26"/>
  <c r="K695" i="26"/>
  <c r="L695" i="26"/>
  <c r="J695" i="26"/>
  <c r="K691" i="26"/>
  <c r="L691" i="26"/>
  <c r="J691" i="26"/>
  <c r="K687" i="26"/>
  <c r="L687" i="26"/>
  <c r="J687" i="26"/>
  <c r="K683" i="26"/>
  <c r="L683" i="26"/>
  <c r="J683" i="26"/>
  <c r="K679" i="26"/>
  <c r="L679" i="26"/>
  <c r="J679" i="26"/>
  <c r="K675" i="26"/>
  <c r="L675" i="26"/>
  <c r="J675" i="26"/>
  <c r="K671" i="26"/>
  <c r="L671" i="26"/>
  <c r="J671" i="26"/>
  <c r="K667" i="26"/>
  <c r="L667" i="26"/>
  <c r="J667" i="26"/>
  <c r="K663" i="26"/>
  <c r="L663" i="26"/>
  <c r="J663" i="26"/>
  <c r="K659" i="26"/>
  <c r="L659" i="26"/>
  <c r="J659" i="26"/>
  <c r="K655" i="26"/>
  <c r="L655" i="26"/>
  <c r="J655" i="26"/>
  <c r="K651" i="26"/>
  <c r="L651" i="26"/>
  <c r="J651" i="26"/>
  <c r="K647" i="26"/>
  <c r="L647" i="26"/>
  <c r="J647" i="26"/>
  <c r="K643" i="26"/>
  <c r="L643" i="26"/>
  <c r="J643" i="26"/>
  <c r="K639" i="26"/>
  <c r="L639" i="26"/>
  <c r="J639" i="26"/>
  <c r="K635" i="26"/>
  <c r="L635" i="26"/>
  <c r="J635" i="26"/>
  <c r="K631" i="26"/>
  <c r="L631" i="26"/>
  <c r="J631" i="26"/>
  <c r="K783" i="26"/>
  <c r="L783" i="26"/>
  <c r="J783" i="26"/>
  <c r="K779" i="26"/>
  <c r="L779" i="26"/>
  <c r="J779" i="26"/>
  <c r="K775" i="26"/>
  <c r="L775" i="26"/>
  <c r="J775" i="26"/>
  <c r="K771" i="26"/>
  <c r="L771" i="26"/>
  <c r="J771" i="26"/>
  <c r="K767" i="26"/>
  <c r="L767" i="26"/>
  <c r="J767" i="26"/>
  <c r="K763" i="26"/>
  <c r="L763" i="26"/>
  <c r="J763" i="26"/>
  <c r="K759" i="26"/>
  <c r="L759" i="26"/>
  <c r="J759" i="26"/>
  <c r="K755" i="26"/>
  <c r="L755" i="26"/>
  <c r="J755" i="26"/>
  <c r="K751" i="26"/>
  <c r="L751" i="26"/>
  <c r="J751" i="26"/>
  <c r="K747" i="26"/>
  <c r="L747" i="26"/>
  <c r="J747" i="26"/>
  <c r="K743" i="26"/>
  <c r="L743" i="26"/>
  <c r="J743" i="26"/>
  <c r="K739" i="26"/>
  <c r="L739" i="26"/>
  <c r="J739" i="26"/>
  <c r="K735" i="26"/>
  <c r="L735" i="26"/>
  <c r="J735" i="26"/>
  <c r="K731" i="26"/>
  <c r="L731" i="26"/>
  <c r="J731" i="26"/>
  <c r="K727" i="26"/>
  <c r="L727" i="26"/>
  <c r="J727" i="26"/>
  <c r="K723" i="26"/>
  <c r="L723" i="26"/>
  <c r="J723" i="26"/>
  <c r="K719" i="26"/>
  <c r="L719" i="26"/>
  <c r="J719" i="26"/>
  <c r="K715" i="26"/>
  <c r="L715" i="26"/>
  <c r="J715" i="26"/>
  <c r="K711" i="26"/>
  <c r="L711" i="26"/>
  <c r="J711" i="26"/>
  <c r="K838" i="26"/>
  <c r="L838" i="26"/>
  <c r="J838" i="26"/>
  <c r="K834" i="26"/>
  <c r="L834" i="26"/>
  <c r="J834" i="26"/>
  <c r="K830" i="26"/>
  <c r="L830" i="26"/>
  <c r="J830" i="26"/>
  <c r="K826" i="26"/>
  <c r="L826" i="26"/>
  <c r="J826" i="26"/>
  <c r="K822" i="26"/>
  <c r="L822" i="26"/>
  <c r="J822" i="26"/>
  <c r="K818" i="26"/>
  <c r="L818" i="26"/>
  <c r="J818" i="26"/>
  <c r="K814" i="26"/>
  <c r="L814" i="26"/>
  <c r="J814" i="26"/>
  <c r="K810" i="26"/>
  <c r="L810" i="26"/>
  <c r="J810" i="26"/>
  <c r="K806" i="26"/>
  <c r="L806" i="26"/>
  <c r="J806" i="26"/>
  <c r="K802" i="26"/>
  <c r="L802" i="26"/>
  <c r="J802" i="26"/>
  <c r="K798" i="26"/>
  <c r="L798" i="26"/>
  <c r="J798" i="26"/>
  <c r="K794" i="26"/>
  <c r="L794" i="26"/>
  <c r="J794" i="26"/>
  <c r="K790" i="26"/>
  <c r="L790" i="26"/>
  <c r="J790" i="26"/>
  <c r="K849" i="26"/>
  <c r="L849" i="26"/>
  <c r="J849" i="26"/>
  <c r="K845" i="26"/>
  <c r="L845" i="26"/>
  <c r="J845" i="26"/>
  <c r="K841" i="26"/>
  <c r="L841" i="26"/>
  <c r="J841" i="26"/>
  <c r="K861" i="26"/>
  <c r="L861" i="26"/>
  <c r="J861" i="26"/>
  <c r="K857" i="26"/>
  <c r="L857" i="26"/>
  <c r="J857" i="26"/>
  <c r="K853" i="26"/>
  <c r="L853" i="26"/>
  <c r="J853" i="26"/>
  <c r="K863" i="26"/>
  <c r="L863" i="26"/>
  <c r="J863" i="26"/>
  <c r="K932" i="26"/>
  <c r="L932" i="26"/>
  <c r="J932" i="26"/>
  <c r="K928" i="26"/>
  <c r="L928" i="26"/>
  <c r="J928" i="26"/>
  <c r="K924" i="26"/>
  <c r="L924" i="26"/>
  <c r="J924" i="26"/>
  <c r="K920" i="26"/>
  <c r="L920" i="26"/>
  <c r="J920" i="26"/>
  <c r="K916" i="26"/>
  <c r="L916" i="26"/>
  <c r="J916" i="26"/>
  <c r="K912" i="26"/>
  <c r="L912" i="26"/>
  <c r="J912" i="26"/>
  <c r="K908" i="26"/>
  <c r="L908" i="26"/>
  <c r="J908" i="26"/>
  <c r="K904" i="26"/>
  <c r="L904" i="26"/>
  <c r="J904" i="26"/>
  <c r="K900" i="26"/>
  <c r="L900" i="26"/>
  <c r="J900" i="26"/>
  <c r="K896" i="26"/>
  <c r="L896" i="26"/>
  <c r="J896" i="26"/>
  <c r="K892" i="26"/>
  <c r="L892" i="26"/>
  <c r="J892" i="26"/>
  <c r="K888" i="26"/>
  <c r="L888" i="26"/>
  <c r="J888" i="26"/>
  <c r="K884" i="26"/>
  <c r="L884" i="26"/>
  <c r="J884" i="26"/>
  <c r="K880" i="26"/>
  <c r="L880" i="26"/>
  <c r="J880" i="26"/>
  <c r="K876" i="26"/>
  <c r="L876" i="26"/>
  <c r="J876" i="26"/>
  <c r="K872" i="26"/>
  <c r="L872" i="26"/>
  <c r="J872" i="26"/>
  <c r="K868" i="26"/>
  <c r="L868" i="26"/>
  <c r="J868" i="26"/>
  <c r="K941" i="26"/>
  <c r="L941" i="26"/>
  <c r="J941" i="26"/>
  <c r="K937" i="26"/>
  <c r="L937" i="26"/>
  <c r="J937" i="26"/>
  <c r="K34" i="26"/>
  <c r="L34" i="26"/>
  <c r="J34" i="26"/>
  <c r="K160" i="26"/>
  <c r="L160" i="26"/>
  <c r="J160" i="26"/>
  <c r="K136" i="26"/>
  <c r="L136" i="26"/>
  <c r="J136" i="26"/>
  <c r="K170" i="26"/>
  <c r="L170" i="26"/>
  <c r="J170" i="26"/>
  <c r="K186" i="26"/>
  <c r="L186" i="26"/>
  <c r="J186" i="26"/>
  <c r="K190" i="26"/>
  <c r="L190" i="26"/>
  <c r="J190" i="26"/>
  <c r="K198" i="26"/>
  <c r="L198" i="26"/>
  <c r="J198" i="26"/>
  <c r="K202" i="26"/>
  <c r="L202" i="26"/>
  <c r="J202" i="26"/>
  <c r="K210" i="26"/>
  <c r="L210" i="26"/>
  <c r="J210" i="26"/>
  <c r="K214" i="26"/>
  <c r="L214" i="26"/>
  <c r="J214" i="26"/>
  <c r="K222" i="26"/>
  <c r="L222" i="26"/>
  <c r="J222" i="26"/>
  <c r="K226" i="26"/>
  <c r="L226" i="26"/>
  <c r="J226" i="26"/>
  <c r="K238" i="26"/>
  <c r="L238" i="26"/>
  <c r="J238" i="26"/>
  <c r="K316" i="26"/>
  <c r="L316" i="26"/>
  <c r="J316" i="26"/>
  <c r="K288" i="26"/>
  <c r="L288" i="26"/>
  <c r="J288" i="26"/>
  <c r="K272" i="26"/>
  <c r="L272" i="26"/>
  <c r="J272" i="26"/>
  <c r="K268" i="26"/>
  <c r="L268" i="26"/>
  <c r="J268" i="26"/>
  <c r="K244" i="26"/>
  <c r="L244" i="26"/>
  <c r="J244" i="26"/>
  <c r="K380" i="26"/>
  <c r="L380" i="26"/>
  <c r="J380" i="26"/>
  <c r="K372" i="26"/>
  <c r="L372" i="26"/>
  <c r="J372" i="26"/>
  <c r="K364" i="26"/>
  <c r="L364" i="26"/>
  <c r="J364" i="26"/>
  <c r="K356" i="26"/>
  <c r="L356" i="26"/>
  <c r="J356" i="26"/>
  <c r="K348" i="26"/>
  <c r="L348" i="26"/>
  <c r="J348" i="26"/>
  <c r="K340" i="26"/>
  <c r="L340" i="26"/>
  <c r="J340" i="26"/>
  <c r="K336" i="26"/>
  <c r="L336" i="26"/>
  <c r="J336" i="26"/>
  <c r="K332" i="26"/>
  <c r="L332" i="26"/>
  <c r="J332" i="26"/>
  <c r="K320" i="26"/>
  <c r="L320" i="26"/>
  <c r="J320" i="26"/>
  <c r="K464" i="26"/>
  <c r="L464" i="26"/>
  <c r="J464" i="26"/>
  <c r="K452" i="26"/>
  <c r="L452" i="26"/>
  <c r="J452" i="26"/>
  <c r="K448" i="26"/>
  <c r="L448" i="26"/>
  <c r="J448" i="26"/>
  <c r="K436" i="26"/>
  <c r="L436" i="26"/>
  <c r="J436" i="26"/>
  <c r="K424" i="26"/>
  <c r="L424" i="26"/>
  <c r="J424" i="26"/>
  <c r="K474" i="26"/>
  <c r="L474" i="26"/>
  <c r="J474" i="26"/>
  <c r="K544" i="26"/>
  <c r="L544" i="26"/>
  <c r="J544" i="26"/>
  <c r="K532" i="26"/>
  <c r="L532" i="26"/>
  <c r="J532" i="26"/>
  <c r="K520" i="26"/>
  <c r="L520" i="26"/>
  <c r="J520" i="26"/>
  <c r="K512" i="26"/>
  <c r="L512" i="26"/>
  <c r="J512" i="26"/>
  <c r="K476" i="26"/>
  <c r="L476" i="26"/>
  <c r="J476" i="26"/>
  <c r="K696" i="26"/>
  <c r="L696" i="26"/>
  <c r="J696" i="26"/>
  <c r="K688" i="26"/>
  <c r="L688" i="26"/>
  <c r="J688" i="26"/>
  <c r="K672" i="26"/>
  <c r="L672" i="26"/>
  <c r="J672" i="26"/>
  <c r="K664" i="26"/>
  <c r="L664" i="26"/>
  <c r="J664" i="26"/>
  <c r="K652" i="26"/>
  <c r="L652" i="26"/>
  <c r="J652" i="26"/>
  <c r="K648" i="26"/>
  <c r="L648" i="26"/>
  <c r="J648" i="26"/>
  <c r="K640" i="26"/>
  <c r="L640" i="26"/>
  <c r="J640" i="26"/>
  <c r="K636" i="26"/>
  <c r="L636" i="26"/>
  <c r="J636" i="26"/>
  <c r="K776" i="26"/>
  <c r="L776" i="26"/>
  <c r="J776" i="26"/>
  <c r="K768" i="26"/>
  <c r="L768" i="26"/>
  <c r="J768" i="26"/>
  <c r="K760" i="26"/>
  <c r="L760" i="26"/>
  <c r="J760" i="26"/>
  <c r="K756" i="26"/>
  <c r="L756" i="26"/>
  <c r="J756" i="26"/>
  <c r="K748" i="26"/>
  <c r="L748" i="26"/>
  <c r="J748" i="26"/>
  <c r="K736" i="26"/>
  <c r="L736" i="26"/>
  <c r="J736" i="26"/>
  <c r="K728" i="26"/>
  <c r="L728" i="26"/>
  <c r="J728" i="26"/>
  <c r="K716" i="26"/>
  <c r="L716" i="26"/>
  <c r="J716" i="26"/>
  <c r="K831" i="26"/>
  <c r="L831" i="26"/>
  <c r="J831" i="26"/>
  <c r="K823" i="26"/>
  <c r="L823" i="26"/>
  <c r="J823" i="26"/>
  <c r="K819" i="26"/>
  <c r="L819" i="26"/>
  <c r="J819" i="26"/>
  <c r="K807" i="26"/>
  <c r="L807" i="26"/>
  <c r="J807" i="26"/>
  <c r="K803" i="26"/>
  <c r="L803" i="26"/>
  <c r="J803" i="26"/>
  <c r="K846" i="26"/>
  <c r="L846" i="26"/>
  <c r="J846" i="26"/>
  <c r="K862" i="26"/>
  <c r="L862" i="26"/>
  <c r="J862" i="26"/>
  <c r="K854" i="26"/>
  <c r="L854" i="26"/>
  <c r="J854" i="26"/>
  <c r="K850" i="26"/>
  <c r="L850" i="26"/>
  <c r="J850" i="26"/>
  <c r="K933" i="26"/>
  <c r="L933" i="26"/>
  <c r="J933" i="26"/>
  <c r="K929" i="26"/>
  <c r="L929" i="26"/>
  <c r="J929" i="26"/>
  <c r="K921" i="26"/>
  <c r="L921" i="26"/>
  <c r="J921" i="26"/>
  <c r="K917" i="26"/>
  <c r="L917" i="26"/>
  <c r="J917" i="26"/>
  <c r="K913" i="26"/>
  <c r="L913" i="26"/>
  <c r="J913" i="26"/>
  <c r="K905" i="26"/>
  <c r="L905" i="26"/>
  <c r="J905" i="26"/>
  <c r="K897" i="26"/>
  <c r="L897" i="26"/>
  <c r="J897" i="26"/>
  <c r="K889" i="26"/>
  <c r="L889" i="26"/>
  <c r="J889" i="26"/>
  <c r="K881" i="26"/>
  <c r="L881" i="26"/>
  <c r="J881" i="26"/>
  <c r="K873" i="26"/>
  <c r="L873" i="26"/>
  <c r="J873" i="26"/>
  <c r="K12" i="26"/>
  <c r="L12" i="26"/>
  <c r="J12" i="26"/>
  <c r="K85" i="26"/>
  <c r="L85" i="26"/>
  <c r="J85" i="26"/>
  <c r="K158" i="26"/>
  <c r="L158" i="26"/>
  <c r="J158" i="26"/>
  <c r="K154" i="26"/>
  <c r="L154" i="26"/>
  <c r="J154" i="26"/>
  <c r="K150" i="26"/>
  <c r="L150" i="26"/>
  <c r="J150" i="26"/>
  <c r="K146" i="26"/>
  <c r="L146" i="26"/>
  <c r="J146" i="26"/>
  <c r="K142" i="26"/>
  <c r="L142" i="26"/>
  <c r="J142" i="26"/>
  <c r="K138" i="26"/>
  <c r="L138" i="26"/>
  <c r="J138" i="26"/>
  <c r="K134" i="26"/>
  <c r="L134" i="26"/>
  <c r="J134" i="26"/>
  <c r="K130" i="26"/>
  <c r="L130" i="26"/>
  <c r="J130" i="26"/>
  <c r="K164" i="26"/>
  <c r="L164" i="26"/>
  <c r="J164" i="26"/>
  <c r="K168" i="26"/>
  <c r="L168" i="26"/>
  <c r="J168" i="26"/>
  <c r="K172" i="26"/>
  <c r="L172" i="26"/>
  <c r="J172" i="26"/>
  <c r="K176" i="26"/>
  <c r="L176" i="26"/>
  <c r="J176" i="26"/>
  <c r="K180" i="26"/>
  <c r="L180" i="26"/>
  <c r="J180" i="26"/>
  <c r="K184" i="26"/>
  <c r="L184" i="26"/>
  <c r="J184" i="26"/>
  <c r="K188" i="26"/>
  <c r="L188" i="26"/>
  <c r="J188" i="26"/>
  <c r="K192" i="26"/>
  <c r="L192" i="26"/>
  <c r="J192" i="26"/>
  <c r="K196" i="26"/>
  <c r="L196" i="26"/>
  <c r="J196" i="26"/>
  <c r="K200" i="26"/>
  <c r="L200" i="26"/>
  <c r="J200" i="26"/>
  <c r="K204" i="26"/>
  <c r="L204" i="26"/>
  <c r="J204" i="26"/>
  <c r="K208" i="26"/>
  <c r="L208" i="26"/>
  <c r="J208" i="26"/>
  <c r="K212" i="26"/>
  <c r="L212" i="26"/>
  <c r="J212" i="26"/>
  <c r="K216" i="26"/>
  <c r="L216" i="26"/>
  <c r="J216" i="26"/>
  <c r="K220" i="26"/>
  <c r="L220" i="26"/>
  <c r="J220" i="26"/>
  <c r="K224" i="26"/>
  <c r="L224" i="26"/>
  <c r="J224" i="26"/>
  <c r="K228" i="26"/>
  <c r="L228" i="26"/>
  <c r="J228" i="26"/>
  <c r="K232" i="26"/>
  <c r="L232" i="26"/>
  <c r="J232" i="26"/>
  <c r="K236" i="26"/>
  <c r="L236" i="26"/>
  <c r="J236" i="26"/>
  <c r="K240" i="26"/>
  <c r="L240" i="26"/>
  <c r="J240" i="26"/>
  <c r="P240" i="26"/>
  <c r="M240" i="26"/>
  <c r="N240" i="26"/>
  <c r="O240" i="26"/>
  <c r="K314" i="26"/>
  <c r="L314" i="26"/>
  <c r="J314" i="26"/>
  <c r="K310" i="26"/>
  <c r="L310" i="26"/>
  <c r="J310" i="26"/>
  <c r="K306" i="26"/>
  <c r="L306" i="26"/>
  <c r="J306" i="26"/>
  <c r="K302" i="26"/>
  <c r="L302" i="26"/>
  <c r="J302" i="26"/>
  <c r="K298" i="26"/>
  <c r="L298" i="26"/>
  <c r="J298" i="26"/>
  <c r="K294" i="26"/>
  <c r="L294" i="26"/>
  <c r="J294" i="26"/>
  <c r="K290" i="26"/>
  <c r="L290" i="26"/>
  <c r="J290" i="26"/>
  <c r="K286" i="26"/>
  <c r="L286" i="26"/>
  <c r="J286" i="26"/>
  <c r="K282" i="26"/>
  <c r="L282" i="26"/>
  <c r="J282" i="26"/>
  <c r="K278" i="26"/>
  <c r="L278" i="26"/>
  <c r="J278" i="26"/>
  <c r="K274" i="26"/>
  <c r="L274" i="26"/>
  <c r="J274" i="26"/>
  <c r="K270" i="26"/>
  <c r="L270" i="26"/>
  <c r="J270" i="26"/>
  <c r="K266" i="26"/>
  <c r="L266" i="26"/>
  <c r="J266" i="26"/>
  <c r="K262" i="26"/>
  <c r="L262" i="26"/>
  <c r="J262" i="26"/>
  <c r="K258" i="26"/>
  <c r="L258" i="26"/>
  <c r="J258" i="26"/>
  <c r="K254" i="26"/>
  <c r="L254" i="26"/>
  <c r="J254" i="26"/>
  <c r="K250" i="26"/>
  <c r="L250" i="26"/>
  <c r="J250" i="26"/>
  <c r="K246" i="26"/>
  <c r="L246" i="26"/>
  <c r="J246" i="26"/>
  <c r="K242" i="26"/>
  <c r="L242" i="26"/>
  <c r="J242" i="26"/>
  <c r="K394" i="26"/>
  <c r="L394" i="26"/>
  <c r="J394" i="26"/>
  <c r="K390" i="26"/>
  <c r="L390" i="26"/>
  <c r="J390" i="26"/>
  <c r="K386" i="26"/>
  <c r="L386" i="26"/>
  <c r="J386" i="26"/>
  <c r="K382" i="26"/>
  <c r="L382" i="26"/>
  <c r="J382" i="26"/>
  <c r="K378" i="26"/>
  <c r="L378" i="26"/>
  <c r="J378" i="26"/>
  <c r="K374" i="26"/>
  <c r="L374" i="26"/>
  <c r="J374" i="26"/>
  <c r="K370" i="26"/>
  <c r="L370" i="26"/>
  <c r="J370" i="26"/>
  <c r="K366" i="26"/>
  <c r="L366" i="26"/>
  <c r="J366" i="26"/>
  <c r="K362" i="26"/>
  <c r="L362" i="26"/>
  <c r="J362" i="26"/>
  <c r="K358" i="26"/>
  <c r="L358" i="26"/>
  <c r="J358" i="26"/>
  <c r="K354" i="26"/>
  <c r="L354" i="26"/>
  <c r="J354" i="26"/>
  <c r="K350" i="26"/>
  <c r="L350" i="26"/>
  <c r="J350" i="26"/>
  <c r="K346" i="26"/>
  <c r="L346" i="26"/>
  <c r="J346" i="26"/>
  <c r="K342" i="26"/>
  <c r="L342" i="26"/>
  <c r="J342" i="26"/>
  <c r="K338" i="26"/>
  <c r="L338" i="26"/>
  <c r="J338" i="26"/>
  <c r="K334" i="26"/>
  <c r="L334" i="26"/>
  <c r="J334" i="26"/>
  <c r="K330" i="26"/>
  <c r="L330" i="26"/>
  <c r="J330" i="26"/>
  <c r="K326" i="26"/>
  <c r="L326" i="26"/>
  <c r="J326" i="26"/>
  <c r="K322" i="26"/>
  <c r="L322" i="26"/>
  <c r="J322" i="26"/>
  <c r="P396" i="26"/>
  <c r="M396" i="26"/>
  <c r="N396" i="26"/>
  <c r="O396" i="26"/>
  <c r="K396" i="26"/>
  <c r="L396" i="26"/>
  <c r="J396" i="26"/>
  <c r="K470" i="26"/>
  <c r="L470" i="26"/>
  <c r="J470" i="26"/>
  <c r="K466" i="26"/>
  <c r="L466" i="26"/>
  <c r="J466" i="26"/>
  <c r="K462" i="26"/>
  <c r="L462" i="26"/>
  <c r="J462" i="26"/>
  <c r="K458" i="26"/>
  <c r="L458" i="26"/>
  <c r="J458" i="26"/>
  <c r="K454" i="26"/>
  <c r="L454" i="26"/>
  <c r="J454" i="26"/>
  <c r="K450" i="26"/>
  <c r="L450" i="26"/>
  <c r="J450" i="26"/>
  <c r="K446" i="26"/>
  <c r="L446" i="26"/>
  <c r="J446" i="26"/>
  <c r="K442" i="26"/>
  <c r="L442" i="26"/>
  <c r="J442" i="26"/>
  <c r="K438" i="26"/>
  <c r="L438" i="26"/>
  <c r="J438" i="26"/>
  <c r="K434" i="26"/>
  <c r="L434" i="26"/>
  <c r="J434" i="26"/>
  <c r="K430" i="26"/>
  <c r="L430" i="26"/>
  <c r="J430" i="26"/>
  <c r="K426" i="26"/>
  <c r="L426" i="26"/>
  <c r="J426" i="26"/>
  <c r="K422" i="26"/>
  <c r="L422" i="26"/>
  <c r="J422" i="26"/>
  <c r="K418" i="26"/>
  <c r="L418" i="26"/>
  <c r="J418" i="26"/>
  <c r="K414" i="26"/>
  <c r="L414" i="26"/>
  <c r="J414" i="26"/>
  <c r="K410" i="26"/>
  <c r="L410" i="26"/>
  <c r="J410" i="26"/>
  <c r="K406" i="26"/>
  <c r="L406" i="26"/>
  <c r="J406" i="26"/>
  <c r="K402" i="26"/>
  <c r="L402" i="26"/>
  <c r="J402" i="26"/>
  <c r="K398" i="26"/>
  <c r="L398" i="26"/>
  <c r="J398" i="26"/>
  <c r="K550" i="26"/>
  <c r="L550" i="26"/>
  <c r="J550" i="26"/>
  <c r="K546" i="26"/>
  <c r="L546" i="26"/>
  <c r="J546" i="26"/>
  <c r="K542" i="26"/>
  <c r="L542" i="26"/>
  <c r="J542" i="26"/>
  <c r="K538" i="26"/>
  <c r="L538" i="26"/>
  <c r="J538" i="26"/>
  <c r="K534" i="26"/>
  <c r="L534" i="26"/>
  <c r="J534" i="26"/>
  <c r="K530" i="26"/>
  <c r="L530" i="26"/>
  <c r="J530" i="26"/>
  <c r="K526" i="26"/>
  <c r="L526" i="26"/>
  <c r="J526" i="26"/>
  <c r="K522" i="26"/>
  <c r="L522" i="26"/>
  <c r="J522" i="26"/>
  <c r="K518" i="26"/>
  <c r="L518" i="26"/>
  <c r="J518" i="26"/>
  <c r="K514" i="26"/>
  <c r="L514" i="26"/>
  <c r="J514" i="26"/>
  <c r="K510" i="26"/>
  <c r="L510" i="26"/>
  <c r="J510" i="26"/>
  <c r="K506" i="26"/>
  <c r="L506" i="26"/>
  <c r="J506" i="26"/>
  <c r="K502" i="26"/>
  <c r="L502" i="26"/>
  <c r="J502" i="26"/>
  <c r="K498" i="26"/>
  <c r="L498" i="26"/>
  <c r="J498" i="26"/>
  <c r="K494" i="26"/>
  <c r="L494" i="26"/>
  <c r="J494" i="26"/>
  <c r="K490" i="26"/>
  <c r="L490" i="26"/>
  <c r="J490" i="26"/>
  <c r="K486" i="26"/>
  <c r="L486" i="26"/>
  <c r="J486" i="26"/>
  <c r="K482" i="26"/>
  <c r="L482" i="26"/>
  <c r="J482" i="26"/>
  <c r="K478" i="26"/>
  <c r="L478" i="26"/>
  <c r="J478" i="26"/>
  <c r="K706" i="26"/>
  <c r="L706" i="26"/>
  <c r="J706" i="26"/>
  <c r="K702" i="26"/>
  <c r="L702" i="26"/>
  <c r="J702" i="26"/>
  <c r="K698" i="26"/>
  <c r="L698" i="26"/>
  <c r="J698" i="26"/>
  <c r="K694" i="26"/>
  <c r="L694" i="26"/>
  <c r="J694" i="26"/>
  <c r="K690" i="26"/>
  <c r="L690" i="26"/>
  <c r="J690" i="26"/>
  <c r="K686" i="26"/>
  <c r="L686" i="26"/>
  <c r="J686" i="26"/>
  <c r="K682" i="26"/>
  <c r="L682" i="26"/>
  <c r="J682" i="26"/>
  <c r="K678" i="26"/>
  <c r="L678" i="26"/>
  <c r="J678" i="26"/>
  <c r="K674" i="26"/>
  <c r="L674" i="26"/>
  <c r="J674" i="26"/>
  <c r="K670" i="26"/>
  <c r="L670" i="26"/>
  <c r="J670" i="26"/>
  <c r="K666" i="26"/>
  <c r="L666" i="26"/>
  <c r="J666" i="26"/>
  <c r="K662" i="26"/>
  <c r="L662" i="26"/>
  <c r="J662" i="26"/>
  <c r="K658" i="26"/>
  <c r="L658" i="26"/>
  <c r="J658" i="26"/>
  <c r="K654" i="26"/>
  <c r="L654" i="26"/>
  <c r="J654" i="26"/>
  <c r="K650" i="26"/>
  <c r="L650" i="26"/>
  <c r="J650" i="26"/>
  <c r="K646" i="26"/>
  <c r="L646" i="26"/>
  <c r="J646" i="26"/>
  <c r="K642" i="26"/>
  <c r="L642" i="26"/>
  <c r="J642" i="26"/>
  <c r="K638" i="26"/>
  <c r="L638" i="26"/>
  <c r="J638" i="26"/>
  <c r="K634" i="26"/>
  <c r="L634" i="26"/>
  <c r="J634" i="26"/>
  <c r="K708" i="26"/>
  <c r="L708" i="26"/>
  <c r="J708" i="26"/>
  <c r="K782" i="26"/>
  <c r="L782" i="26"/>
  <c r="J782" i="26"/>
  <c r="K778" i="26"/>
  <c r="L778" i="26"/>
  <c r="J778" i="26"/>
  <c r="K774" i="26"/>
  <c r="L774" i="26"/>
  <c r="J774" i="26"/>
  <c r="K770" i="26"/>
  <c r="L770" i="26"/>
  <c r="J770" i="26"/>
  <c r="K766" i="26"/>
  <c r="L766" i="26"/>
  <c r="J766" i="26"/>
  <c r="K762" i="26"/>
  <c r="L762" i="26"/>
  <c r="J762" i="26"/>
  <c r="K758" i="26"/>
  <c r="L758" i="26"/>
  <c r="J758" i="26"/>
  <c r="K754" i="26"/>
  <c r="L754" i="26"/>
  <c r="J754" i="26"/>
  <c r="K750" i="26"/>
  <c r="L750" i="26"/>
  <c r="J750" i="26"/>
  <c r="K746" i="26"/>
  <c r="L746" i="26"/>
  <c r="J746" i="26"/>
  <c r="K742" i="26"/>
  <c r="L742" i="26"/>
  <c r="J742" i="26"/>
  <c r="K738" i="26"/>
  <c r="L738" i="26"/>
  <c r="J738" i="26"/>
  <c r="K734" i="26"/>
  <c r="L734" i="26"/>
  <c r="J734" i="26"/>
  <c r="K730" i="26"/>
  <c r="L730" i="26"/>
  <c r="J730" i="26"/>
  <c r="K726" i="26"/>
  <c r="L726" i="26"/>
  <c r="J726" i="26"/>
  <c r="K722" i="26"/>
  <c r="L722" i="26"/>
  <c r="J722" i="26"/>
  <c r="K718" i="26"/>
  <c r="L718" i="26"/>
  <c r="J718" i="26"/>
  <c r="K714" i="26"/>
  <c r="L714" i="26"/>
  <c r="J714" i="26"/>
  <c r="K710" i="26"/>
  <c r="L710" i="26"/>
  <c r="J710" i="26"/>
  <c r="K837" i="26"/>
  <c r="L837" i="26"/>
  <c r="J837" i="26"/>
  <c r="K833" i="26"/>
  <c r="L833" i="26"/>
  <c r="J833" i="26"/>
  <c r="K829" i="26"/>
  <c r="L829" i="26"/>
  <c r="J829" i="26"/>
  <c r="K825" i="26"/>
  <c r="L825" i="26"/>
  <c r="J825" i="26"/>
  <c r="K821" i="26"/>
  <c r="L821" i="26"/>
  <c r="J821" i="26"/>
  <c r="K817" i="26"/>
  <c r="L817" i="26"/>
  <c r="J817" i="26"/>
  <c r="K813" i="26"/>
  <c r="L813" i="26"/>
  <c r="J813" i="26"/>
  <c r="K809" i="26"/>
  <c r="L809" i="26"/>
  <c r="J809" i="26"/>
  <c r="K805" i="26"/>
  <c r="L805" i="26"/>
  <c r="J805" i="26"/>
  <c r="K801" i="26"/>
  <c r="L801" i="26"/>
  <c r="J801" i="26"/>
  <c r="K797" i="26"/>
  <c r="L797" i="26"/>
  <c r="J797" i="26"/>
  <c r="K793" i="26"/>
  <c r="L793" i="26"/>
  <c r="J793" i="26"/>
  <c r="K789" i="26"/>
  <c r="L789" i="26"/>
  <c r="J789" i="26"/>
  <c r="K848" i="26"/>
  <c r="L848" i="26"/>
  <c r="J848" i="26"/>
  <c r="K844" i="26"/>
  <c r="L844" i="26"/>
  <c r="J844" i="26"/>
  <c r="K840" i="26"/>
  <c r="L840" i="26"/>
  <c r="J840" i="26"/>
  <c r="K860" i="26"/>
  <c r="L860" i="26"/>
  <c r="J860" i="26"/>
  <c r="K856" i="26"/>
  <c r="L856" i="26"/>
  <c r="J856" i="26"/>
  <c r="K852" i="26"/>
  <c r="L852" i="26"/>
  <c r="J852" i="26"/>
  <c r="K864" i="26"/>
  <c r="L864" i="26"/>
  <c r="J864" i="26"/>
  <c r="K931" i="26"/>
  <c r="L931" i="26"/>
  <c r="J931" i="26"/>
  <c r="K927" i="26"/>
  <c r="L927" i="26"/>
  <c r="J927" i="26"/>
  <c r="K923" i="26"/>
  <c r="L923" i="26"/>
  <c r="J923" i="26"/>
  <c r="K919" i="26"/>
  <c r="L919" i="26"/>
  <c r="J919" i="26"/>
  <c r="K915" i="26"/>
  <c r="L915" i="26"/>
  <c r="J915" i="26"/>
  <c r="K911" i="26"/>
  <c r="L911" i="26"/>
  <c r="J911" i="26"/>
  <c r="K907" i="26"/>
  <c r="L907" i="26"/>
  <c r="J907" i="26"/>
  <c r="K903" i="26"/>
  <c r="L903" i="26"/>
  <c r="J903" i="26"/>
  <c r="K899" i="26"/>
  <c r="L899" i="26"/>
  <c r="J899" i="26"/>
  <c r="K895" i="26"/>
  <c r="L895" i="26"/>
  <c r="J895" i="26"/>
  <c r="K891" i="26"/>
  <c r="L891" i="26"/>
  <c r="J891" i="26"/>
  <c r="K887" i="26"/>
  <c r="L887" i="26"/>
  <c r="J887" i="26"/>
  <c r="K883" i="26"/>
  <c r="L883" i="26"/>
  <c r="J883" i="26"/>
  <c r="K879" i="26"/>
  <c r="L879" i="26"/>
  <c r="J879" i="26"/>
  <c r="K875" i="26"/>
  <c r="L875" i="26"/>
  <c r="J875" i="26"/>
  <c r="J871" i="26"/>
  <c r="K871" i="26"/>
  <c r="L871" i="26"/>
  <c r="K867" i="26"/>
  <c r="L867" i="26"/>
  <c r="J867" i="26"/>
  <c r="K940" i="26"/>
  <c r="L940" i="26"/>
  <c r="J940" i="26"/>
  <c r="K936" i="26"/>
  <c r="L936" i="26"/>
  <c r="J936" i="26"/>
  <c r="K30" i="26"/>
  <c r="L30" i="26"/>
  <c r="J30" i="26"/>
  <c r="K26" i="26"/>
  <c r="L26" i="26"/>
  <c r="J26" i="26"/>
  <c r="K22" i="26"/>
  <c r="L22" i="26"/>
  <c r="J22" i="26"/>
  <c r="K18" i="26"/>
  <c r="L18" i="26"/>
  <c r="J18" i="26"/>
  <c r="K14" i="26"/>
  <c r="L14" i="26"/>
  <c r="J14" i="26"/>
  <c r="K10" i="26"/>
  <c r="L10" i="26"/>
  <c r="J10" i="26"/>
  <c r="K86" i="26"/>
  <c r="L86" i="26"/>
  <c r="J86" i="26"/>
  <c r="K156" i="26"/>
  <c r="L156" i="26"/>
  <c r="J156" i="26"/>
  <c r="K148" i="26"/>
  <c r="L148" i="26"/>
  <c r="J148" i="26"/>
  <c r="K178" i="26"/>
  <c r="L178" i="26"/>
  <c r="J178" i="26"/>
  <c r="K182" i="26"/>
  <c r="L182" i="26"/>
  <c r="J182" i="26"/>
  <c r="K194" i="26"/>
  <c r="L194" i="26"/>
  <c r="J194" i="26"/>
  <c r="K206" i="26"/>
  <c r="L206" i="26"/>
  <c r="J206" i="26"/>
  <c r="K218" i="26"/>
  <c r="L218" i="26"/>
  <c r="J218" i="26"/>
  <c r="K230" i="26"/>
  <c r="L230" i="26"/>
  <c r="J230" i="26"/>
  <c r="K234" i="26"/>
  <c r="L234" i="26"/>
  <c r="J234" i="26"/>
  <c r="K308" i="26"/>
  <c r="L308" i="26"/>
  <c r="J308" i="26"/>
  <c r="K300" i="26"/>
  <c r="L300" i="26"/>
  <c r="J300" i="26"/>
  <c r="K296" i="26"/>
  <c r="L296" i="26"/>
  <c r="J296" i="26"/>
  <c r="K292" i="26"/>
  <c r="L292" i="26"/>
  <c r="J292" i="26"/>
  <c r="K280" i="26"/>
  <c r="L280" i="26"/>
  <c r="J280" i="26"/>
  <c r="K276" i="26"/>
  <c r="L276" i="26"/>
  <c r="J276" i="26"/>
  <c r="K260" i="26"/>
  <c r="L260" i="26"/>
  <c r="J260" i="26"/>
  <c r="K256" i="26"/>
  <c r="L256" i="26"/>
  <c r="J256" i="26"/>
  <c r="K252" i="26"/>
  <c r="L252" i="26"/>
  <c r="J252" i="26"/>
  <c r="K248" i="26"/>
  <c r="L248" i="26"/>
  <c r="J248" i="26"/>
  <c r="K318" i="26"/>
  <c r="L318" i="26"/>
  <c r="J318" i="26"/>
  <c r="K384" i="26"/>
  <c r="L384" i="26"/>
  <c r="J384" i="26"/>
  <c r="K344" i="26"/>
  <c r="L344" i="26"/>
  <c r="J344" i="26"/>
  <c r="K324" i="26"/>
  <c r="L324" i="26"/>
  <c r="J324" i="26"/>
  <c r="K472" i="26"/>
  <c r="L472" i="26"/>
  <c r="J472" i="26"/>
  <c r="K460" i="26"/>
  <c r="L460" i="26"/>
  <c r="J460" i="26"/>
  <c r="K456" i="26"/>
  <c r="L456" i="26"/>
  <c r="J456" i="26"/>
  <c r="K444" i="26"/>
  <c r="L444" i="26"/>
  <c r="J444" i="26"/>
  <c r="K432" i="26"/>
  <c r="L432" i="26"/>
  <c r="J432" i="26"/>
  <c r="K408" i="26"/>
  <c r="L408" i="26"/>
  <c r="J408" i="26"/>
  <c r="K548" i="26"/>
  <c r="L548" i="26"/>
  <c r="J548" i="26"/>
  <c r="K540" i="26"/>
  <c r="L540" i="26"/>
  <c r="J540" i="26"/>
  <c r="K528" i="26"/>
  <c r="L528" i="26"/>
  <c r="J528" i="26"/>
  <c r="K516" i="26"/>
  <c r="L516" i="26"/>
  <c r="J516" i="26"/>
  <c r="K492" i="26"/>
  <c r="L492" i="26"/>
  <c r="J492" i="26"/>
  <c r="K488" i="26"/>
  <c r="L488" i="26"/>
  <c r="J488" i="26"/>
  <c r="K484" i="26"/>
  <c r="L484" i="26"/>
  <c r="J484" i="26"/>
  <c r="K480" i="26"/>
  <c r="L480" i="26"/>
  <c r="J480" i="26"/>
  <c r="K700" i="26"/>
  <c r="L700" i="26"/>
  <c r="J700" i="26"/>
  <c r="K668" i="26"/>
  <c r="L668" i="26"/>
  <c r="J668" i="26"/>
  <c r="K660" i="26"/>
  <c r="L660" i="26"/>
  <c r="J660" i="26"/>
  <c r="K644" i="26"/>
  <c r="L644" i="26"/>
  <c r="J644" i="26"/>
  <c r="K784" i="26"/>
  <c r="L784" i="26"/>
  <c r="J784" i="26"/>
  <c r="K772" i="26"/>
  <c r="L772" i="26"/>
  <c r="J772" i="26"/>
  <c r="K764" i="26"/>
  <c r="L764" i="26"/>
  <c r="J764" i="26"/>
  <c r="K740" i="26"/>
  <c r="L740" i="26"/>
  <c r="J740" i="26"/>
  <c r="K720" i="26"/>
  <c r="L720" i="26"/>
  <c r="J720" i="26"/>
  <c r="K835" i="26"/>
  <c r="L835" i="26"/>
  <c r="J835" i="26"/>
  <c r="K827" i="26"/>
  <c r="L827" i="26"/>
  <c r="J827" i="26"/>
  <c r="K815" i="26"/>
  <c r="L815" i="26"/>
  <c r="J815" i="26"/>
  <c r="K795" i="26"/>
  <c r="L795" i="26"/>
  <c r="J795" i="26"/>
  <c r="K787" i="26"/>
  <c r="L787" i="26"/>
  <c r="J787" i="26"/>
  <c r="K909" i="26"/>
  <c r="L909" i="26"/>
  <c r="J909" i="26"/>
  <c r="K36" i="26"/>
  <c r="L36" i="26"/>
  <c r="J36" i="26"/>
  <c r="K32" i="26"/>
  <c r="L32" i="26"/>
  <c r="J32" i="26"/>
  <c r="K28" i="26"/>
  <c r="L28" i="26"/>
  <c r="J28" i="26"/>
  <c r="K24" i="26"/>
  <c r="L24" i="26"/>
  <c r="J24" i="26"/>
  <c r="K20" i="26"/>
  <c r="L20" i="26"/>
  <c r="J20" i="26"/>
  <c r="K16" i="26"/>
  <c r="L16" i="26"/>
  <c r="J16" i="26"/>
  <c r="K8" i="26"/>
  <c r="L8" i="26"/>
  <c r="J8" i="26"/>
  <c r="K6" i="26"/>
  <c r="L6" i="26"/>
  <c r="J6" i="26"/>
  <c r="K33" i="26"/>
  <c r="L33" i="26"/>
  <c r="J33" i="26"/>
  <c r="K29" i="26"/>
  <c r="L29" i="26"/>
  <c r="J29" i="26"/>
  <c r="K25" i="26"/>
  <c r="L25" i="26"/>
  <c r="J25" i="26"/>
  <c r="K21" i="26"/>
  <c r="L21" i="26"/>
  <c r="J21" i="26"/>
  <c r="K17" i="26"/>
  <c r="L17" i="26"/>
  <c r="J17" i="26"/>
  <c r="K13" i="26"/>
  <c r="L13" i="26"/>
  <c r="J13" i="26"/>
  <c r="K9" i="26"/>
  <c r="L9" i="26"/>
  <c r="J9" i="26"/>
  <c r="K161" i="26"/>
  <c r="L161" i="26"/>
  <c r="J161" i="26"/>
  <c r="K157" i="26"/>
  <c r="L157" i="26"/>
  <c r="J157" i="26"/>
  <c r="K153" i="26"/>
  <c r="L153" i="26"/>
  <c r="J153" i="26"/>
  <c r="K149" i="26"/>
  <c r="L149" i="26"/>
  <c r="J149" i="26"/>
  <c r="K145" i="26"/>
  <c r="L145" i="26"/>
  <c r="J145" i="26"/>
  <c r="K141" i="26"/>
  <c r="L141" i="26"/>
  <c r="J141" i="26"/>
  <c r="K137" i="26"/>
  <c r="L137" i="26"/>
  <c r="J137" i="26"/>
  <c r="K133" i="26"/>
  <c r="L133" i="26"/>
  <c r="J133" i="26"/>
  <c r="K129" i="26"/>
  <c r="L129" i="26"/>
  <c r="J129" i="26"/>
  <c r="K127" i="26"/>
  <c r="L127" i="26"/>
  <c r="J127" i="26"/>
  <c r="K125" i="26"/>
  <c r="L125" i="26"/>
  <c r="J125" i="26"/>
  <c r="K123" i="26"/>
  <c r="L123" i="26"/>
  <c r="J123" i="26"/>
  <c r="K121" i="26"/>
  <c r="L121" i="26"/>
  <c r="J121" i="26"/>
  <c r="K119" i="26"/>
  <c r="L119" i="26"/>
  <c r="J119" i="26"/>
  <c r="K117" i="26"/>
  <c r="L117" i="26"/>
  <c r="J117" i="26"/>
  <c r="K115" i="26"/>
  <c r="L115" i="26"/>
  <c r="J115" i="26"/>
  <c r="K113" i="26"/>
  <c r="L113" i="26"/>
  <c r="J113" i="26"/>
  <c r="K111" i="26"/>
  <c r="L111" i="26"/>
  <c r="J111" i="26"/>
  <c r="K109" i="26"/>
  <c r="L109" i="26"/>
  <c r="J109" i="26"/>
  <c r="K107" i="26"/>
  <c r="L107" i="26"/>
  <c r="J107" i="26"/>
  <c r="K105" i="26"/>
  <c r="L105" i="26"/>
  <c r="J105" i="26"/>
  <c r="K103" i="26"/>
  <c r="L103" i="26"/>
  <c r="J103" i="26"/>
  <c r="K101" i="26"/>
  <c r="L101" i="26"/>
  <c r="J101" i="26"/>
  <c r="K99" i="26"/>
  <c r="L99" i="26"/>
  <c r="J99" i="26"/>
  <c r="K97" i="26"/>
  <c r="L97" i="26"/>
  <c r="J97" i="26"/>
  <c r="K95" i="26"/>
  <c r="L95" i="26"/>
  <c r="J95" i="26"/>
  <c r="K93" i="26"/>
  <c r="L93" i="26"/>
  <c r="J93" i="26"/>
  <c r="K91" i="26"/>
  <c r="L91" i="26"/>
  <c r="J91" i="26"/>
  <c r="K89" i="26"/>
  <c r="L89" i="26"/>
  <c r="J89" i="26"/>
  <c r="K87" i="26"/>
  <c r="L87" i="26"/>
  <c r="J87" i="26"/>
  <c r="K165" i="26"/>
  <c r="L165" i="26"/>
  <c r="J165" i="26"/>
  <c r="K169" i="26"/>
  <c r="L169" i="26"/>
  <c r="J169" i="26"/>
  <c r="K173" i="26"/>
  <c r="L173" i="26"/>
  <c r="J173" i="26"/>
  <c r="K177" i="26"/>
  <c r="L177" i="26"/>
  <c r="J177" i="26"/>
  <c r="K181" i="26"/>
  <c r="L181" i="26"/>
  <c r="J181" i="26"/>
  <c r="K185" i="26"/>
  <c r="L185" i="26"/>
  <c r="J185" i="26"/>
  <c r="K189" i="26"/>
  <c r="L189" i="26"/>
  <c r="J189" i="26"/>
  <c r="K193" i="26"/>
  <c r="L193" i="26"/>
  <c r="J193" i="26"/>
  <c r="K197" i="26"/>
  <c r="L197" i="26"/>
  <c r="J197" i="26"/>
  <c r="K201" i="26"/>
  <c r="L201" i="26"/>
  <c r="J201" i="26"/>
  <c r="K205" i="26"/>
  <c r="L205" i="26"/>
  <c r="J205" i="26"/>
  <c r="K209" i="26"/>
  <c r="L209" i="26"/>
  <c r="J209" i="26"/>
  <c r="K213" i="26"/>
  <c r="L213" i="26"/>
  <c r="J213" i="26"/>
  <c r="K217" i="26"/>
  <c r="L217" i="26"/>
  <c r="J217" i="26"/>
  <c r="K221" i="26"/>
  <c r="L221" i="26"/>
  <c r="J221" i="26"/>
  <c r="K225" i="26"/>
  <c r="L225" i="26"/>
  <c r="J225" i="26"/>
  <c r="K229" i="26"/>
  <c r="L229" i="26"/>
  <c r="J229" i="26"/>
  <c r="K233" i="26"/>
  <c r="L233" i="26"/>
  <c r="J233" i="26"/>
  <c r="K237" i="26"/>
  <c r="L237" i="26"/>
  <c r="J237" i="26"/>
  <c r="K317" i="26"/>
  <c r="L317" i="26"/>
  <c r="J317" i="26"/>
  <c r="K313" i="26"/>
  <c r="L313" i="26"/>
  <c r="J313" i="26"/>
  <c r="K309" i="26"/>
  <c r="L309" i="26"/>
  <c r="J309" i="26"/>
  <c r="K305" i="26"/>
  <c r="L305" i="26"/>
  <c r="J305" i="26"/>
  <c r="K301" i="26"/>
  <c r="L301" i="26"/>
  <c r="J301" i="26"/>
  <c r="K297" i="26"/>
  <c r="L297" i="26"/>
  <c r="J297" i="26"/>
  <c r="K293" i="26"/>
  <c r="L293" i="26"/>
  <c r="J293" i="26"/>
  <c r="K289" i="26"/>
  <c r="L289" i="26"/>
  <c r="J289" i="26"/>
  <c r="K285" i="26"/>
  <c r="L285" i="26"/>
  <c r="J285" i="26"/>
  <c r="K281" i="26"/>
  <c r="L281" i="26"/>
  <c r="J281" i="26"/>
  <c r="K277" i="26"/>
  <c r="L277" i="26"/>
  <c r="J277" i="26"/>
  <c r="K273" i="26"/>
  <c r="L273" i="26"/>
  <c r="J273" i="26"/>
  <c r="K269" i="26"/>
  <c r="L269" i="26"/>
  <c r="J269" i="26"/>
  <c r="K265" i="26"/>
  <c r="L265" i="26"/>
  <c r="J265" i="26"/>
  <c r="K261" i="26"/>
  <c r="L261" i="26"/>
  <c r="J261" i="26"/>
  <c r="K257" i="26"/>
  <c r="L257" i="26"/>
  <c r="J257" i="26"/>
  <c r="K253" i="26"/>
  <c r="L253" i="26"/>
  <c r="J253" i="26"/>
  <c r="K249" i="26"/>
  <c r="L249" i="26"/>
  <c r="J249" i="26"/>
  <c r="K245" i="26"/>
  <c r="L245" i="26"/>
  <c r="J245" i="26"/>
  <c r="K241" i="26"/>
  <c r="L241" i="26"/>
  <c r="J241" i="26"/>
  <c r="K393" i="26"/>
  <c r="L393" i="26"/>
  <c r="J393" i="26"/>
  <c r="K389" i="26"/>
  <c r="L389" i="26"/>
  <c r="J389" i="26"/>
  <c r="K385" i="26"/>
  <c r="L385" i="26"/>
  <c r="J385" i="26"/>
  <c r="K381" i="26"/>
  <c r="L381" i="26"/>
  <c r="J381" i="26"/>
  <c r="K377" i="26"/>
  <c r="L377" i="26"/>
  <c r="J377" i="26"/>
  <c r="K373" i="26"/>
  <c r="L373" i="26"/>
  <c r="J373" i="26"/>
  <c r="K369" i="26"/>
  <c r="L369" i="26"/>
  <c r="J369" i="26"/>
  <c r="K365" i="26"/>
  <c r="L365" i="26"/>
  <c r="J365" i="26"/>
  <c r="K361" i="26"/>
  <c r="L361" i="26"/>
  <c r="J361" i="26"/>
  <c r="K357" i="26"/>
  <c r="L357" i="26"/>
  <c r="J357" i="26"/>
  <c r="K353" i="26"/>
  <c r="L353" i="26"/>
  <c r="J353" i="26"/>
  <c r="K349" i="26"/>
  <c r="L349" i="26"/>
  <c r="J349" i="26"/>
  <c r="K345" i="26"/>
  <c r="L345" i="26"/>
  <c r="J345" i="26"/>
  <c r="K341" i="26"/>
  <c r="L341" i="26"/>
  <c r="J341" i="26"/>
  <c r="K337" i="26"/>
  <c r="L337" i="26"/>
  <c r="J337" i="26"/>
  <c r="K333" i="26"/>
  <c r="L333" i="26"/>
  <c r="J333" i="26"/>
  <c r="K329" i="26"/>
  <c r="L329" i="26"/>
  <c r="J329" i="26"/>
  <c r="K325" i="26"/>
  <c r="L325" i="26"/>
  <c r="J325" i="26"/>
  <c r="K321" i="26"/>
  <c r="L321" i="26"/>
  <c r="J321" i="26"/>
  <c r="K473" i="26"/>
  <c r="L473" i="26"/>
  <c r="J473" i="26"/>
  <c r="K469" i="26"/>
  <c r="L469" i="26"/>
  <c r="J469" i="26"/>
  <c r="K465" i="26"/>
  <c r="L465" i="26"/>
  <c r="J465" i="26"/>
  <c r="K461" i="26"/>
  <c r="L461" i="26"/>
  <c r="J461" i="26"/>
  <c r="K457" i="26"/>
  <c r="L457" i="26"/>
  <c r="J457" i="26"/>
  <c r="K453" i="26"/>
  <c r="L453" i="26"/>
  <c r="J453" i="26"/>
  <c r="K449" i="26"/>
  <c r="L449" i="26"/>
  <c r="J449" i="26"/>
  <c r="K445" i="26"/>
  <c r="L445" i="26"/>
  <c r="J445" i="26"/>
  <c r="K441" i="26"/>
  <c r="L441" i="26"/>
  <c r="J441" i="26"/>
  <c r="K437" i="26"/>
  <c r="L437" i="26"/>
  <c r="J437" i="26"/>
  <c r="K433" i="26"/>
  <c r="L433" i="26"/>
  <c r="J433" i="26"/>
  <c r="K429" i="26"/>
  <c r="L429" i="26"/>
  <c r="J429" i="26"/>
  <c r="K425" i="26"/>
  <c r="L425" i="26"/>
  <c r="J425" i="26"/>
  <c r="K421" i="26"/>
  <c r="L421" i="26"/>
  <c r="J421" i="26"/>
  <c r="K417" i="26"/>
  <c r="L417" i="26"/>
  <c r="J417" i="26"/>
  <c r="K413" i="26"/>
  <c r="L413" i="26"/>
  <c r="J413" i="26"/>
  <c r="K409" i="26"/>
  <c r="L409" i="26"/>
  <c r="J409" i="26"/>
  <c r="K405" i="26"/>
  <c r="L405" i="26"/>
  <c r="J405" i="26"/>
  <c r="K401" i="26"/>
  <c r="L401" i="26"/>
  <c r="J401" i="26"/>
  <c r="K397" i="26"/>
  <c r="L397" i="26"/>
  <c r="J397" i="26"/>
  <c r="K549" i="26"/>
  <c r="L549" i="26"/>
  <c r="J549" i="26"/>
  <c r="K545" i="26"/>
  <c r="L545" i="26"/>
  <c r="J545" i="26"/>
  <c r="K541" i="26"/>
  <c r="L541" i="26"/>
  <c r="J541" i="26"/>
  <c r="K537" i="26"/>
  <c r="L537" i="26"/>
  <c r="J537" i="26"/>
  <c r="K533" i="26"/>
  <c r="L533" i="26"/>
  <c r="J533" i="26"/>
  <c r="K529" i="26"/>
  <c r="L529" i="26"/>
  <c r="J529" i="26"/>
  <c r="K525" i="26"/>
  <c r="L525" i="26"/>
  <c r="J525" i="26"/>
  <c r="K521" i="26"/>
  <c r="L521" i="26"/>
  <c r="J521" i="26"/>
  <c r="K517" i="26"/>
  <c r="L517" i="26"/>
  <c r="J517" i="26"/>
  <c r="K513" i="26"/>
  <c r="L513" i="26"/>
  <c r="J513" i="26"/>
  <c r="K509" i="26"/>
  <c r="L509" i="26"/>
  <c r="J509" i="26"/>
  <c r="K505" i="26"/>
  <c r="L505" i="26"/>
  <c r="J505" i="26"/>
  <c r="K501" i="26"/>
  <c r="L501" i="26"/>
  <c r="J501" i="26"/>
  <c r="K497" i="26"/>
  <c r="L497" i="26"/>
  <c r="J497" i="26"/>
  <c r="K493" i="26"/>
  <c r="L493" i="26"/>
  <c r="J493" i="26"/>
  <c r="K489" i="26"/>
  <c r="L489" i="26"/>
  <c r="J489" i="26"/>
  <c r="K485" i="26"/>
  <c r="L485" i="26"/>
  <c r="J485" i="26"/>
  <c r="K481" i="26"/>
  <c r="L481" i="26"/>
  <c r="J481" i="26"/>
  <c r="K477" i="26"/>
  <c r="L477" i="26"/>
  <c r="J477" i="26"/>
  <c r="K705" i="26"/>
  <c r="L705" i="26"/>
  <c r="J705" i="26"/>
  <c r="K701" i="26"/>
  <c r="L701" i="26"/>
  <c r="J701" i="26"/>
  <c r="K697" i="26"/>
  <c r="L697" i="26"/>
  <c r="J697" i="26"/>
  <c r="K693" i="26"/>
  <c r="L693" i="26"/>
  <c r="J693" i="26"/>
  <c r="K689" i="26"/>
  <c r="L689" i="26"/>
  <c r="J689" i="26"/>
  <c r="K685" i="26"/>
  <c r="L685" i="26"/>
  <c r="J685" i="26"/>
  <c r="K681" i="26"/>
  <c r="L681" i="26"/>
  <c r="J681" i="26"/>
  <c r="K677" i="26"/>
  <c r="L677" i="26"/>
  <c r="J677" i="26"/>
  <c r="K673" i="26"/>
  <c r="L673" i="26"/>
  <c r="J673" i="26"/>
  <c r="K669" i="26"/>
  <c r="L669" i="26"/>
  <c r="J669" i="26"/>
  <c r="K665" i="26"/>
  <c r="L665" i="26"/>
  <c r="J665" i="26"/>
  <c r="K661" i="26"/>
  <c r="L661" i="26"/>
  <c r="J661" i="26"/>
  <c r="K657" i="26"/>
  <c r="L657" i="26"/>
  <c r="J657" i="26"/>
  <c r="K653" i="26"/>
  <c r="L653" i="26"/>
  <c r="J653" i="26"/>
  <c r="K649" i="26"/>
  <c r="L649" i="26"/>
  <c r="J649" i="26"/>
  <c r="K645" i="26"/>
  <c r="L645" i="26"/>
  <c r="J645" i="26"/>
  <c r="K641" i="26"/>
  <c r="L641" i="26"/>
  <c r="J641" i="26"/>
  <c r="K637" i="26"/>
  <c r="L637" i="26"/>
  <c r="J637" i="26"/>
  <c r="K633" i="26"/>
  <c r="L633" i="26"/>
  <c r="J633" i="26"/>
  <c r="K785" i="26"/>
  <c r="L785" i="26"/>
  <c r="J785" i="26"/>
  <c r="K781" i="26"/>
  <c r="L781" i="26"/>
  <c r="J781" i="26"/>
  <c r="K777" i="26"/>
  <c r="L777" i="26"/>
  <c r="J777" i="26"/>
  <c r="K773" i="26"/>
  <c r="L773" i="26"/>
  <c r="J773" i="26"/>
  <c r="K769" i="26"/>
  <c r="L769" i="26"/>
  <c r="J769" i="26"/>
  <c r="K765" i="26"/>
  <c r="L765" i="26"/>
  <c r="J765" i="26"/>
  <c r="K761" i="26"/>
  <c r="L761" i="26"/>
  <c r="J761" i="26"/>
  <c r="K757" i="26"/>
  <c r="L757" i="26"/>
  <c r="J757" i="26"/>
  <c r="K753" i="26"/>
  <c r="L753" i="26"/>
  <c r="J753" i="26"/>
  <c r="K749" i="26"/>
  <c r="L749" i="26"/>
  <c r="J749" i="26"/>
  <c r="K745" i="26"/>
  <c r="L745" i="26"/>
  <c r="J745" i="26"/>
  <c r="K741" i="26"/>
  <c r="L741" i="26"/>
  <c r="J741" i="26"/>
  <c r="K737" i="26"/>
  <c r="L737" i="26"/>
  <c r="J737" i="26"/>
  <c r="K733" i="26"/>
  <c r="L733" i="26"/>
  <c r="J733" i="26"/>
  <c r="K729" i="26"/>
  <c r="L729" i="26"/>
  <c r="J729" i="26"/>
  <c r="K725" i="26"/>
  <c r="L725" i="26"/>
  <c r="J725" i="26"/>
  <c r="K721" i="26"/>
  <c r="L721" i="26"/>
  <c r="J721" i="26"/>
  <c r="K717" i="26"/>
  <c r="L717" i="26"/>
  <c r="J717" i="26"/>
  <c r="K713" i="26"/>
  <c r="L713" i="26"/>
  <c r="J713" i="26"/>
  <c r="K709" i="26"/>
  <c r="L709" i="26"/>
  <c r="J709" i="26"/>
  <c r="K836" i="26"/>
  <c r="L836" i="26"/>
  <c r="J836" i="26"/>
  <c r="K832" i="26"/>
  <c r="L832" i="26"/>
  <c r="J832" i="26"/>
  <c r="K828" i="26"/>
  <c r="L828" i="26"/>
  <c r="J828" i="26"/>
  <c r="K824" i="26"/>
  <c r="L824" i="26"/>
  <c r="J824" i="26"/>
  <c r="K820" i="26"/>
  <c r="L820" i="26"/>
  <c r="J820" i="26"/>
  <c r="K816" i="26"/>
  <c r="L816" i="26"/>
  <c r="J816" i="26"/>
  <c r="K812" i="26"/>
  <c r="L812" i="26"/>
  <c r="J812" i="26"/>
  <c r="K808" i="26"/>
  <c r="L808" i="26"/>
  <c r="J808" i="26"/>
  <c r="K804" i="26"/>
  <c r="L804" i="26"/>
  <c r="J804" i="26"/>
  <c r="K800" i="26"/>
  <c r="L800" i="26"/>
  <c r="J800" i="26"/>
  <c r="K796" i="26"/>
  <c r="L796" i="26"/>
  <c r="J796" i="26"/>
  <c r="K792" i="26"/>
  <c r="L792" i="26"/>
  <c r="J792" i="26"/>
  <c r="K788" i="26"/>
  <c r="L788" i="26"/>
  <c r="J788" i="26"/>
  <c r="K847" i="26"/>
  <c r="L847" i="26"/>
  <c r="J847" i="26"/>
  <c r="K843" i="26"/>
  <c r="L843" i="26"/>
  <c r="J843" i="26"/>
  <c r="K839" i="26"/>
  <c r="L839" i="26"/>
  <c r="J839" i="26"/>
  <c r="K859" i="26"/>
  <c r="L859" i="26"/>
  <c r="J859" i="26"/>
  <c r="K855" i="26"/>
  <c r="L855" i="26"/>
  <c r="J855" i="26"/>
  <c r="K851" i="26"/>
  <c r="L851" i="26"/>
  <c r="J851" i="26"/>
  <c r="K934" i="26"/>
  <c r="L934" i="26"/>
  <c r="J934" i="26"/>
  <c r="K930" i="26"/>
  <c r="L930" i="26"/>
  <c r="J930" i="26"/>
  <c r="K926" i="26"/>
  <c r="L926" i="26"/>
  <c r="J926" i="26"/>
  <c r="K922" i="26"/>
  <c r="L922" i="26"/>
  <c r="J922" i="26"/>
  <c r="K918" i="26"/>
  <c r="L918" i="26"/>
  <c r="J918" i="26"/>
  <c r="K914" i="26"/>
  <c r="L914" i="26"/>
  <c r="J914" i="26"/>
  <c r="K910" i="26"/>
  <c r="L910" i="26"/>
  <c r="J910" i="26"/>
  <c r="K906" i="26"/>
  <c r="L906" i="26"/>
  <c r="J906" i="26"/>
  <c r="K902" i="26"/>
  <c r="L902" i="26"/>
  <c r="J902" i="26"/>
  <c r="K898" i="26"/>
  <c r="L898" i="26"/>
  <c r="J898" i="26"/>
  <c r="K894" i="26"/>
  <c r="L894" i="26"/>
  <c r="J894" i="26"/>
  <c r="K890" i="26"/>
  <c r="L890" i="26"/>
  <c r="J890" i="26"/>
  <c r="K886" i="26"/>
  <c r="L886" i="26"/>
  <c r="J886" i="26"/>
  <c r="K882" i="26"/>
  <c r="L882" i="26"/>
  <c r="J882" i="26"/>
  <c r="K878" i="26"/>
  <c r="L878" i="26"/>
  <c r="J878" i="26"/>
  <c r="K874" i="26"/>
  <c r="L874" i="26"/>
  <c r="J874" i="26"/>
  <c r="K870" i="26"/>
  <c r="L870" i="26"/>
  <c r="J870" i="26"/>
  <c r="K866" i="26"/>
  <c r="L866" i="26"/>
  <c r="J866" i="26"/>
  <c r="K939" i="26"/>
  <c r="L939" i="26"/>
  <c r="J939" i="26"/>
  <c r="K935" i="26"/>
  <c r="L935" i="26"/>
  <c r="J935" i="26"/>
  <c r="J628" i="26"/>
  <c r="K628" i="26"/>
  <c r="L628" i="26"/>
  <c r="J616" i="26"/>
  <c r="K616" i="26"/>
  <c r="L616" i="26"/>
  <c r="J608" i="26"/>
  <c r="K608" i="26"/>
  <c r="L608" i="26"/>
  <c r="J600" i="26"/>
  <c r="K600" i="26"/>
  <c r="L600" i="26"/>
  <c r="J592" i="26"/>
  <c r="K592" i="26"/>
  <c r="L592" i="26"/>
  <c r="J588" i="26"/>
  <c r="K588" i="26"/>
  <c r="L588" i="26"/>
  <c r="J627" i="26"/>
  <c r="K627" i="26"/>
  <c r="L627" i="26"/>
  <c r="J623" i="26"/>
  <c r="K623" i="26"/>
  <c r="L623" i="26"/>
  <c r="J615" i="26"/>
  <c r="K615" i="26"/>
  <c r="L615" i="26"/>
  <c r="J603" i="26"/>
  <c r="K603" i="26"/>
  <c r="L603" i="26"/>
  <c r="J595" i="26"/>
  <c r="K595" i="26"/>
  <c r="L595" i="26"/>
  <c r="J591" i="26"/>
  <c r="K591" i="26"/>
  <c r="L591" i="26"/>
  <c r="K626" i="26"/>
  <c r="L626" i="26"/>
  <c r="J626" i="26"/>
  <c r="K622" i="26"/>
  <c r="L622" i="26"/>
  <c r="J622" i="26"/>
  <c r="K618" i="26"/>
  <c r="L618" i="26"/>
  <c r="J618" i="26"/>
  <c r="K614" i="26"/>
  <c r="L614" i="26"/>
  <c r="J614" i="26"/>
  <c r="K610" i="26"/>
  <c r="L610" i="26"/>
  <c r="J610" i="26"/>
  <c r="K606" i="26"/>
  <c r="L606" i="26"/>
  <c r="J606" i="26"/>
  <c r="K602" i="26"/>
  <c r="L602" i="26"/>
  <c r="J602" i="26"/>
  <c r="K598" i="26"/>
  <c r="L598" i="26"/>
  <c r="J598" i="26"/>
  <c r="K594" i="26"/>
  <c r="L594" i="26"/>
  <c r="J594" i="26"/>
  <c r="K590" i="26"/>
  <c r="L590" i="26"/>
  <c r="J590" i="26"/>
  <c r="K586" i="26"/>
  <c r="L586" i="26"/>
  <c r="J586" i="26"/>
  <c r="J624" i="26"/>
  <c r="K624" i="26"/>
  <c r="L624" i="26"/>
  <c r="J620" i="26"/>
  <c r="K620" i="26"/>
  <c r="L620" i="26"/>
  <c r="J612" i="26"/>
  <c r="K612" i="26"/>
  <c r="L612" i="26"/>
  <c r="J604" i="26"/>
  <c r="K604" i="26"/>
  <c r="L604" i="26"/>
  <c r="J596" i="26"/>
  <c r="K596" i="26"/>
  <c r="L596" i="26"/>
  <c r="J584" i="26"/>
  <c r="K584" i="26"/>
  <c r="L584" i="26"/>
  <c r="J619" i="26"/>
  <c r="K619" i="26"/>
  <c r="L619" i="26"/>
  <c r="J611" i="26"/>
  <c r="K611" i="26"/>
  <c r="L611" i="26"/>
  <c r="J607" i="26"/>
  <c r="K607" i="26"/>
  <c r="L607" i="26"/>
  <c r="J599" i="26"/>
  <c r="K599" i="26"/>
  <c r="L599" i="26"/>
  <c r="J587" i="26"/>
  <c r="K587" i="26"/>
  <c r="L587" i="26"/>
  <c r="K629" i="26"/>
  <c r="L629" i="26"/>
  <c r="J629" i="26"/>
  <c r="K625" i="26"/>
  <c r="L625" i="26"/>
  <c r="J625" i="26"/>
  <c r="K621" i="26"/>
  <c r="L621" i="26"/>
  <c r="J621" i="26"/>
  <c r="K617" i="26"/>
  <c r="L617" i="26"/>
  <c r="J617" i="26"/>
  <c r="K613" i="26"/>
  <c r="L613" i="26"/>
  <c r="J613" i="26"/>
  <c r="K609" i="26"/>
  <c r="L609" i="26"/>
  <c r="J609" i="26"/>
  <c r="K605" i="26"/>
  <c r="L605" i="26"/>
  <c r="J605" i="26"/>
  <c r="K601" i="26"/>
  <c r="L601" i="26"/>
  <c r="J601" i="26"/>
  <c r="K597" i="26"/>
  <c r="L597" i="26"/>
  <c r="J597" i="26"/>
  <c r="K593" i="26"/>
  <c r="L593" i="26"/>
  <c r="J593" i="26"/>
  <c r="K589" i="26"/>
  <c r="L589" i="26"/>
  <c r="J589" i="26"/>
  <c r="K585" i="26"/>
  <c r="L585" i="26"/>
  <c r="J585" i="26"/>
  <c r="K583" i="26"/>
  <c r="L583" i="26"/>
  <c r="J583" i="26"/>
  <c r="P624" i="26"/>
  <c r="N624" i="26"/>
  <c r="O624" i="26"/>
  <c r="M624" i="26"/>
  <c r="P612" i="26"/>
  <c r="N612" i="26"/>
  <c r="O612" i="26"/>
  <c r="M612" i="26"/>
  <c r="P604" i="26"/>
  <c r="N604" i="26"/>
  <c r="O604" i="26"/>
  <c r="M604" i="26"/>
  <c r="P596" i="26"/>
  <c r="N596" i="26"/>
  <c r="O596" i="26"/>
  <c r="M596" i="26"/>
  <c r="P592" i="26"/>
  <c r="N592" i="26"/>
  <c r="O592" i="26"/>
  <c r="M592" i="26"/>
  <c r="P580" i="26"/>
  <c r="N580" i="26"/>
  <c r="O580" i="26"/>
  <c r="M580" i="26"/>
  <c r="P568" i="26"/>
  <c r="N568" i="26"/>
  <c r="O568" i="26"/>
  <c r="M568" i="26"/>
  <c r="P564" i="26"/>
  <c r="N564" i="26"/>
  <c r="O564" i="26"/>
  <c r="M564" i="26"/>
  <c r="P627" i="26"/>
  <c r="N627" i="26"/>
  <c r="O627" i="26"/>
  <c r="M627" i="26"/>
  <c r="P623" i="26"/>
  <c r="N623" i="26"/>
  <c r="O623" i="26"/>
  <c r="M623" i="26"/>
  <c r="P619" i="26"/>
  <c r="N619" i="26"/>
  <c r="O619" i="26"/>
  <c r="M619" i="26"/>
  <c r="P615" i="26"/>
  <c r="N615" i="26"/>
  <c r="O615" i="26"/>
  <c r="M615" i="26"/>
  <c r="P611" i="26"/>
  <c r="N611" i="26"/>
  <c r="O611" i="26"/>
  <c r="M611" i="26"/>
  <c r="P607" i="26"/>
  <c r="N607" i="26"/>
  <c r="O607" i="26"/>
  <c r="M607" i="26"/>
  <c r="P603" i="26"/>
  <c r="N603" i="26"/>
  <c r="O603" i="26"/>
  <c r="M603" i="26"/>
  <c r="P599" i="26"/>
  <c r="N599" i="26"/>
  <c r="O599" i="26"/>
  <c r="M599" i="26"/>
  <c r="P595" i="26"/>
  <c r="N595" i="26"/>
  <c r="O595" i="26"/>
  <c r="M595" i="26"/>
  <c r="P591" i="26"/>
  <c r="N591" i="26"/>
  <c r="O591" i="26"/>
  <c r="M591" i="26"/>
  <c r="P587" i="26"/>
  <c r="N587" i="26"/>
  <c r="O587" i="26"/>
  <c r="M587" i="26"/>
  <c r="P583" i="26"/>
  <c r="N583" i="26"/>
  <c r="O583" i="26"/>
  <c r="M583" i="26"/>
  <c r="P579" i="26"/>
  <c r="N579" i="26"/>
  <c r="O579" i="26"/>
  <c r="M579" i="26"/>
  <c r="P575" i="26"/>
  <c r="N575" i="26"/>
  <c r="O575" i="26"/>
  <c r="M575" i="26"/>
  <c r="P571" i="26"/>
  <c r="N571" i="26"/>
  <c r="O571" i="26"/>
  <c r="M571" i="26"/>
  <c r="P567" i="26"/>
  <c r="N567" i="26"/>
  <c r="O567" i="26"/>
  <c r="M567" i="26"/>
  <c r="P563" i="26"/>
  <c r="N563" i="26"/>
  <c r="O563" i="26"/>
  <c r="M563" i="26"/>
  <c r="P559" i="26"/>
  <c r="N559" i="26"/>
  <c r="O559" i="26"/>
  <c r="M559" i="26"/>
  <c r="P555" i="26"/>
  <c r="N555" i="26"/>
  <c r="O555" i="26"/>
  <c r="M555" i="26"/>
  <c r="P620" i="26"/>
  <c r="N620" i="26"/>
  <c r="O620" i="26"/>
  <c r="M620" i="26"/>
  <c r="P584" i="26"/>
  <c r="N584" i="26"/>
  <c r="O584" i="26"/>
  <c r="M584" i="26"/>
  <c r="P576" i="26"/>
  <c r="N576" i="26"/>
  <c r="O576" i="26"/>
  <c r="M576" i="26"/>
  <c r="P556" i="26"/>
  <c r="N556" i="26"/>
  <c r="O556" i="26"/>
  <c r="M556" i="26"/>
  <c r="M626" i="26"/>
  <c r="P626" i="26"/>
  <c r="N626" i="26"/>
  <c r="O626" i="26"/>
  <c r="M622" i="26"/>
  <c r="P622" i="26"/>
  <c r="N622" i="26"/>
  <c r="O622" i="26"/>
  <c r="M618" i="26"/>
  <c r="P618" i="26"/>
  <c r="N618" i="26"/>
  <c r="O618" i="26"/>
  <c r="M614" i="26"/>
  <c r="P614" i="26"/>
  <c r="N614" i="26"/>
  <c r="O614" i="26"/>
  <c r="M610" i="26"/>
  <c r="P610" i="26"/>
  <c r="N610" i="26"/>
  <c r="O610" i="26"/>
  <c r="M606" i="26"/>
  <c r="P606" i="26"/>
  <c r="N606" i="26"/>
  <c r="O606" i="26"/>
  <c r="M602" i="26"/>
  <c r="P602" i="26"/>
  <c r="N602" i="26"/>
  <c r="O602" i="26"/>
  <c r="M598" i="26"/>
  <c r="P598" i="26"/>
  <c r="N598" i="26"/>
  <c r="O598" i="26"/>
  <c r="M594" i="26"/>
  <c r="P594" i="26"/>
  <c r="N594" i="26"/>
  <c r="O594" i="26"/>
  <c r="M590" i="26"/>
  <c r="P590" i="26"/>
  <c r="N590" i="26"/>
  <c r="O590" i="26"/>
  <c r="M586" i="26"/>
  <c r="P586" i="26"/>
  <c r="N586" i="26"/>
  <c r="O586" i="26"/>
  <c r="M582" i="26"/>
  <c r="P582" i="26"/>
  <c r="N582" i="26"/>
  <c r="O582" i="26"/>
  <c r="M578" i="26"/>
  <c r="P578" i="26"/>
  <c r="N578" i="26"/>
  <c r="O578" i="26"/>
  <c r="M574" i="26"/>
  <c r="P574" i="26"/>
  <c r="N574" i="26"/>
  <c r="O574" i="26"/>
  <c r="M570" i="26"/>
  <c r="P570" i="26"/>
  <c r="N570" i="26"/>
  <c r="O570" i="26"/>
  <c r="M566" i="26"/>
  <c r="P566" i="26"/>
  <c r="N566" i="26"/>
  <c r="O566" i="26"/>
  <c r="P562" i="26"/>
  <c r="M562" i="26"/>
  <c r="N562" i="26"/>
  <c r="O562" i="26"/>
  <c r="M558" i="26"/>
  <c r="P558" i="26"/>
  <c r="N558" i="26"/>
  <c r="O558" i="26"/>
  <c r="P628" i="26"/>
  <c r="N628" i="26"/>
  <c r="O628" i="26"/>
  <c r="M628" i="26"/>
  <c r="P616" i="26"/>
  <c r="N616" i="26"/>
  <c r="O616" i="26"/>
  <c r="M616" i="26"/>
  <c r="P608" i="26"/>
  <c r="N608" i="26"/>
  <c r="O608" i="26"/>
  <c r="M608" i="26"/>
  <c r="P600" i="26"/>
  <c r="N600" i="26"/>
  <c r="O600" i="26"/>
  <c r="M600" i="26"/>
  <c r="P588" i="26"/>
  <c r="N588" i="26"/>
  <c r="O588" i="26"/>
  <c r="M588" i="26"/>
  <c r="P572" i="26"/>
  <c r="N572" i="26"/>
  <c r="O572" i="26"/>
  <c r="M572" i="26"/>
  <c r="P560" i="26"/>
  <c r="N560" i="26"/>
  <c r="O560" i="26"/>
  <c r="M560" i="26"/>
  <c r="M629" i="26"/>
  <c r="P629" i="26"/>
  <c r="N629" i="26"/>
  <c r="O629" i="26"/>
  <c r="M625" i="26"/>
  <c r="P625" i="26"/>
  <c r="N625" i="26"/>
  <c r="O625" i="26"/>
  <c r="M621" i="26"/>
  <c r="P621" i="26"/>
  <c r="N621" i="26"/>
  <c r="O621" i="26"/>
  <c r="M617" i="26"/>
  <c r="P617" i="26"/>
  <c r="N617" i="26"/>
  <c r="O617" i="26"/>
  <c r="M613" i="26"/>
  <c r="P613" i="26"/>
  <c r="N613" i="26"/>
  <c r="O613" i="26"/>
  <c r="M609" i="26"/>
  <c r="P609" i="26"/>
  <c r="N609" i="26"/>
  <c r="O609" i="26"/>
  <c r="M605" i="26"/>
  <c r="P605" i="26"/>
  <c r="N605" i="26"/>
  <c r="O605" i="26"/>
  <c r="M601" i="26"/>
  <c r="P601" i="26"/>
  <c r="N601" i="26"/>
  <c r="O601" i="26"/>
  <c r="M597" i="26"/>
  <c r="P597" i="26"/>
  <c r="N597" i="26"/>
  <c r="O597" i="26"/>
  <c r="M593" i="26"/>
  <c r="P593" i="26"/>
  <c r="N593" i="26"/>
  <c r="O593" i="26"/>
  <c r="M589" i="26"/>
  <c r="P589" i="26"/>
  <c r="N589" i="26"/>
  <c r="O589" i="26"/>
  <c r="M585" i="26"/>
  <c r="P585" i="26"/>
  <c r="N585" i="26"/>
  <c r="O585" i="26"/>
  <c r="M581" i="26"/>
  <c r="P581" i="26"/>
  <c r="N581" i="26"/>
  <c r="O581" i="26"/>
  <c r="M577" i="26"/>
  <c r="P577" i="26"/>
  <c r="N577" i="26"/>
  <c r="O577" i="26"/>
  <c r="M573" i="26"/>
  <c r="P573" i="26"/>
  <c r="N573" i="26"/>
  <c r="O573" i="26"/>
  <c r="M569" i="26"/>
  <c r="P569" i="26"/>
  <c r="N569" i="26"/>
  <c r="O569" i="26"/>
  <c r="M565" i="26"/>
  <c r="P565" i="26"/>
  <c r="N565" i="26"/>
  <c r="O565" i="26"/>
  <c r="M561" i="26"/>
  <c r="P561" i="26"/>
  <c r="N561" i="26"/>
  <c r="O561" i="26"/>
  <c r="M557" i="26"/>
  <c r="P557" i="26"/>
  <c r="N557" i="26"/>
  <c r="O557" i="26"/>
  <c r="P554" i="26"/>
  <c r="N554" i="26"/>
  <c r="O554" i="26"/>
  <c r="M554" i="26"/>
  <c r="P553" i="26"/>
  <c r="N553" i="26"/>
  <c r="O553" i="26"/>
  <c r="M553" i="26"/>
  <c r="P552" i="26"/>
  <c r="N552" i="26"/>
  <c r="O552" i="26"/>
  <c r="M552" i="26"/>
  <c r="P704" i="26"/>
  <c r="N704" i="26"/>
  <c r="O704" i="26"/>
  <c r="M704" i="26"/>
  <c r="P700" i="26"/>
  <c r="N700" i="26"/>
  <c r="O700" i="26"/>
  <c r="M700" i="26"/>
  <c r="P696" i="26"/>
  <c r="N696" i="26"/>
  <c r="O696" i="26"/>
  <c r="M696" i="26"/>
  <c r="P692" i="26"/>
  <c r="N692" i="26"/>
  <c r="O692" i="26"/>
  <c r="M692" i="26"/>
  <c r="P688" i="26"/>
  <c r="N688" i="26"/>
  <c r="O688" i="26"/>
  <c r="M688" i="26"/>
  <c r="P684" i="26"/>
  <c r="N684" i="26"/>
  <c r="O684" i="26"/>
  <c r="M684" i="26"/>
  <c r="P680" i="26"/>
  <c r="N680" i="26"/>
  <c r="O680" i="26"/>
  <c r="M680" i="26"/>
  <c r="P676" i="26"/>
  <c r="N676" i="26"/>
  <c r="O676" i="26"/>
  <c r="M676" i="26"/>
  <c r="P672" i="26"/>
  <c r="N672" i="26"/>
  <c r="O672" i="26"/>
  <c r="M672" i="26"/>
  <c r="P668" i="26"/>
  <c r="N668" i="26"/>
  <c r="O668" i="26"/>
  <c r="M668" i="26"/>
  <c r="P664" i="26"/>
  <c r="N664" i="26"/>
  <c r="O664" i="26"/>
  <c r="M664" i="26"/>
  <c r="P660" i="26"/>
  <c r="N660" i="26"/>
  <c r="O660" i="26"/>
  <c r="M660" i="26"/>
  <c r="P656" i="26"/>
  <c r="N656" i="26"/>
  <c r="O656" i="26"/>
  <c r="M656" i="26"/>
  <c r="P652" i="26"/>
  <c r="N652" i="26"/>
  <c r="O652" i="26"/>
  <c r="M652" i="26"/>
  <c r="P648" i="26"/>
  <c r="N648" i="26"/>
  <c r="O648" i="26"/>
  <c r="M648" i="26"/>
  <c r="P644" i="26"/>
  <c r="N644" i="26"/>
  <c r="O644" i="26"/>
  <c r="M644" i="26"/>
  <c r="P640" i="26"/>
  <c r="N640" i="26"/>
  <c r="O640" i="26"/>
  <c r="M640" i="26"/>
  <c r="P636" i="26"/>
  <c r="N636" i="26"/>
  <c r="O636" i="26"/>
  <c r="M636" i="26"/>
  <c r="P707" i="26"/>
  <c r="N707" i="26"/>
  <c r="O707" i="26"/>
  <c r="M707" i="26"/>
  <c r="P703" i="26"/>
  <c r="N703" i="26"/>
  <c r="O703" i="26"/>
  <c r="M703" i="26"/>
  <c r="P699" i="26"/>
  <c r="N699" i="26"/>
  <c r="O699" i="26"/>
  <c r="M699" i="26"/>
  <c r="P695" i="26"/>
  <c r="N695" i="26"/>
  <c r="O695" i="26"/>
  <c r="M695" i="26"/>
  <c r="P691" i="26"/>
  <c r="N691" i="26"/>
  <c r="O691" i="26"/>
  <c r="M691" i="26"/>
  <c r="P687" i="26"/>
  <c r="N687" i="26"/>
  <c r="O687" i="26"/>
  <c r="M687" i="26"/>
  <c r="P683" i="26"/>
  <c r="N683" i="26"/>
  <c r="O683" i="26"/>
  <c r="M683" i="26"/>
  <c r="P679" i="26"/>
  <c r="N679" i="26"/>
  <c r="O679" i="26"/>
  <c r="M679" i="26"/>
  <c r="P675" i="26"/>
  <c r="N675" i="26"/>
  <c r="O675" i="26"/>
  <c r="M675" i="26"/>
  <c r="P671" i="26"/>
  <c r="N671" i="26"/>
  <c r="O671" i="26"/>
  <c r="M671" i="26"/>
  <c r="P667" i="26"/>
  <c r="N667" i="26"/>
  <c r="O667" i="26"/>
  <c r="M667" i="26"/>
  <c r="P663" i="26"/>
  <c r="N663" i="26"/>
  <c r="O663" i="26"/>
  <c r="M663" i="26"/>
  <c r="P659" i="26"/>
  <c r="N659" i="26"/>
  <c r="O659" i="26"/>
  <c r="M659" i="26"/>
  <c r="P655" i="26"/>
  <c r="N655" i="26"/>
  <c r="O655" i="26"/>
  <c r="M655" i="26"/>
  <c r="P651" i="26"/>
  <c r="N651" i="26"/>
  <c r="O651" i="26"/>
  <c r="M651" i="26"/>
  <c r="P647" i="26"/>
  <c r="N647" i="26"/>
  <c r="O647" i="26"/>
  <c r="M647" i="26"/>
  <c r="P643" i="26"/>
  <c r="N643" i="26"/>
  <c r="O643" i="26"/>
  <c r="M643" i="26"/>
  <c r="P639" i="26"/>
  <c r="N639" i="26"/>
  <c r="O639" i="26"/>
  <c r="M639" i="26"/>
  <c r="P635" i="26"/>
  <c r="N635" i="26"/>
  <c r="O635" i="26"/>
  <c r="M635" i="26"/>
  <c r="P706" i="26"/>
  <c r="N706" i="26"/>
  <c r="O706" i="26"/>
  <c r="M706" i="26"/>
  <c r="P702" i="26"/>
  <c r="N702" i="26"/>
  <c r="O702" i="26"/>
  <c r="M702" i="26"/>
  <c r="P698" i="26"/>
  <c r="N698" i="26"/>
  <c r="O698" i="26"/>
  <c r="M698" i="26"/>
  <c r="P694" i="26"/>
  <c r="N694" i="26"/>
  <c r="O694" i="26"/>
  <c r="M694" i="26"/>
  <c r="P690" i="26"/>
  <c r="N690" i="26"/>
  <c r="O690" i="26"/>
  <c r="M690" i="26"/>
  <c r="P686" i="26"/>
  <c r="N686" i="26"/>
  <c r="O686" i="26"/>
  <c r="M686" i="26"/>
  <c r="P682" i="26"/>
  <c r="N682" i="26"/>
  <c r="O682" i="26"/>
  <c r="M682" i="26"/>
  <c r="P678" i="26"/>
  <c r="N678" i="26"/>
  <c r="O678" i="26"/>
  <c r="M678" i="26"/>
  <c r="P674" i="26"/>
  <c r="N674" i="26"/>
  <c r="O674" i="26"/>
  <c r="M674" i="26"/>
  <c r="P670" i="26"/>
  <c r="N670" i="26"/>
  <c r="O670" i="26"/>
  <c r="M670" i="26"/>
  <c r="P666" i="26"/>
  <c r="N666" i="26"/>
  <c r="O666" i="26"/>
  <c r="M666" i="26"/>
  <c r="P662" i="26"/>
  <c r="N662" i="26"/>
  <c r="O662" i="26"/>
  <c r="M662" i="26"/>
  <c r="P658" i="26"/>
  <c r="N658" i="26"/>
  <c r="O658" i="26"/>
  <c r="M658" i="26"/>
  <c r="P654" i="26"/>
  <c r="N654" i="26"/>
  <c r="O654" i="26"/>
  <c r="M654" i="26"/>
  <c r="P650" i="26"/>
  <c r="N650" i="26"/>
  <c r="O650" i="26"/>
  <c r="M650" i="26"/>
  <c r="P646" i="26"/>
  <c r="N646" i="26"/>
  <c r="O646" i="26"/>
  <c r="M646" i="26"/>
  <c r="P642" i="26"/>
  <c r="N642" i="26"/>
  <c r="O642" i="26"/>
  <c r="M642" i="26"/>
  <c r="P638" i="26"/>
  <c r="N638" i="26"/>
  <c r="O638" i="26"/>
  <c r="M638" i="26"/>
  <c r="P634" i="26"/>
  <c r="N634" i="26"/>
  <c r="O634" i="26"/>
  <c r="M634" i="26"/>
  <c r="P705" i="26"/>
  <c r="N705" i="26"/>
  <c r="O705" i="26"/>
  <c r="M705" i="26"/>
  <c r="P701" i="26"/>
  <c r="N701" i="26"/>
  <c r="O701" i="26"/>
  <c r="M701" i="26"/>
  <c r="P697" i="26"/>
  <c r="N697" i="26"/>
  <c r="O697" i="26"/>
  <c r="M697" i="26"/>
  <c r="P693" i="26"/>
  <c r="N693" i="26"/>
  <c r="O693" i="26"/>
  <c r="M693" i="26"/>
  <c r="P689" i="26"/>
  <c r="N689" i="26"/>
  <c r="O689" i="26"/>
  <c r="M689" i="26"/>
  <c r="P685" i="26"/>
  <c r="N685" i="26"/>
  <c r="O685" i="26"/>
  <c r="M685" i="26"/>
  <c r="P681" i="26"/>
  <c r="N681" i="26"/>
  <c r="O681" i="26"/>
  <c r="M681" i="26"/>
  <c r="P677" i="26"/>
  <c r="N677" i="26"/>
  <c r="O677" i="26"/>
  <c r="M677" i="26"/>
  <c r="P673" i="26"/>
  <c r="N673" i="26"/>
  <c r="O673" i="26"/>
  <c r="M673" i="26"/>
  <c r="P669" i="26"/>
  <c r="N669" i="26"/>
  <c r="O669" i="26"/>
  <c r="M669" i="26"/>
  <c r="P665" i="26"/>
  <c r="N665" i="26"/>
  <c r="O665" i="26"/>
  <c r="M665" i="26"/>
  <c r="P661" i="26"/>
  <c r="N661" i="26"/>
  <c r="O661" i="26"/>
  <c r="M661" i="26"/>
  <c r="P657" i="26"/>
  <c r="N657" i="26"/>
  <c r="O657" i="26"/>
  <c r="M657" i="26"/>
  <c r="P653" i="26"/>
  <c r="N653" i="26"/>
  <c r="O653" i="26"/>
  <c r="M653" i="26"/>
  <c r="P649" i="26"/>
  <c r="N649" i="26"/>
  <c r="O649" i="26"/>
  <c r="M649" i="26"/>
  <c r="P645" i="26"/>
  <c r="N645" i="26"/>
  <c r="O645" i="26"/>
  <c r="M645" i="26"/>
  <c r="P641" i="26"/>
  <c r="N641" i="26"/>
  <c r="O641" i="26"/>
  <c r="M641" i="26"/>
  <c r="P637" i="26"/>
  <c r="N637" i="26"/>
  <c r="O637" i="26"/>
  <c r="M637" i="26"/>
  <c r="P633" i="26"/>
  <c r="N633" i="26"/>
  <c r="O633" i="26"/>
  <c r="M633" i="26"/>
  <c r="M632" i="26"/>
  <c r="P632" i="26"/>
  <c r="N632" i="26"/>
  <c r="O632" i="26"/>
  <c r="M631" i="26"/>
  <c r="P631" i="26"/>
  <c r="N631" i="26"/>
  <c r="O631" i="26"/>
  <c r="N630" i="26"/>
  <c r="O630" i="26"/>
  <c r="P630" i="26"/>
  <c r="M630" i="26"/>
  <c r="K70" i="26"/>
  <c r="L70" i="26"/>
  <c r="J70" i="26"/>
  <c r="K66" i="26"/>
  <c r="L66" i="26"/>
  <c r="J66" i="26"/>
  <c r="K62" i="26"/>
  <c r="L62" i="26"/>
  <c r="J62" i="26"/>
  <c r="K58" i="26"/>
  <c r="L58" i="26"/>
  <c r="J58" i="26"/>
  <c r="K54" i="26"/>
  <c r="L54" i="26"/>
  <c r="J54" i="26"/>
  <c r="K50" i="26"/>
  <c r="L50" i="26"/>
  <c r="J50" i="26"/>
  <c r="K46" i="26"/>
  <c r="L46" i="26"/>
  <c r="J46" i="26"/>
  <c r="K42" i="26"/>
  <c r="L42" i="26"/>
  <c r="J42" i="26"/>
  <c r="K38" i="26"/>
  <c r="L38" i="26"/>
  <c r="J38" i="26"/>
  <c r="K83" i="26"/>
  <c r="L83" i="26"/>
  <c r="J83" i="26"/>
  <c r="K79" i="26"/>
  <c r="L79" i="26"/>
  <c r="J79" i="26"/>
  <c r="K75" i="26"/>
  <c r="L75" i="26"/>
  <c r="J75" i="26"/>
  <c r="K71" i="26"/>
  <c r="L71" i="26"/>
  <c r="J71" i="26"/>
  <c r="K67" i="26"/>
  <c r="L67" i="26"/>
  <c r="J67" i="26"/>
  <c r="K63" i="26"/>
  <c r="L63" i="26"/>
  <c r="J63" i="26"/>
  <c r="K59" i="26"/>
  <c r="L59" i="26"/>
  <c r="J59" i="26"/>
  <c r="K55" i="26"/>
  <c r="L55" i="26"/>
  <c r="J55" i="26"/>
  <c r="K51" i="26"/>
  <c r="L51" i="26"/>
  <c r="J51" i="26"/>
  <c r="K47" i="26"/>
  <c r="L47" i="26"/>
  <c r="J47" i="26"/>
  <c r="K43" i="26"/>
  <c r="L43" i="26"/>
  <c r="J43" i="26"/>
  <c r="K39" i="26"/>
  <c r="L39" i="26"/>
  <c r="J39" i="26"/>
  <c r="K80" i="26"/>
  <c r="L80" i="26"/>
  <c r="J80" i="26"/>
  <c r="K76" i="26"/>
  <c r="L76" i="26"/>
  <c r="J76" i="26"/>
  <c r="K72" i="26"/>
  <c r="L72" i="26"/>
  <c r="J72" i="26"/>
  <c r="K68" i="26"/>
  <c r="L68" i="26"/>
  <c r="J68" i="26"/>
  <c r="K64" i="26"/>
  <c r="L64" i="26"/>
  <c r="J64" i="26"/>
  <c r="K60" i="26"/>
  <c r="L60" i="26"/>
  <c r="J60" i="26"/>
  <c r="K56" i="26"/>
  <c r="L56" i="26"/>
  <c r="J56" i="26"/>
  <c r="K52" i="26"/>
  <c r="L52" i="26"/>
  <c r="J52" i="26"/>
  <c r="J48" i="26"/>
  <c r="K48" i="26"/>
  <c r="L48" i="26"/>
  <c r="K44" i="26"/>
  <c r="L44" i="26"/>
  <c r="J44" i="26"/>
  <c r="K40" i="26"/>
  <c r="L40" i="26"/>
  <c r="J40" i="26"/>
  <c r="K81" i="26"/>
  <c r="L81" i="26"/>
  <c r="J81" i="26"/>
  <c r="K77" i="26"/>
  <c r="L77" i="26"/>
  <c r="J77" i="26"/>
  <c r="K73" i="26"/>
  <c r="L73" i="26"/>
  <c r="J73" i="26"/>
  <c r="K69" i="26"/>
  <c r="L69" i="26"/>
  <c r="J69" i="26"/>
  <c r="K65" i="26"/>
  <c r="L65" i="26"/>
  <c r="J65" i="26"/>
  <c r="K61" i="26"/>
  <c r="L61" i="26"/>
  <c r="J61" i="26"/>
  <c r="K57" i="26"/>
  <c r="L57" i="26"/>
  <c r="J57" i="26"/>
  <c r="K53" i="26"/>
  <c r="L53" i="26"/>
  <c r="J53" i="26"/>
  <c r="K49" i="26"/>
  <c r="L49" i="26"/>
  <c r="J49" i="26"/>
  <c r="K45" i="26"/>
  <c r="L45" i="26"/>
  <c r="J45" i="26"/>
  <c r="K41" i="26"/>
  <c r="L41" i="26"/>
  <c r="J41" i="26"/>
  <c r="K82" i="26"/>
  <c r="L82" i="26"/>
  <c r="J82" i="26"/>
  <c r="K78" i="26"/>
  <c r="L78" i="26"/>
  <c r="J78" i="26"/>
  <c r="K74" i="26"/>
  <c r="L74" i="26"/>
  <c r="J74" i="26"/>
  <c r="K37" i="26"/>
  <c r="L37" i="26"/>
  <c r="J37" i="26"/>
  <c r="P160" i="26"/>
  <c r="N160" i="26"/>
  <c r="O160" i="26"/>
  <c r="M160" i="26"/>
  <c r="N136" i="26"/>
  <c r="O136" i="26"/>
  <c r="M136" i="26"/>
  <c r="P136" i="26"/>
  <c r="N159" i="26"/>
  <c r="O159" i="26"/>
  <c r="M159" i="26"/>
  <c r="P159" i="26"/>
  <c r="N151" i="26"/>
  <c r="O151" i="26"/>
  <c r="M151" i="26"/>
  <c r="P151" i="26"/>
  <c r="N143" i="26"/>
  <c r="O143" i="26"/>
  <c r="M143" i="26"/>
  <c r="P143" i="26"/>
  <c r="P128" i="26"/>
  <c r="M128" i="26"/>
  <c r="N128" i="26"/>
  <c r="O128" i="26"/>
  <c r="M126" i="26"/>
  <c r="P126" i="26"/>
  <c r="N126" i="26"/>
  <c r="O126" i="26"/>
  <c r="N124" i="26"/>
  <c r="O124" i="26"/>
  <c r="M124" i="26"/>
  <c r="P124" i="26"/>
  <c r="P118" i="26"/>
  <c r="N118" i="26"/>
  <c r="O118" i="26"/>
  <c r="M118" i="26"/>
  <c r="P116" i="26"/>
  <c r="N116" i="26"/>
  <c r="O116" i="26"/>
  <c r="M116" i="26"/>
  <c r="P114" i="26"/>
  <c r="M114" i="26"/>
  <c r="N114" i="26"/>
  <c r="O114" i="26"/>
  <c r="P112" i="26"/>
  <c r="M112" i="26"/>
  <c r="N112" i="26"/>
  <c r="O112" i="26"/>
  <c r="P110" i="26"/>
  <c r="M110" i="26"/>
  <c r="N110" i="26"/>
  <c r="O110" i="26"/>
  <c r="N108" i="26"/>
  <c r="O108" i="26"/>
  <c r="M108" i="26"/>
  <c r="P108" i="26"/>
  <c r="P106" i="26"/>
  <c r="M106" i="26"/>
  <c r="N106" i="26"/>
  <c r="O106" i="26"/>
  <c r="N104" i="26"/>
  <c r="O104" i="26"/>
  <c r="M104" i="26"/>
  <c r="P104" i="26"/>
  <c r="P102" i="26"/>
  <c r="N102" i="26"/>
  <c r="O102" i="26"/>
  <c r="M102" i="26"/>
  <c r="P100" i="26"/>
  <c r="N100" i="26"/>
  <c r="O100" i="26"/>
  <c r="M100" i="26"/>
  <c r="P98" i="26"/>
  <c r="M98" i="26"/>
  <c r="N98" i="26"/>
  <c r="O98" i="26"/>
  <c r="P96" i="26"/>
  <c r="N96" i="26"/>
  <c r="O96" i="26"/>
  <c r="M96" i="26"/>
  <c r="P94" i="26"/>
  <c r="M94" i="26"/>
  <c r="N94" i="26"/>
  <c r="O94" i="26"/>
  <c r="N92" i="26"/>
  <c r="O92" i="26"/>
  <c r="M92" i="26"/>
  <c r="P92" i="26"/>
  <c r="P90" i="26"/>
  <c r="M90" i="26"/>
  <c r="N90" i="26"/>
  <c r="O90" i="26"/>
  <c r="N88" i="26"/>
  <c r="O88" i="26"/>
  <c r="M88" i="26"/>
  <c r="P88" i="26"/>
  <c r="N156" i="26"/>
  <c r="O156" i="26"/>
  <c r="M156" i="26"/>
  <c r="P156" i="26"/>
  <c r="P144" i="26"/>
  <c r="M144" i="26"/>
  <c r="N144" i="26"/>
  <c r="O144" i="26"/>
  <c r="N140" i="26"/>
  <c r="O140" i="26"/>
  <c r="M140" i="26"/>
  <c r="P140" i="26"/>
  <c r="N155" i="26"/>
  <c r="O155" i="26"/>
  <c r="P155" i="26"/>
  <c r="M155" i="26"/>
  <c r="N147" i="26"/>
  <c r="O147" i="26"/>
  <c r="M147" i="26"/>
  <c r="P147" i="26"/>
  <c r="N135" i="26"/>
  <c r="O135" i="26"/>
  <c r="M135" i="26"/>
  <c r="P135" i="26"/>
  <c r="N131" i="26"/>
  <c r="O131" i="26"/>
  <c r="M131" i="26"/>
  <c r="P131" i="26"/>
  <c r="P122" i="26"/>
  <c r="M122" i="26"/>
  <c r="N122" i="26"/>
  <c r="O122" i="26"/>
  <c r="M158" i="26"/>
  <c r="P158" i="26"/>
  <c r="N158" i="26"/>
  <c r="O158" i="26"/>
  <c r="M154" i="26"/>
  <c r="N154" i="26"/>
  <c r="O154" i="26"/>
  <c r="P154" i="26"/>
  <c r="P150" i="26"/>
  <c r="N150" i="26"/>
  <c r="O150" i="26"/>
  <c r="M150" i="26"/>
  <c r="M146" i="26"/>
  <c r="P146" i="26"/>
  <c r="N146" i="26"/>
  <c r="O146" i="26"/>
  <c r="M142" i="26"/>
  <c r="P142" i="26"/>
  <c r="N142" i="26"/>
  <c r="O142" i="26"/>
  <c r="M138" i="26"/>
  <c r="P138" i="26"/>
  <c r="N138" i="26"/>
  <c r="O138" i="26"/>
  <c r="P134" i="26"/>
  <c r="N134" i="26"/>
  <c r="O134" i="26"/>
  <c r="M134" i="26"/>
  <c r="M130" i="26"/>
  <c r="P130" i="26"/>
  <c r="N130" i="26"/>
  <c r="O130" i="26"/>
  <c r="N152" i="26"/>
  <c r="O152" i="26"/>
  <c r="M152" i="26"/>
  <c r="P152" i="26"/>
  <c r="N148" i="26"/>
  <c r="O148" i="26"/>
  <c r="M148" i="26"/>
  <c r="P148" i="26"/>
  <c r="N132" i="26"/>
  <c r="O132" i="26"/>
  <c r="M132" i="26"/>
  <c r="P132" i="26"/>
  <c r="N139" i="26"/>
  <c r="O139" i="26"/>
  <c r="P139" i="26"/>
  <c r="M139" i="26"/>
  <c r="N120" i="26"/>
  <c r="O120" i="26"/>
  <c r="M120" i="26"/>
  <c r="P120" i="26"/>
  <c r="P161" i="26"/>
  <c r="M161" i="26"/>
  <c r="N161" i="26"/>
  <c r="O161" i="26"/>
  <c r="P157" i="26"/>
  <c r="M157" i="26"/>
  <c r="N157" i="26"/>
  <c r="O157" i="26"/>
  <c r="P153" i="26"/>
  <c r="M153" i="26"/>
  <c r="N153" i="26"/>
  <c r="O153" i="26"/>
  <c r="P149" i="26"/>
  <c r="M149" i="26"/>
  <c r="N149" i="26"/>
  <c r="O149" i="26"/>
  <c r="P145" i="26"/>
  <c r="M145" i="26"/>
  <c r="N145" i="26"/>
  <c r="O145" i="26"/>
  <c r="P141" i="26"/>
  <c r="M141" i="26"/>
  <c r="N141" i="26"/>
  <c r="O141" i="26"/>
  <c r="P137" i="26"/>
  <c r="M137" i="26"/>
  <c r="N137" i="26"/>
  <c r="O137" i="26"/>
  <c r="P133" i="26"/>
  <c r="M133" i="26"/>
  <c r="N133" i="26"/>
  <c r="O133" i="26"/>
  <c r="P129" i="26"/>
  <c r="M129" i="26"/>
  <c r="N129" i="26"/>
  <c r="O129" i="26"/>
  <c r="N127" i="26"/>
  <c r="O127" i="26"/>
  <c r="M127" i="26"/>
  <c r="P127" i="26"/>
  <c r="P125" i="26"/>
  <c r="M125" i="26"/>
  <c r="N125" i="26"/>
  <c r="O125" i="26"/>
  <c r="N123" i="26"/>
  <c r="O123" i="26"/>
  <c r="P123" i="26"/>
  <c r="M123" i="26"/>
  <c r="P121" i="26"/>
  <c r="M121" i="26"/>
  <c r="N121" i="26"/>
  <c r="O121" i="26"/>
  <c r="N119" i="26"/>
  <c r="O119" i="26"/>
  <c r="M119" i="26"/>
  <c r="P119" i="26"/>
  <c r="P117" i="26"/>
  <c r="M117" i="26"/>
  <c r="N117" i="26"/>
  <c r="O117" i="26"/>
  <c r="N115" i="26"/>
  <c r="O115" i="26"/>
  <c r="P115" i="26"/>
  <c r="M115" i="26"/>
  <c r="P113" i="26"/>
  <c r="M113" i="26"/>
  <c r="N113" i="26"/>
  <c r="O113" i="26"/>
  <c r="N111" i="26"/>
  <c r="O111" i="26"/>
  <c r="P111" i="26"/>
  <c r="M111" i="26"/>
  <c r="P109" i="26"/>
  <c r="M109" i="26"/>
  <c r="N109" i="26"/>
  <c r="O109" i="26"/>
  <c r="N107" i="26"/>
  <c r="O107" i="26"/>
  <c r="P107" i="26"/>
  <c r="M107" i="26"/>
  <c r="P105" i="26"/>
  <c r="M105" i="26"/>
  <c r="N105" i="26"/>
  <c r="O105" i="26"/>
  <c r="N103" i="26"/>
  <c r="O103" i="26"/>
  <c r="M103" i="26"/>
  <c r="P103" i="26"/>
  <c r="P101" i="26"/>
  <c r="M101" i="26"/>
  <c r="N101" i="26"/>
  <c r="O101" i="26"/>
  <c r="N99" i="26"/>
  <c r="O99" i="26"/>
  <c r="P99" i="26"/>
  <c r="M99" i="26"/>
  <c r="P97" i="26"/>
  <c r="M97" i="26"/>
  <c r="N97" i="26"/>
  <c r="O97" i="26"/>
  <c r="N95" i="26"/>
  <c r="O95" i="26"/>
  <c r="P95" i="26"/>
  <c r="M95" i="26"/>
  <c r="P93" i="26"/>
  <c r="M93" i="26"/>
  <c r="N93" i="26"/>
  <c r="O93" i="26"/>
  <c r="N91" i="26"/>
  <c r="O91" i="26"/>
  <c r="P91" i="26"/>
  <c r="M91" i="26"/>
  <c r="P89" i="26"/>
  <c r="M89" i="26"/>
  <c r="N89" i="26"/>
  <c r="O89" i="26"/>
  <c r="N87" i="26"/>
  <c r="O87" i="26"/>
  <c r="M87" i="26"/>
  <c r="P87" i="26"/>
  <c r="P170" i="26"/>
  <c r="N170" i="26"/>
  <c r="O170" i="26"/>
  <c r="M170" i="26"/>
  <c r="P182" i="26"/>
  <c r="M182" i="26"/>
  <c r="N182" i="26"/>
  <c r="O182" i="26"/>
  <c r="P190" i="26"/>
  <c r="M190" i="26"/>
  <c r="N190" i="26"/>
  <c r="O190" i="26"/>
  <c r="P194" i="26"/>
  <c r="N194" i="26"/>
  <c r="O194" i="26"/>
  <c r="M194" i="26"/>
  <c r="P202" i="26"/>
  <c r="N202" i="26"/>
  <c r="O202" i="26"/>
  <c r="M202" i="26"/>
  <c r="P206" i="26"/>
  <c r="M206" i="26"/>
  <c r="N206" i="26"/>
  <c r="O206" i="26"/>
  <c r="M214" i="26"/>
  <c r="P214" i="26"/>
  <c r="N214" i="26"/>
  <c r="O214" i="26"/>
  <c r="M222" i="26"/>
  <c r="P222" i="26"/>
  <c r="N222" i="26"/>
  <c r="O222" i="26"/>
  <c r="P226" i="26"/>
  <c r="N226" i="26"/>
  <c r="O226" i="26"/>
  <c r="M226" i="26"/>
  <c r="M238" i="26"/>
  <c r="P238" i="26"/>
  <c r="N238" i="26"/>
  <c r="O238" i="26"/>
  <c r="M167" i="26"/>
  <c r="N167" i="26"/>
  <c r="O167" i="26"/>
  <c r="P167" i="26"/>
  <c r="M179" i="26"/>
  <c r="P179" i="26"/>
  <c r="N179" i="26"/>
  <c r="O179" i="26"/>
  <c r="M183" i="26"/>
  <c r="N183" i="26"/>
  <c r="O183" i="26"/>
  <c r="P183" i="26"/>
  <c r="M187" i="26"/>
  <c r="P187" i="26"/>
  <c r="N187" i="26"/>
  <c r="O187" i="26"/>
  <c r="M195" i="26"/>
  <c r="P195" i="26"/>
  <c r="N195" i="26"/>
  <c r="O195" i="26"/>
  <c r="M203" i="26"/>
  <c r="P203" i="26"/>
  <c r="N203" i="26"/>
  <c r="O203" i="26"/>
  <c r="M211" i="26"/>
  <c r="N211" i="26"/>
  <c r="O211" i="26"/>
  <c r="P211" i="26"/>
  <c r="M219" i="26"/>
  <c r="N219" i="26"/>
  <c r="O219" i="26"/>
  <c r="P219" i="26"/>
  <c r="M231" i="26"/>
  <c r="N231" i="26"/>
  <c r="O231" i="26"/>
  <c r="P231" i="26"/>
  <c r="M235" i="26"/>
  <c r="N235" i="26"/>
  <c r="O235" i="26"/>
  <c r="P235" i="26"/>
  <c r="P168" i="26"/>
  <c r="N168" i="26"/>
  <c r="O168" i="26"/>
  <c r="M168" i="26"/>
  <c r="P172" i="26"/>
  <c r="N172" i="26"/>
  <c r="O172" i="26"/>
  <c r="M172" i="26"/>
  <c r="P176" i="26"/>
  <c r="N176" i="26"/>
  <c r="O176" i="26"/>
  <c r="M176" i="26"/>
  <c r="P180" i="26"/>
  <c r="N180" i="26"/>
  <c r="O180" i="26"/>
  <c r="M180" i="26"/>
  <c r="P184" i="26"/>
  <c r="N184" i="26"/>
  <c r="O184" i="26"/>
  <c r="M184" i="26"/>
  <c r="P188" i="26"/>
  <c r="N188" i="26"/>
  <c r="O188" i="26"/>
  <c r="M188" i="26"/>
  <c r="P192" i="26"/>
  <c r="N192" i="26"/>
  <c r="O192" i="26"/>
  <c r="M192" i="26"/>
  <c r="P196" i="26"/>
  <c r="N196" i="26"/>
  <c r="O196" i="26"/>
  <c r="M196" i="26"/>
  <c r="P200" i="26"/>
  <c r="N200" i="26"/>
  <c r="O200" i="26"/>
  <c r="M200" i="26"/>
  <c r="P204" i="26"/>
  <c r="N204" i="26"/>
  <c r="O204" i="26"/>
  <c r="M204" i="26"/>
  <c r="P208" i="26"/>
  <c r="N208" i="26"/>
  <c r="O208" i="26"/>
  <c r="M208" i="26"/>
  <c r="P212" i="26"/>
  <c r="N212" i="26"/>
  <c r="O212" i="26"/>
  <c r="M212" i="26"/>
  <c r="P216" i="26"/>
  <c r="N216" i="26"/>
  <c r="O216" i="26"/>
  <c r="M216" i="26"/>
  <c r="P220" i="26"/>
  <c r="N220" i="26"/>
  <c r="O220" i="26"/>
  <c r="M220" i="26"/>
  <c r="P224" i="26"/>
  <c r="N224" i="26"/>
  <c r="O224" i="26"/>
  <c r="M224" i="26"/>
  <c r="P228" i="26"/>
  <c r="N228" i="26"/>
  <c r="O228" i="26"/>
  <c r="M228" i="26"/>
  <c r="P232" i="26"/>
  <c r="N232" i="26"/>
  <c r="O232" i="26"/>
  <c r="M232" i="26"/>
  <c r="P236" i="26"/>
  <c r="N236" i="26"/>
  <c r="O236" i="26"/>
  <c r="M236" i="26"/>
  <c r="P166" i="26"/>
  <c r="M166" i="26"/>
  <c r="N166" i="26"/>
  <c r="O166" i="26"/>
  <c r="P174" i="26"/>
  <c r="M174" i="26"/>
  <c r="N174" i="26"/>
  <c r="O174" i="26"/>
  <c r="P178" i="26"/>
  <c r="N178" i="26"/>
  <c r="O178" i="26"/>
  <c r="M178" i="26"/>
  <c r="P186" i="26"/>
  <c r="N186" i="26"/>
  <c r="O186" i="26"/>
  <c r="M186" i="26"/>
  <c r="P198" i="26"/>
  <c r="M198" i="26"/>
  <c r="N198" i="26"/>
  <c r="O198" i="26"/>
  <c r="P210" i="26"/>
  <c r="N210" i="26"/>
  <c r="O210" i="26"/>
  <c r="M210" i="26"/>
  <c r="P218" i="26"/>
  <c r="N218" i="26"/>
  <c r="O218" i="26"/>
  <c r="M218" i="26"/>
  <c r="M230" i="26"/>
  <c r="P230" i="26"/>
  <c r="N230" i="26"/>
  <c r="O230" i="26"/>
  <c r="P234" i="26"/>
  <c r="N234" i="26"/>
  <c r="O234" i="26"/>
  <c r="M234" i="26"/>
  <c r="M171" i="26"/>
  <c r="P171" i="26"/>
  <c r="N171" i="26"/>
  <c r="O171" i="26"/>
  <c r="M175" i="26"/>
  <c r="N175" i="26"/>
  <c r="O175" i="26"/>
  <c r="P175" i="26"/>
  <c r="M191" i="26"/>
  <c r="N191" i="26"/>
  <c r="O191" i="26"/>
  <c r="P191" i="26"/>
  <c r="M199" i="26"/>
  <c r="N199" i="26"/>
  <c r="O199" i="26"/>
  <c r="P199" i="26"/>
  <c r="M207" i="26"/>
  <c r="N207" i="26"/>
  <c r="O207" i="26"/>
  <c r="P207" i="26"/>
  <c r="M215" i="26"/>
  <c r="N215" i="26"/>
  <c r="O215" i="26"/>
  <c r="P215" i="26"/>
  <c r="M223" i="26"/>
  <c r="N223" i="26"/>
  <c r="O223" i="26"/>
  <c r="P223" i="26"/>
  <c r="M227" i="26"/>
  <c r="N227" i="26"/>
  <c r="O227" i="26"/>
  <c r="P227" i="26"/>
  <c r="M239" i="26"/>
  <c r="N239" i="26"/>
  <c r="O239" i="26"/>
  <c r="P239" i="26"/>
  <c r="P165" i="26"/>
  <c r="N165" i="26"/>
  <c r="O165" i="26"/>
  <c r="M165" i="26"/>
  <c r="P169" i="26"/>
  <c r="N169" i="26"/>
  <c r="O169" i="26"/>
  <c r="M169" i="26"/>
  <c r="P173" i="26"/>
  <c r="N173" i="26"/>
  <c r="O173" i="26"/>
  <c r="M173" i="26"/>
  <c r="P177" i="26"/>
  <c r="N177" i="26"/>
  <c r="O177" i="26"/>
  <c r="M177" i="26"/>
  <c r="P181" i="26"/>
  <c r="N181" i="26"/>
  <c r="O181" i="26"/>
  <c r="M181" i="26"/>
  <c r="P185" i="26"/>
  <c r="N185" i="26"/>
  <c r="O185" i="26"/>
  <c r="M185" i="26"/>
  <c r="P189" i="26"/>
  <c r="N189" i="26"/>
  <c r="O189" i="26"/>
  <c r="M189" i="26"/>
  <c r="P193" i="26"/>
  <c r="N193" i="26"/>
  <c r="O193" i="26"/>
  <c r="M193" i="26"/>
  <c r="P197" i="26"/>
  <c r="N197" i="26"/>
  <c r="O197" i="26"/>
  <c r="M197" i="26"/>
  <c r="P201" i="26"/>
  <c r="N201" i="26"/>
  <c r="O201" i="26"/>
  <c r="M201" i="26"/>
  <c r="P205" i="26"/>
  <c r="N205" i="26"/>
  <c r="O205" i="26"/>
  <c r="M205" i="26"/>
  <c r="P209" i="26"/>
  <c r="N209" i="26"/>
  <c r="O209" i="26"/>
  <c r="M209" i="26"/>
  <c r="P213" i="26"/>
  <c r="N213" i="26"/>
  <c r="O213" i="26"/>
  <c r="M213" i="26"/>
  <c r="P217" i="26"/>
  <c r="N217" i="26"/>
  <c r="O217" i="26"/>
  <c r="M217" i="26"/>
  <c r="P221" i="26"/>
  <c r="N221" i="26"/>
  <c r="O221" i="26"/>
  <c r="M221" i="26"/>
  <c r="P225" i="26"/>
  <c r="N225" i="26"/>
  <c r="O225" i="26"/>
  <c r="M225" i="26"/>
  <c r="P229" i="26"/>
  <c r="N229" i="26"/>
  <c r="O229" i="26"/>
  <c r="M229" i="26"/>
  <c r="P233" i="26"/>
  <c r="N233" i="26"/>
  <c r="O233" i="26"/>
  <c r="M233" i="26"/>
  <c r="P237" i="26"/>
  <c r="N237" i="26"/>
  <c r="O237" i="26"/>
  <c r="M237" i="26"/>
  <c r="M163" i="26"/>
  <c r="P163" i="26"/>
  <c r="N163" i="26"/>
  <c r="O163" i="26"/>
  <c r="M164" i="26"/>
  <c r="P164" i="26"/>
  <c r="N164" i="26"/>
  <c r="O164" i="26"/>
  <c r="M162" i="26"/>
  <c r="P162" i="26"/>
  <c r="N162" i="26"/>
  <c r="O162" i="26"/>
  <c r="P315" i="26"/>
  <c r="N315" i="26"/>
  <c r="O315" i="26"/>
  <c r="M315" i="26"/>
  <c r="P311" i="26"/>
  <c r="N311" i="26"/>
  <c r="O311" i="26"/>
  <c r="M311" i="26"/>
  <c r="P307" i="26"/>
  <c r="N307" i="26"/>
  <c r="O307" i="26"/>
  <c r="M307" i="26"/>
  <c r="P303" i="26"/>
  <c r="N303" i="26"/>
  <c r="O303" i="26"/>
  <c r="M303" i="26"/>
  <c r="P299" i="26"/>
  <c r="N299" i="26"/>
  <c r="O299" i="26"/>
  <c r="M299" i="26"/>
  <c r="P295" i="26"/>
  <c r="N295" i="26"/>
  <c r="O295" i="26"/>
  <c r="M295" i="26"/>
  <c r="P291" i="26"/>
  <c r="N291" i="26"/>
  <c r="O291" i="26"/>
  <c r="M291" i="26"/>
  <c r="P287" i="26"/>
  <c r="N287" i="26"/>
  <c r="O287" i="26"/>
  <c r="M287" i="26"/>
  <c r="P283" i="26"/>
  <c r="N283" i="26"/>
  <c r="O283" i="26"/>
  <c r="M283" i="26"/>
  <c r="P279" i="26"/>
  <c r="N279" i="26"/>
  <c r="O279" i="26"/>
  <c r="M279" i="26"/>
  <c r="P275" i="26"/>
  <c r="N275" i="26"/>
  <c r="O275" i="26"/>
  <c r="M275" i="26"/>
  <c r="P271" i="26"/>
  <c r="N271" i="26"/>
  <c r="O271" i="26"/>
  <c r="M271" i="26"/>
  <c r="P267" i="26"/>
  <c r="N267" i="26"/>
  <c r="O267" i="26"/>
  <c r="M267" i="26"/>
  <c r="P263" i="26"/>
  <c r="N263" i="26"/>
  <c r="O263" i="26"/>
  <c r="M263" i="26"/>
  <c r="P259" i="26"/>
  <c r="N259" i="26"/>
  <c r="O259" i="26"/>
  <c r="M259" i="26"/>
  <c r="P255" i="26"/>
  <c r="N255" i="26"/>
  <c r="O255" i="26"/>
  <c r="M255" i="26"/>
  <c r="P251" i="26"/>
  <c r="N251" i="26"/>
  <c r="O251" i="26"/>
  <c r="M251" i="26"/>
  <c r="P247" i="26"/>
  <c r="N247" i="26"/>
  <c r="O247" i="26"/>
  <c r="M247" i="26"/>
  <c r="P243" i="26"/>
  <c r="N243" i="26"/>
  <c r="O243" i="26"/>
  <c r="M243" i="26"/>
  <c r="M316" i="26"/>
  <c r="P316" i="26"/>
  <c r="N316" i="26"/>
  <c r="O316" i="26"/>
  <c r="M308" i="26"/>
  <c r="P308" i="26"/>
  <c r="N308" i="26"/>
  <c r="O308" i="26"/>
  <c r="M300" i="26"/>
  <c r="P300" i="26"/>
  <c r="N300" i="26"/>
  <c r="O300" i="26"/>
  <c r="M296" i="26"/>
  <c r="P296" i="26"/>
  <c r="N296" i="26"/>
  <c r="O296" i="26"/>
  <c r="M288" i="26"/>
  <c r="P288" i="26"/>
  <c r="N288" i="26"/>
  <c r="O288" i="26"/>
  <c r="M280" i="26"/>
  <c r="P280" i="26"/>
  <c r="N280" i="26"/>
  <c r="O280" i="26"/>
  <c r="M272" i="26"/>
  <c r="P272" i="26"/>
  <c r="N272" i="26"/>
  <c r="O272" i="26"/>
  <c r="M268" i="26"/>
  <c r="P268" i="26"/>
  <c r="N268" i="26"/>
  <c r="O268" i="26"/>
  <c r="M260" i="26"/>
  <c r="P260" i="26"/>
  <c r="N260" i="26"/>
  <c r="O260" i="26"/>
  <c r="M252" i="26"/>
  <c r="P252" i="26"/>
  <c r="N252" i="26"/>
  <c r="O252" i="26"/>
  <c r="M244" i="26"/>
  <c r="P244" i="26"/>
  <c r="N244" i="26"/>
  <c r="O244" i="26"/>
  <c r="M314" i="26"/>
  <c r="P314" i="26"/>
  <c r="N314" i="26"/>
  <c r="O314" i="26"/>
  <c r="M310" i="26"/>
  <c r="N310" i="26"/>
  <c r="O310" i="26"/>
  <c r="P310" i="26"/>
  <c r="M306" i="26"/>
  <c r="N306" i="26"/>
  <c r="O306" i="26"/>
  <c r="P306" i="26"/>
  <c r="M302" i="26"/>
  <c r="P302" i="26"/>
  <c r="N302" i="26"/>
  <c r="O302" i="26"/>
  <c r="M298" i="26"/>
  <c r="P298" i="26"/>
  <c r="N298" i="26"/>
  <c r="O298" i="26"/>
  <c r="P294" i="26"/>
  <c r="M294" i="26"/>
  <c r="N294" i="26"/>
  <c r="O294" i="26"/>
  <c r="M290" i="26"/>
  <c r="P290" i="26"/>
  <c r="N290" i="26"/>
  <c r="O290" i="26"/>
  <c r="P286" i="26"/>
  <c r="M286" i="26"/>
  <c r="N286" i="26"/>
  <c r="O286" i="26"/>
  <c r="P282" i="26"/>
  <c r="M282" i="26"/>
  <c r="N282" i="26"/>
  <c r="O282" i="26"/>
  <c r="P278" i="26"/>
  <c r="M278" i="26"/>
  <c r="N278" i="26"/>
  <c r="O278" i="26"/>
  <c r="P274" i="26"/>
  <c r="M274" i="26"/>
  <c r="N274" i="26"/>
  <c r="O274" i="26"/>
  <c r="P270" i="26"/>
  <c r="M270" i="26"/>
  <c r="N270" i="26"/>
  <c r="O270" i="26"/>
  <c r="P266" i="26"/>
  <c r="M266" i="26"/>
  <c r="N266" i="26"/>
  <c r="O266" i="26"/>
  <c r="P262" i="26"/>
  <c r="M262" i="26"/>
  <c r="N262" i="26"/>
  <c r="O262" i="26"/>
  <c r="P258" i="26"/>
  <c r="M258" i="26"/>
  <c r="N258" i="26"/>
  <c r="O258" i="26"/>
  <c r="P254" i="26"/>
  <c r="M254" i="26"/>
  <c r="N254" i="26"/>
  <c r="O254" i="26"/>
  <c r="P250" i="26"/>
  <c r="M250" i="26"/>
  <c r="N250" i="26"/>
  <c r="O250" i="26"/>
  <c r="P246" i="26"/>
  <c r="M246" i="26"/>
  <c r="N246" i="26"/>
  <c r="O246" i="26"/>
  <c r="M312" i="26"/>
  <c r="P312" i="26"/>
  <c r="N312" i="26"/>
  <c r="O312" i="26"/>
  <c r="M304" i="26"/>
  <c r="P304" i="26"/>
  <c r="N304" i="26"/>
  <c r="O304" i="26"/>
  <c r="M292" i="26"/>
  <c r="P292" i="26"/>
  <c r="N292" i="26"/>
  <c r="O292" i="26"/>
  <c r="M284" i="26"/>
  <c r="P284" i="26"/>
  <c r="N284" i="26"/>
  <c r="O284" i="26"/>
  <c r="M276" i="26"/>
  <c r="P276" i="26"/>
  <c r="N276" i="26"/>
  <c r="O276" i="26"/>
  <c r="M264" i="26"/>
  <c r="P264" i="26"/>
  <c r="N264" i="26"/>
  <c r="O264" i="26"/>
  <c r="M256" i="26"/>
  <c r="P256" i="26"/>
  <c r="N256" i="26"/>
  <c r="O256" i="26"/>
  <c r="M248" i="26"/>
  <c r="P248" i="26"/>
  <c r="N248" i="26"/>
  <c r="O248" i="26"/>
  <c r="M317" i="26"/>
  <c r="P317" i="26"/>
  <c r="N317" i="26"/>
  <c r="O317" i="26"/>
  <c r="M313" i="26"/>
  <c r="P313" i="26"/>
  <c r="N313" i="26"/>
  <c r="O313" i="26"/>
  <c r="M309" i="26"/>
  <c r="P309" i="26"/>
  <c r="N309" i="26"/>
  <c r="O309" i="26"/>
  <c r="M305" i="26"/>
  <c r="P305" i="26"/>
  <c r="N305" i="26"/>
  <c r="O305" i="26"/>
  <c r="M301" i="26"/>
  <c r="P301" i="26"/>
  <c r="N301" i="26"/>
  <c r="O301" i="26"/>
  <c r="M297" i="26"/>
  <c r="P297" i="26"/>
  <c r="N297" i="26"/>
  <c r="O297" i="26"/>
  <c r="M293" i="26"/>
  <c r="P293" i="26"/>
  <c r="N293" i="26"/>
  <c r="O293" i="26"/>
  <c r="M289" i="26"/>
  <c r="P289" i="26"/>
  <c r="N289" i="26"/>
  <c r="O289" i="26"/>
  <c r="M285" i="26"/>
  <c r="P285" i="26"/>
  <c r="N285" i="26"/>
  <c r="O285" i="26"/>
  <c r="M281" i="26"/>
  <c r="P281" i="26"/>
  <c r="N281" i="26"/>
  <c r="O281" i="26"/>
  <c r="M277" i="26"/>
  <c r="P277" i="26"/>
  <c r="N277" i="26"/>
  <c r="O277" i="26"/>
  <c r="M273" i="26"/>
  <c r="P273" i="26"/>
  <c r="N273" i="26"/>
  <c r="O273" i="26"/>
  <c r="M269" i="26"/>
  <c r="P269" i="26"/>
  <c r="N269" i="26"/>
  <c r="O269" i="26"/>
  <c r="M265" i="26"/>
  <c r="P265" i="26"/>
  <c r="N265" i="26"/>
  <c r="O265" i="26"/>
  <c r="M261" i="26"/>
  <c r="P261" i="26"/>
  <c r="N261" i="26"/>
  <c r="O261" i="26"/>
  <c r="M257" i="26"/>
  <c r="P257" i="26"/>
  <c r="N257" i="26"/>
  <c r="O257" i="26"/>
  <c r="M253" i="26"/>
  <c r="P253" i="26"/>
  <c r="N253" i="26"/>
  <c r="O253" i="26"/>
  <c r="M249" i="26"/>
  <c r="P249" i="26"/>
  <c r="N249" i="26"/>
  <c r="O249" i="26"/>
  <c r="M245" i="26"/>
  <c r="P245" i="26"/>
  <c r="N245" i="26"/>
  <c r="O245" i="26"/>
  <c r="P242" i="26"/>
  <c r="N242" i="26"/>
  <c r="O242" i="26"/>
  <c r="M242" i="26"/>
  <c r="P241" i="26"/>
  <c r="N241" i="26"/>
  <c r="O241" i="26"/>
  <c r="M241" i="26"/>
  <c r="M395" i="26"/>
  <c r="N395" i="26"/>
  <c r="O395" i="26"/>
  <c r="P395" i="26"/>
  <c r="P383" i="26"/>
  <c r="N383" i="26"/>
  <c r="O383" i="26"/>
  <c r="M383" i="26"/>
  <c r="P371" i="26"/>
  <c r="N371" i="26"/>
  <c r="O371" i="26"/>
  <c r="M371" i="26"/>
  <c r="M363" i="26"/>
  <c r="P363" i="26"/>
  <c r="N363" i="26"/>
  <c r="O363" i="26"/>
  <c r="P359" i="26"/>
  <c r="N359" i="26"/>
  <c r="O359" i="26"/>
  <c r="M359" i="26"/>
  <c r="M347" i="26"/>
  <c r="P347" i="26"/>
  <c r="N347" i="26"/>
  <c r="O347" i="26"/>
  <c r="P335" i="26"/>
  <c r="N335" i="26"/>
  <c r="O335" i="26"/>
  <c r="M335" i="26"/>
  <c r="N323" i="26"/>
  <c r="O323" i="26"/>
  <c r="P323" i="26"/>
  <c r="M323" i="26"/>
  <c r="P392" i="26"/>
  <c r="N392" i="26"/>
  <c r="O392" i="26"/>
  <c r="M392" i="26"/>
  <c r="P388" i="26"/>
  <c r="N388" i="26"/>
  <c r="O388" i="26"/>
  <c r="M388" i="26"/>
  <c r="P384" i="26"/>
  <c r="M384" i="26"/>
  <c r="N384" i="26"/>
  <c r="O384" i="26"/>
  <c r="P380" i="26"/>
  <c r="N380" i="26"/>
  <c r="O380" i="26"/>
  <c r="M380" i="26"/>
  <c r="P376" i="26"/>
  <c r="N376" i="26"/>
  <c r="O376" i="26"/>
  <c r="M376" i="26"/>
  <c r="P372" i="26"/>
  <c r="N372" i="26"/>
  <c r="O372" i="26"/>
  <c r="M372" i="26"/>
  <c r="P368" i="26"/>
  <c r="M368" i="26"/>
  <c r="N368" i="26"/>
  <c r="O368" i="26"/>
  <c r="P364" i="26"/>
  <c r="N364" i="26"/>
  <c r="O364" i="26"/>
  <c r="M364" i="26"/>
  <c r="P360" i="26"/>
  <c r="N360" i="26"/>
  <c r="O360" i="26"/>
  <c r="M360" i="26"/>
  <c r="P356" i="26"/>
  <c r="N356" i="26"/>
  <c r="O356" i="26"/>
  <c r="M356" i="26"/>
  <c r="P352" i="26"/>
  <c r="M352" i="26"/>
  <c r="N352" i="26"/>
  <c r="O352" i="26"/>
  <c r="P348" i="26"/>
  <c r="N348" i="26"/>
  <c r="O348" i="26"/>
  <c r="M348" i="26"/>
  <c r="P344" i="26"/>
  <c r="N344" i="26"/>
  <c r="O344" i="26"/>
  <c r="M344" i="26"/>
  <c r="P340" i="26"/>
  <c r="N340" i="26"/>
  <c r="O340" i="26"/>
  <c r="M340" i="26"/>
  <c r="P336" i="26"/>
  <c r="M336" i="26"/>
  <c r="N336" i="26"/>
  <c r="O336" i="26"/>
  <c r="P332" i="26"/>
  <c r="N332" i="26"/>
  <c r="O332" i="26"/>
  <c r="M332" i="26"/>
  <c r="P328" i="26"/>
  <c r="N328" i="26"/>
  <c r="O328" i="26"/>
  <c r="M328" i="26"/>
  <c r="P324" i="26"/>
  <c r="N324" i="26"/>
  <c r="O324" i="26"/>
  <c r="M324" i="26"/>
  <c r="P391" i="26"/>
  <c r="N391" i="26"/>
  <c r="O391" i="26"/>
  <c r="M391" i="26"/>
  <c r="M379" i="26"/>
  <c r="P379" i="26"/>
  <c r="N379" i="26"/>
  <c r="O379" i="26"/>
  <c r="P367" i="26"/>
  <c r="N367" i="26"/>
  <c r="O367" i="26"/>
  <c r="M367" i="26"/>
  <c r="N355" i="26"/>
  <c r="O355" i="26"/>
  <c r="P355" i="26"/>
  <c r="M355" i="26"/>
  <c r="P343" i="26"/>
  <c r="N343" i="26"/>
  <c r="O343" i="26"/>
  <c r="M343" i="26"/>
  <c r="N339" i="26"/>
  <c r="O339" i="26"/>
  <c r="P339" i="26"/>
  <c r="M339" i="26"/>
  <c r="P327" i="26"/>
  <c r="N327" i="26"/>
  <c r="O327" i="26"/>
  <c r="M327" i="26"/>
  <c r="N394" i="26"/>
  <c r="O394" i="26"/>
  <c r="M394" i="26"/>
  <c r="P394" i="26"/>
  <c r="N390" i="26"/>
  <c r="O390" i="26"/>
  <c r="M390" i="26"/>
  <c r="P390" i="26"/>
  <c r="N386" i="26"/>
  <c r="O386" i="26"/>
  <c r="M386" i="26"/>
  <c r="P386" i="26"/>
  <c r="N382" i="26"/>
  <c r="O382" i="26"/>
  <c r="M382" i="26"/>
  <c r="P382" i="26"/>
  <c r="N378" i="26"/>
  <c r="O378" i="26"/>
  <c r="M378" i="26"/>
  <c r="P378" i="26"/>
  <c r="N374" i="26"/>
  <c r="O374" i="26"/>
  <c r="M374" i="26"/>
  <c r="P374" i="26"/>
  <c r="N370" i="26"/>
  <c r="O370" i="26"/>
  <c r="M370" i="26"/>
  <c r="P370" i="26"/>
  <c r="N366" i="26"/>
  <c r="O366" i="26"/>
  <c r="M366" i="26"/>
  <c r="P366" i="26"/>
  <c r="N362" i="26"/>
  <c r="O362" i="26"/>
  <c r="M362" i="26"/>
  <c r="P362" i="26"/>
  <c r="N358" i="26"/>
  <c r="O358" i="26"/>
  <c r="M358" i="26"/>
  <c r="P358" i="26"/>
  <c r="N354" i="26"/>
  <c r="O354" i="26"/>
  <c r="M354" i="26"/>
  <c r="P354" i="26"/>
  <c r="N350" i="26"/>
  <c r="O350" i="26"/>
  <c r="M350" i="26"/>
  <c r="P350" i="26"/>
  <c r="N346" i="26"/>
  <c r="O346" i="26"/>
  <c r="M346" i="26"/>
  <c r="P346" i="26"/>
  <c r="N342" i="26"/>
  <c r="O342" i="26"/>
  <c r="M342" i="26"/>
  <c r="P342" i="26"/>
  <c r="N338" i="26"/>
  <c r="O338" i="26"/>
  <c r="M338" i="26"/>
  <c r="P338" i="26"/>
  <c r="N334" i="26"/>
  <c r="O334" i="26"/>
  <c r="M334" i="26"/>
  <c r="P334" i="26"/>
  <c r="N330" i="26"/>
  <c r="O330" i="26"/>
  <c r="M330" i="26"/>
  <c r="P330" i="26"/>
  <c r="N326" i="26"/>
  <c r="O326" i="26"/>
  <c r="M326" i="26"/>
  <c r="P326" i="26"/>
  <c r="N322" i="26"/>
  <c r="O322" i="26"/>
  <c r="M322" i="26"/>
  <c r="P322" i="26"/>
  <c r="P387" i="26"/>
  <c r="N387" i="26"/>
  <c r="O387" i="26"/>
  <c r="M387" i="26"/>
  <c r="P375" i="26"/>
  <c r="N375" i="26"/>
  <c r="O375" i="26"/>
  <c r="M375" i="26"/>
  <c r="P351" i="26"/>
  <c r="N351" i="26"/>
  <c r="O351" i="26"/>
  <c r="M351" i="26"/>
  <c r="M331" i="26"/>
  <c r="P331" i="26"/>
  <c r="N331" i="26"/>
  <c r="O331" i="26"/>
  <c r="P393" i="26"/>
  <c r="N393" i="26"/>
  <c r="O393" i="26"/>
  <c r="M393" i="26"/>
  <c r="M389" i="26"/>
  <c r="P389" i="26"/>
  <c r="N389" i="26"/>
  <c r="O389" i="26"/>
  <c r="N385" i="26"/>
  <c r="O385" i="26"/>
  <c r="M385" i="26"/>
  <c r="P385" i="26"/>
  <c r="P381" i="26"/>
  <c r="N381" i="26"/>
  <c r="O381" i="26"/>
  <c r="M381" i="26"/>
  <c r="P377" i="26"/>
  <c r="N377" i="26"/>
  <c r="O377" i="26"/>
  <c r="M377" i="26"/>
  <c r="M373" i="26"/>
  <c r="P373" i="26"/>
  <c r="N373" i="26"/>
  <c r="O373" i="26"/>
  <c r="N369" i="26"/>
  <c r="O369" i="26"/>
  <c r="M369" i="26"/>
  <c r="P369" i="26"/>
  <c r="P365" i="26"/>
  <c r="N365" i="26"/>
  <c r="O365" i="26"/>
  <c r="M365" i="26"/>
  <c r="P361" i="26"/>
  <c r="N361" i="26"/>
  <c r="O361" i="26"/>
  <c r="M361" i="26"/>
  <c r="P357" i="26"/>
  <c r="M357" i="26"/>
  <c r="N357" i="26"/>
  <c r="O357" i="26"/>
  <c r="P353" i="26"/>
  <c r="N353" i="26"/>
  <c r="O353" i="26"/>
  <c r="M353" i="26"/>
  <c r="P349" i="26"/>
  <c r="N349" i="26"/>
  <c r="O349" i="26"/>
  <c r="M349" i="26"/>
  <c r="P345" i="26"/>
  <c r="N345" i="26"/>
  <c r="O345" i="26"/>
  <c r="M345" i="26"/>
  <c r="P341" i="26"/>
  <c r="M341" i="26"/>
  <c r="N341" i="26"/>
  <c r="O341" i="26"/>
  <c r="P337" i="26"/>
  <c r="N337" i="26"/>
  <c r="O337" i="26"/>
  <c r="M337" i="26"/>
  <c r="P333" i="26"/>
  <c r="N333" i="26"/>
  <c r="O333" i="26"/>
  <c r="M333" i="26"/>
  <c r="P329" i="26"/>
  <c r="N329" i="26"/>
  <c r="O329" i="26"/>
  <c r="M329" i="26"/>
  <c r="P325" i="26"/>
  <c r="M325" i="26"/>
  <c r="N325" i="26"/>
  <c r="O325" i="26"/>
  <c r="P321" i="26"/>
  <c r="N321" i="26"/>
  <c r="O321" i="26"/>
  <c r="M321" i="26"/>
  <c r="N320" i="26"/>
  <c r="O320" i="26"/>
  <c r="P320" i="26"/>
  <c r="M320" i="26"/>
  <c r="P319" i="26"/>
  <c r="M319" i="26"/>
  <c r="N319" i="26"/>
  <c r="O319" i="26"/>
  <c r="P468" i="26"/>
  <c r="N468" i="26"/>
  <c r="O468" i="26"/>
  <c r="M468" i="26"/>
  <c r="P452" i="26"/>
  <c r="N452" i="26"/>
  <c r="O452" i="26"/>
  <c r="M452" i="26"/>
  <c r="P436" i="26"/>
  <c r="N436" i="26"/>
  <c r="O436" i="26"/>
  <c r="M436" i="26"/>
  <c r="P424" i="26"/>
  <c r="N424" i="26"/>
  <c r="O424" i="26"/>
  <c r="M424" i="26"/>
  <c r="P412" i="26"/>
  <c r="N412" i="26"/>
  <c r="O412" i="26"/>
  <c r="M412" i="26"/>
  <c r="P404" i="26"/>
  <c r="N404" i="26"/>
  <c r="O404" i="26"/>
  <c r="M404" i="26"/>
  <c r="M471" i="26"/>
  <c r="N471" i="26"/>
  <c r="O471" i="26"/>
  <c r="P471" i="26"/>
  <c r="M467" i="26"/>
  <c r="N467" i="26"/>
  <c r="O467" i="26"/>
  <c r="P467" i="26"/>
  <c r="M463" i="26"/>
  <c r="P463" i="26"/>
  <c r="N463" i="26"/>
  <c r="O463" i="26"/>
  <c r="M459" i="26"/>
  <c r="N459" i="26"/>
  <c r="O459" i="26"/>
  <c r="P459" i="26"/>
  <c r="M455" i="26"/>
  <c r="N455" i="26"/>
  <c r="O455" i="26"/>
  <c r="P455" i="26"/>
  <c r="M451" i="26"/>
  <c r="N451" i="26"/>
  <c r="O451" i="26"/>
  <c r="P451" i="26"/>
  <c r="M447" i="26"/>
  <c r="N447" i="26"/>
  <c r="O447" i="26"/>
  <c r="P447" i="26"/>
  <c r="M443" i="26"/>
  <c r="N443" i="26"/>
  <c r="O443" i="26"/>
  <c r="P443" i="26"/>
  <c r="M439" i="26"/>
  <c r="P439" i="26"/>
  <c r="N439" i="26"/>
  <c r="O439" i="26"/>
  <c r="M435" i="26"/>
  <c r="P435" i="26"/>
  <c r="N435" i="26"/>
  <c r="O435" i="26"/>
  <c r="M431" i="26"/>
  <c r="N431" i="26"/>
  <c r="O431" i="26"/>
  <c r="P431" i="26"/>
  <c r="M427" i="26"/>
  <c r="N427" i="26"/>
  <c r="O427" i="26"/>
  <c r="P427" i="26"/>
  <c r="M423" i="26"/>
  <c r="P423" i="26"/>
  <c r="N423" i="26"/>
  <c r="O423" i="26"/>
  <c r="M419" i="26"/>
  <c r="P419" i="26"/>
  <c r="N419" i="26"/>
  <c r="O419" i="26"/>
  <c r="M415" i="26"/>
  <c r="N415" i="26"/>
  <c r="O415" i="26"/>
  <c r="P415" i="26"/>
  <c r="M411" i="26"/>
  <c r="N411" i="26"/>
  <c r="O411" i="26"/>
  <c r="P411" i="26"/>
  <c r="M407" i="26"/>
  <c r="N407" i="26"/>
  <c r="O407" i="26"/>
  <c r="P407" i="26"/>
  <c r="M403" i="26"/>
  <c r="P403" i="26"/>
  <c r="N403" i="26"/>
  <c r="O403" i="26"/>
  <c r="M399" i="26"/>
  <c r="P399" i="26"/>
  <c r="N399" i="26"/>
  <c r="O399" i="26"/>
  <c r="P472" i="26"/>
  <c r="N472" i="26"/>
  <c r="O472" i="26"/>
  <c r="M472" i="26"/>
  <c r="P460" i="26"/>
  <c r="N460" i="26"/>
  <c r="O460" i="26"/>
  <c r="M460" i="26"/>
  <c r="P456" i="26"/>
  <c r="N456" i="26"/>
  <c r="O456" i="26"/>
  <c r="M456" i="26"/>
  <c r="P444" i="26"/>
  <c r="N444" i="26"/>
  <c r="O444" i="26"/>
  <c r="M444" i="26"/>
  <c r="P432" i="26"/>
  <c r="N432" i="26"/>
  <c r="O432" i="26"/>
  <c r="M432" i="26"/>
  <c r="P428" i="26"/>
  <c r="N428" i="26"/>
  <c r="O428" i="26"/>
  <c r="M428" i="26"/>
  <c r="P416" i="26"/>
  <c r="N416" i="26"/>
  <c r="O416" i="26"/>
  <c r="M416" i="26"/>
  <c r="P400" i="26"/>
  <c r="N400" i="26"/>
  <c r="O400" i="26"/>
  <c r="M400" i="26"/>
  <c r="P470" i="26"/>
  <c r="M470" i="26"/>
  <c r="N470" i="26"/>
  <c r="O470" i="26"/>
  <c r="P466" i="26"/>
  <c r="M466" i="26"/>
  <c r="N466" i="26"/>
  <c r="O466" i="26"/>
  <c r="P462" i="26"/>
  <c r="M462" i="26"/>
  <c r="N462" i="26"/>
  <c r="O462" i="26"/>
  <c r="P458" i="26"/>
  <c r="M458" i="26"/>
  <c r="N458" i="26"/>
  <c r="O458" i="26"/>
  <c r="P454" i="26"/>
  <c r="M454" i="26"/>
  <c r="N454" i="26"/>
  <c r="O454" i="26"/>
  <c r="N450" i="26"/>
  <c r="O450" i="26"/>
  <c r="P450" i="26"/>
  <c r="M450" i="26"/>
  <c r="P446" i="26"/>
  <c r="M446" i="26"/>
  <c r="N446" i="26"/>
  <c r="O446" i="26"/>
  <c r="P442" i="26"/>
  <c r="M442" i="26"/>
  <c r="N442" i="26"/>
  <c r="O442" i="26"/>
  <c r="P438" i="26"/>
  <c r="M438" i="26"/>
  <c r="N438" i="26"/>
  <c r="O438" i="26"/>
  <c r="P434" i="26"/>
  <c r="N434" i="26"/>
  <c r="O434" i="26"/>
  <c r="M434" i="26"/>
  <c r="P430" i="26"/>
  <c r="M430" i="26"/>
  <c r="N430" i="26"/>
  <c r="O430" i="26"/>
  <c r="P426" i="26"/>
  <c r="M426" i="26"/>
  <c r="N426" i="26"/>
  <c r="O426" i="26"/>
  <c r="P422" i="26"/>
  <c r="M422" i="26"/>
  <c r="N422" i="26"/>
  <c r="O422" i="26"/>
  <c r="P418" i="26"/>
  <c r="N418" i="26"/>
  <c r="O418" i="26"/>
  <c r="M418" i="26"/>
  <c r="P414" i="26"/>
  <c r="M414" i="26"/>
  <c r="N414" i="26"/>
  <c r="O414" i="26"/>
  <c r="P410" i="26"/>
  <c r="M410" i="26"/>
  <c r="N410" i="26"/>
  <c r="O410" i="26"/>
  <c r="P406" i="26"/>
  <c r="M406" i="26"/>
  <c r="N406" i="26"/>
  <c r="O406" i="26"/>
  <c r="P402" i="26"/>
  <c r="N402" i="26"/>
  <c r="O402" i="26"/>
  <c r="M402" i="26"/>
  <c r="P464" i="26"/>
  <c r="N464" i="26"/>
  <c r="O464" i="26"/>
  <c r="M464" i="26"/>
  <c r="P448" i="26"/>
  <c r="N448" i="26"/>
  <c r="O448" i="26"/>
  <c r="M448" i="26"/>
  <c r="P440" i="26"/>
  <c r="N440" i="26"/>
  <c r="O440" i="26"/>
  <c r="M440" i="26"/>
  <c r="P420" i="26"/>
  <c r="N420" i="26"/>
  <c r="O420" i="26"/>
  <c r="M420" i="26"/>
  <c r="P408" i="26"/>
  <c r="N408" i="26"/>
  <c r="O408" i="26"/>
  <c r="M408" i="26"/>
  <c r="P473" i="26"/>
  <c r="N473" i="26"/>
  <c r="O473" i="26"/>
  <c r="M473" i="26"/>
  <c r="P469" i="26"/>
  <c r="N469" i="26"/>
  <c r="O469" i="26"/>
  <c r="M469" i="26"/>
  <c r="P465" i="26"/>
  <c r="N465" i="26"/>
  <c r="O465" i="26"/>
  <c r="M465" i="26"/>
  <c r="P461" i="26"/>
  <c r="N461" i="26"/>
  <c r="O461" i="26"/>
  <c r="M461" i="26"/>
  <c r="P457" i="26"/>
  <c r="N457" i="26"/>
  <c r="O457" i="26"/>
  <c r="M457" i="26"/>
  <c r="P453" i="26"/>
  <c r="N453" i="26"/>
  <c r="O453" i="26"/>
  <c r="M453" i="26"/>
  <c r="P449" i="26"/>
  <c r="N449" i="26"/>
  <c r="O449" i="26"/>
  <c r="M449" i="26"/>
  <c r="P445" i="26"/>
  <c r="N445" i="26"/>
  <c r="O445" i="26"/>
  <c r="M445" i="26"/>
  <c r="P441" i="26"/>
  <c r="N441" i="26"/>
  <c r="O441" i="26"/>
  <c r="M441" i="26"/>
  <c r="P437" i="26"/>
  <c r="N437" i="26"/>
  <c r="O437" i="26"/>
  <c r="M437" i="26"/>
  <c r="P433" i="26"/>
  <c r="N433" i="26"/>
  <c r="O433" i="26"/>
  <c r="M433" i="26"/>
  <c r="P429" i="26"/>
  <c r="N429" i="26"/>
  <c r="O429" i="26"/>
  <c r="M429" i="26"/>
  <c r="P425" i="26"/>
  <c r="N425" i="26"/>
  <c r="O425" i="26"/>
  <c r="M425" i="26"/>
  <c r="P421" i="26"/>
  <c r="N421" i="26"/>
  <c r="O421" i="26"/>
  <c r="M421" i="26"/>
  <c r="P417" i="26"/>
  <c r="N417" i="26"/>
  <c r="O417" i="26"/>
  <c r="M417" i="26"/>
  <c r="P413" i="26"/>
  <c r="N413" i="26"/>
  <c r="O413" i="26"/>
  <c r="M413" i="26"/>
  <c r="P409" i="26"/>
  <c r="N409" i="26"/>
  <c r="O409" i="26"/>
  <c r="M409" i="26"/>
  <c r="P405" i="26"/>
  <c r="N405" i="26"/>
  <c r="O405" i="26"/>
  <c r="M405" i="26"/>
  <c r="P401" i="26"/>
  <c r="N401" i="26"/>
  <c r="O401" i="26"/>
  <c r="M401" i="26"/>
  <c r="P398" i="26"/>
  <c r="N398" i="26"/>
  <c r="O398" i="26"/>
  <c r="M398" i="26"/>
  <c r="M397" i="26"/>
  <c r="P397" i="26"/>
  <c r="N397" i="26"/>
  <c r="O397" i="26"/>
  <c r="N550" i="26"/>
  <c r="O550" i="26"/>
  <c r="P550" i="26"/>
  <c r="M550" i="26"/>
  <c r="N546" i="26"/>
  <c r="O546" i="26"/>
  <c r="P546" i="26"/>
  <c r="M546" i="26"/>
  <c r="N542" i="26"/>
  <c r="O542" i="26"/>
  <c r="M542" i="26"/>
  <c r="P542" i="26"/>
  <c r="N538" i="26"/>
  <c r="O538" i="26"/>
  <c r="P538" i="26"/>
  <c r="M538" i="26"/>
  <c r="N534" i="26"/>
  <c r="O534" i="26"/>
  <c r="P534" i="26"/>
  <c r="M534" i="26"/>
  <c r="N530" i="26"/>
  <c r="O530" i="26"/>
  <c r="M530" i="26"/>
  <c r="P530" i="26"/>
  <c r="N526" i="26"/>
  <c r="O526" i="26"/>
  <c r="M526" i="26"/>
  <c r="P526" i="26"/>
  <c r="N522" i="26"/>
  <c r="O522" i="26"/>
  <c r="P522" i="26"/>
  <c r="M522" i="26"/>
  <c r="N518" i="26"/>
  <c r="O518" i="26"/>
  <c r="M518" i="26"/>
  <c r="P518" i="26"/>
  <c r="N514" i="26"/>
  <c r="O514" i="26"/>
  <c r="P514" i="26"/>
  <c r="M514" i="26"/>
  <c r="N510" i="26"/>
  <c r="O510" i="26"/>
  <c r="M510" i="26"/>
  <c r="P510" i="26"/>
  <c r="N506" i="26"/>
  <c r="O506" i="26"/>
  <c r="P506" i="26"/>
  <c r="M506" i="26"/>
  <c r="N502" i="26"/>
  <c r="O502" i="26"/>
  <c r="M502" i="26"/>
  <c r="P502" i="26"/>
  <c r="N498" i="26"/>
  <c r="O498" i="26"/>
  <c r="P498" i="26"/>
  <c r="M498" i="26"/>
  <c r="N494" i="26"/>
  <c r="O494" i="26"/>
  <c r="M494" i="26"/>
  <c r="P494" i="26"/>
  <c r="N490" i="26"/>
  <c r="O490" i="26"/>
  <c r="P490" i="26"/>
  <c r="M490" i="26"/>
  <c r="N486" i="26"/>
  <c r="O486" i="26"/>
  <c r="M486" i="26"/>
  <c r="P486" i="26"/>
  <c r="N482" i="26"/>
  <c r="O482" i="26"/>
  <c r="P482" i="26"/>
  <c r="M482" i="26"/>
  <c r="N478" i="26"/>
  <c r="O478" i="26"/>
  <c r="M478" i="26"/>
  <c r="P478" i="26"/>
  <c r="P548" i="26"/>
  <c r="M548" i="26"/>
  <c r="N548" i="26"/>
  <c r="O548" i="26"/>
  <c r="P544" i="26"/>
  <c r="M544" i="26"/>
  <c r="N544" i="26"/>
  <c r="O544" i="26"/>
  <c r="P540" i="26"/>
  <c r="M540" i="26"/>
  <c r="N540" i="26"/>
  <c r="O540" i="26"/>
  <c r="P536" i="26"/>
  <c r="M536" i="26"/>
  <c r="N536" i="26"/>
  <c r="O536" i="26"/>
  <c r="P532" i="26"/>
  <c r="M532" i="26"/>
  <c r="N532" i="26"/>
  <c r="O532" i="26"/>
  <c r="P528" i="26"/>
  <c r="M528" i="26"/>
  <c r="N528" i="26"/>
  <c r="O528" i="26"/>
  <c r="P524" i="26"/>
  <c r="M524" i="26"/>
  <c r="N524" i="26"/>
  <c r="O524" i="26"/>
  <c r="P520" i="26"/>
  <c r="M520" i="26"/>
  <c r="N520" i="26"/>
  <c r="O520" i="26"/>
  <c r="P516" i="26"/>
  <c r="M516" i="26"/>
  <c r="N516" i="26"/>
  <c r="O516" i="26"/>
  <c r="P512" i="26"/>
  <c r="M512" i="26"/>
  <c r="N512" i="26"/>
  <c r="O512" i="26"/>
  <c r="P508" i="26"/>
  <c r="M508" i="26"/>
  <c r="N508" i="26"/>
  <c r="O508" i="26"/>
  <c r="P504" i="26"/>
  <c r="M504" i="26"/>
  <c r="N504" i="26"/>
  <c r="O504" i="26"/>
  <c r="P500" i="26"/>
  <c r="M500" i="26"/>
  <c r="N500" i="26"/>
  <c r="O500" i="26"/>
  <c r="P496" i="26"/>
  <c r="M496" i="26"/>
  <c r="N496" i="26"/>
  <c r="O496" i="26"/>
  <c r="P492" i="26"/>
  <c r="M492" i="26"/>
  <c r="N492" i="26"/>
  <c r="O492" i="26"/>
  <c r="P488" i="26"/>
  <c r="M488" i="26"/>
  <c r="N488" i="26"/>
  <c r="O488" i="26"/>
  <c r="P484" i="26"/>
  <c r="M484" i="26"/>
  <c r="N484" i="26"/>
  <c r="O484" i="26"/>
  <c r="P480" i="26"/>
  <c r="M480" i="26"/>
  <c r="N480" i="26"/>
  <c r="O480" i="26"/>
  <c r="M551" i="26"/>
  <c r="P551" i="26"/>
  <c r="N551" i="26"/>
  <c r="O551" i="26"/>
  <c r="N547" i="26"/>
  <c r="O547" i="26"/>
  <c r="M547" i="26"/>
  <c r="P547" i="26"/>
  <c r="P543" i="26"/>
  <c r="M543" i="26"/>
  <c r="N543" i="26"/>
  <c r="O543" i="26"/>
  <c r="P539" i="26"/>
  <c r="N539" i="26"/>
  <c r="O539" i="26"/>
  <c r="M539" i="26"/>
  <c r="M535" i="26"/>
  <c r="P535" i="26"/>
  <c r="N535" i="26"/>
  <c r="O535" i="26"/>
  <c r="N531" i="26"/>
  <c r="O531" i="26"/>
  <c r="M531" i="26"/>
  <c r="P531" i="26"/>
  <c r="P527" i="26"/>
  <c r="N527" i="26"/>
  <c r="O527" i="26"/>
  <c r="M527" i="26"/>
  <c r="P523" i="26"/>
  <c r="M523" i="26"/>
  <c r="N523" i="26"/>
  <c r="O523" i="26"/>
  <c r="P519" i="26"/>
  <c r="N519" i="26"/>
  <c r="O519" i="26"/>
  <c r="M519" i="26"/>
  <c r="N515" i="26"/>
  <c r="O515" i="26"/>
  <c r="M515" i="26"/>
  <c r="P515" i="26"/>
  <c r="N511" i="26"/>
  <c r="O511" i="26"/>
  <c r="P511" i="26"/>
  <c r="M511" i="26"/>
  <c r="P507" i="26"/>
  <c r="M507" i="26"/>
  <c r="N507" i="26"/>
  <c r="O507" i="26"/>
  <c r="P503" i="26"/>
  <c r="N503" i="26"/>
  <c r="O503" i="26"/>
  <c r="M503" i="26"/>
  <c r="N499" i="26"/>
  <c r="O499" i="26"/>
  <c r="M499" i="26"/>
  <c r="P499" i="26"/>
  <c r="N495" i="26"/>
  <c r="O495" i="26"/>
  <c r="M495" i="26"/>
  <c r="P495" i="26"/>
  <c r="P491" i="26"/>
  <c r="N491" i="26"/>
  <c r="O491" i="26"/>
  <c r="M491" i="26"/>
  <c r="P487" i="26"/>
  <c r="M487" i="26"/>
  <c r="N487" i="26"/>
  <c r="O487" i="26"/>
  <c r="N483" i="26"/>
  <c r="O483" i="26"/>
  <c r="M483" i="26"/>
  <c r="P483" i="26"/>
  <c r="N479" i="26"/>
  <c r="O479" i="26"/>
  <c r="M479" i="26"/>
  <c r="P479" i="26"/>
  <c r="P549" i="26"/>
  <c r="N549" i="26"/>
  <c r="O549" i="26"/>
  <c r="M549" i="26"/>
  <c r="P545" i="26"/>
  <c r="N545" i="26"/>
  <c r="O545" i="26"/>
  <c r="M545" i="26"/>
  <c r="N541" i="26"/>
  <c r="O541" i="26"/>
  <c r="P541" i="26"/>
  <c r="M541" i="26"/>
  <c r="M537" i="26"/>
  <c r="N537" i="26"/>
  <c r="O537" i="26"/>
  <c r="P537" i="26"/>
  <c r="P533" i="26"/>
  <c r="N533" i="26"/>
  <c r="O533" i="26"/>
  <c r="M533" i="26"/>
  <c r="P529" i="26"/>
  <c r="M529" i="26"/>
  <c r="N529" i="26"/>
  <c r="O529" i="26"/>
  <c r="N525" i="26"/>
  <c r="O525" i="26"/>
  <c r="P525" i="26"/>
  <c r="M525" i="26"/>
  <c r="P521" i="26"/>
  <c r="M521" i="26"/>
  <c r="N521" i="26"/>
  <c r="O521" i="26"/>
  <c r="P517" i="26"/>
  <c r="N517" i="26"/>
  <c r="O517" i="26"/>
  <c r="M517" i="26"/>
  <c r="P513" i="26"/>
  <c r="N513" i="26"/>
  <c r="O513" i="26"/>
  <c r="M513" i="26"/>
  <c r="P509" i="26"/>
  <c r="N509" i="26"/>
  <c r="O509" i="26"/>
  <c r="M509" i="26"/>
  <c r="P505" i="26"/>
  <c r="M505" i="26"/>
  <c r="N505" i="26"/>
  <c r="O505" i="26"/>
  <c r="P501" i="26"/>
  <c r="N501" i="26"/>
  <c r="O501" i="26"/>
  <c r="M501" i="26"/>
  <c r="P497" i="26"/>
  <c r="M497" i="26"/>
  <c r="N497" i="26"/>
  <c r="O497" i="26"/>
  <c r="P493" i="26"/>
  <c r="N493" i="26"/>
  <c r="O493" i="26"/>
  <c r="M493" i="26"/>
  <c r="P489" i="26"/>
  <c r="M489" i="26"/>
  <c r="N489" i="26"/>
  <c r="O489" i="26"/>
  <c r="P485" i="26"/>
  <c r="N485" i="26"/>
  <c r="O485" i="26"/>
  <c r="M485" i="26"/>
  <c r="P481" i="26"/>
  <c r="N481" i="26"/>
  <c r="O481" i="26"/>
  <c r="M481" i="26"/>
  <c r="P477" i="26"/>
  <c r="N477" i="26"/>
  <c r="O477" i="26"/>
  <c r="M477" i="26"/>
  <c r="P475" i="26"/>
  <c r="N475" i="26"/>
  <c r="O475" i="26"/>
  <c r="M475" i="26"/>
  <c r="P476" i="26"/>
  <c r="N476" i="26"/>
  <c r="O476" i="26"/>
  <c r="M476" i="26"/>
  <c r="P474" i="26"/>
  <c r="N474" i="26"/>
  <c r="O474" i="26"/>
  <c r="M474" i="26"/>
  <c r="M76" i="26"/>
  <c r="P76" i="26"/>
  <c r="N76" i="26"/>
  <c r="O76" i="26"/>
  <c r="M68" i="26"/>
  <c r="P68" i="26"/>
  <c r="N68" i="26"/>
  <c r="O68" i="26"/>
  <c r="M60" i="26"/>
  <c r="P60" i="26"/>
  <c r="N60" i="26"/>
  <c r="O60" i="26"/>
  <c r="M52" i="26"/>
  <c r="P52" i="26"/>
  <c r="N52" i="26"/>
  <c r="O52" i="26"/>
  <c r="N48" i="26"/>
  <c r="O48" i="26"/>
  <c r="P48" i="26"/>
  <c r="M48" i="26"/>
  <c r="M36" i="26"/>
  <c r="P36" i="26"/>
  <c r="N36" i="26"/>
  <c r="O36" i="26"/>
  <c r="P28" i="26"/>
  <c r="M28" i="26"/>
  <c r="N28" i="26"/>
  <c r="O28" i="26"/>
  <c r="P24" i="26"/>
  <c r="N24" i="26"/>
  <c r="O24" i="26"/>
  <c r="M24" i="26"/>
  <c r="N16" i="26"/>
  <c r="O16" i="26"/>
  <c r="P16" i="26"/>
  <c r="M16" i="26"/>
  <c r="P77" i="26"/>
  <c r="N77" i="26"/>
  <c r="O77" i="26"/>
  <c r="M77" i="26"/>
  <c r="P69" i="26"/>
  <c r="N69" i="26"/>
  <c r="O69" i="26"/>
  <c r="M69" i="26"/>
  <c r="P61" i="26"/>
  <c r="N61" i="26"/>
  <c r="O61" i="26"/>
  <c r="M61" i="26"/>
  <c r="P49" i="26"/>
  <c r="M49" i="26"/>
  <c r="N49" i="26"/>
  <c r="O49" i="26"/>
  <c r="P29" i="26"/>
  <c r="N29" i="26"/>
  <c r="O29" i="26"/>
  <c r="M29" i="26"/>
  <c r="P13" i="26"/>
  <c r="N13" i="26"/>
  <c r="O13" i="26"/>
  <c r="M13" i="26"/>
  <c r="P65" i="26"/>
  <c r="M65" i="26"/>
  <c r="N65" i="26"/>
  <c r="O65" i="26"/>
  <c r="P53" i="26"/>
  <c r="N53" i="26"/>
  <c r="O53" i="26"/>
  <c r="M53" i="26"/>
  <c r="P45" i="26"/>
  <c r="N45" i="26"/>
  <c r="O45" i="26"/>
  <c r="M45" i="26"/>
  <c r="P41" i="26"/>
  <c r="M41" i="26"/>
  <c r="N41" i="26"/>
  <c r="O41" i="26"/>
  <c r="P37" i="26"/>
  <c r="N37" i="26"/>
  <c r="O37" i="26"/>
  <c r="M37" i="26"/>
  <c r="P33" i="26"/>
  <c r="M33" i="26"/>
  <c r="N33" i="26"/>
  <c r="O33" i="26"/>
  <c r="P25" i="26"/>
  <c r="M25" i="26"/>
  <c r="N25" i="26"/>
  <c r="O25" i="26"/>
  <c r="P21" i="26"/>
  <c r="N21" i="26"/>
  <c r="O21" i="26"/>
  <c r="M21" i="26"/>
  <c r="P17" i="26"/>
  <c r="M17" i="26"/>
  <c r="N17" i="26"/>
  <c r="O17" i="26"/>
  <c r="P9" i="26"/>
  <c r="M9" i="26"/>
  <c r="N9" i="26"/>
  <c r="O9" i="26"/>
  <c r="N82" i="26"/>
  <c r="O82" i="26"/>
  <c r="M82" i="26"/>
  <c r="P82" i="26"/>
  <c r="N78" i="26"/>
  <c r="O78" i="26"/>
  <c r="M78" i="26"/>
  <c r="P78" i="26"/>
  <c r="N74" i="26"/>
  <c r="O74" i="26"/>
  <c r="M74" i="26"/>
  <c r="P74" i="26"/>
  <c r="N70" i="26"/>
  <c r="O70" i="26"/>
  <c r="M70" i="26"/>
  <c r="P70" i="26"/>
  <c r="N66" i="26"/>
  <c r="O66" i="26"/>
  <c r="M66" i="26"/>
  <c r="P66" i="26"/>
  <c r="N62" i="26"/>
  <c r="O62" i="26"/>
  <c r="M62" i="26"/>
  <c r="P62" i="26"/>
  <c r="N58" i="26"/>
  <c r="O58" i="26"/>
  <c r="M58" i="26"/>
  <c r="P58" i="26"/>
  <c r="N54" i="26"/>
  <c r="O54" i="26"/>
  <c r="M54" i="26"/>
  <c r="P54" i="26"/>
  <c r="N50" i="26"/>
  <c r="O50" i="26"/>
  <c r="M50" i="26"/>
  <c r="P50" i="26"/>
  <c r="N46" i="26"/>
  <c r="O46" i="26"/>
  <c r="M46" i="26"/>
  <c r="P46" i="26"/>
  <c r="N42" i="26"/>
  <c r="O42" i="26"/>
  <c r="M42" i="26"/>
  <c r="P42" i="26"/>
  <c r="N38" i="26"/>
  <c r="O38" i="26"/>
  <c r="M38" i="26"/>
  <c r="P38" i="26"/>
  <c r="N34" i="26"/>
  <c r="O34" i="26"/>
  <c r="M34" i="26"/>
  <c r="P34" i="26"/>
  <c r="N30" i="26"/>
  <c r="O30" i="26"/>
  <c r="M30" i="26"/>
  <c r="P30" i="26"/>
  <c r="N26" i="26"/>
  <c r="O26" i="26"/>
  <c r="M26" i="26"/>
  <c r="P26" i="26"/>
  <c r="N22" i="26"/>
  <c r="O22" i="26"/>
  <c r="M22" i="26"/>
  <c r="P22" i="26"/>
  <c r="N18" i="26"/>
  <c r="O18" i="26"/>
  <c r="M18" i="26"/>
  <c r="P18" i="26"/>
  <c r="N14" i="26"/>
  <c r="O14" i="26"/>
  <c r="M14" i="26"/>
  <c r="P14" i="26"/>
  <c r="N10" i="26"/>
  <c r="O10" i="26"/>
  <c r="M10" i="26"/>
  <c r="P10" i="26"/>
  <c r="P80" i="26"/>
  <c r="N80" i="26"/>
  <c r="O80" i="26"/>
  <c r="M80" i="26"/>
  <c r="P72" i="26"/>
  <c r="N72" i="26"/>
  <c r="O72" i="26"/>
  <c r="M72" i="26"/>
  <c r="P64" i="26"/>
  <c r="N64" i="26"/>
  <c r="O64" i="26"/>
  <c r="M64" i="26"/>
  <c r="P56" i="26"/>
  <c r="N56" i="26"/>
  <c r="O56" i="26"/>
  <c r="M56" i="26"/>
  <c r="P44" i="26"/>
  <c r="M44" i="26"/>
  <c r="N44" i="26"/>
  <c r="O44" i="26"/>
  <c r="P40" i="26"/>
  <c r="N40" i="26"/>
  <c r="O40" i="26"/>
  <c r="M40" i="26"/>
  <c r="N32" i="26"/>
  <c r="O32" i="26"/>
  <c r="P32" i="26"/>
  <c r="M32" i="26"/>
  <c r="M20" i="26"/>
  <c r="P20" i="26"/>
  <c r="N20" i="26"/>
  <c r="O20" i="26"/>
  <c r="P12" i="26"/>
  <c r="M12" i="26"/>
  <c r="N12" i="26"/>
  <c r="O12" i="26"/>
  <c r="P81" i="26"/>
  <c r="M81" i="26"/>
  <c r="N81" i="26"/>
  <c r="O81" i="26"/>
  <c r="P73" i="26"/>
  <c r="M73" i="26"/>
  <c r="N73" i="26"/>
  <c r="O73" i="26"/>
  <c r="P57" i="26"/>
  <c r="M57" i="26"/>
  <c r="N57" i="26"/>
  <c r="O57" i="26"/>
  <c r="N83" i="26"/>
  <c r="O83" i="26"/>
  <c r="M83" i="26"/>
  <c r="P83" i="26"/>
  <c r="N79" i="26"/>
  <c r="O79" i="26"/>
  <c r="M79" i="26"/>
  <c r="P79" i="26"/>
  <c r="N75" i="26"/>
  <c r="O75" i="26"/>
  <c r="M75" i="26"/>
  <c r="P75" i="26"/>
  <c r="N71" i="26"/>
  <c r="O71" i="26"/>
  <c r="M71" i="26"/>
  <c r="P71" i="26"/>
  <c r="N67" i="26"/>
  <c r="O67" i="26"/>
  <c r="M67" i="26"/>
  <c r="P67" i="26"/>
  <c r="N63" i="26"/>
  <c r="O63" i="26"/>
  <c r="M63" i="26"/>
  <c r="P63" i="26"/>
  <c r="N59" i="26"/>
  <c r="O59" i="26"/>
  <c r="M59" i="26"/>
  <c r="P59" i="26"/>
  <c r="N55" i="26"/>
  <c r="O55" i="26"/>
  <c r="M55" i="26"/>
  <c r="P55" i="26"/>
  <c r="N51" i="26"/>
  <c r="O51" i="26"/>
  <c r="M51" i="26"/>
  <c r="P51" i="26"/>
  <c r="N47" i="26"/>
  <c r="O47" i="26"/>
  <c r="M47" i="26"/>
  <c r="P47" i="26"/>
  <c r="N43" i="26"/>
  <c r="O43" i="26"/>
  <c r="M43" i="26"/>
  <c r="P43" i="26"/>
  <c r="N39" i="26"/>
  <c r="O39" i="26"/>
  <c r="M39" i="26"/>
  <c r="P39" i="26"/>
  <c r="N35" i="26"/>
  <c r="O35" i="26"/>
  <c r="M35" i="26"/>
  <c r="P35" i="26"/>
  <c r="N31" i="26"/>
  <c r="O31" i="26"/>
  <c r="M31" i="26"/>
  <c r="P31" i="26"/>
  <c r="N27" i="26"/>
  <c r="O27" i="26"/>
  <c r="M27" i="26"/>
  <c r="P27" i="26"/>
  <c r="N23" i="26"/>
  <c r="O23" i="26"/>
  <c r="M23" i="26"/>
  <c r="P23" i="26"/>
  <c r="N19" i="26"/>
  <c r="O19" i="26"/>
  <c r="M19" i="26"/>
  <c r="P19" i="26"/>
  <c r="N15" i="26"/>
  <c r="O15" i="26"/>
  <c r="M15" i="26"/>
  <c r="P15" i="26"/>
  <c r="N11" i="26"/>
  <c r="O11" i="26"/>
  <c r="M11" i="26"/>
  <c r="P11" i="26"/>
  <c r="M7" i="26"/>
  <c r="P7" i="26"/>
  <c r="N7" i="26"/>
  <c r="O7" i="26"/>
  <c r="N6" i="26"/>
  <c r="O6" i="26"/>
  <c r="M6" i="26"/>
  <c r="P6" i="26"/>
  <c r="M929" i="26"/>
  <c r="P929" i="26"/>
  <c r="N929" i="26"/>
  <c r="O929" i="26"/>
  <c r="N932" i="26"/>
  <c r="O932" i="26"/>
  <c r="P932" i="26"/>
  <c r="M932" i="26"/>
  <c r="N928" i="26"/>
  <c r="O928" i="26"/>
  <c r="P928" i="26"/>
  <c r="M928" i="26"/>
  <c r="N924" i="26"/>
  <c r="O924" i="26"/>
  <c r="M924" i="26"/>
  <c r="P924" i="26"/>
  <c r="N920" i="26"/>
  <c r="O920" i="26"/>
  <c r="M920" i="26"/>
  <c r="P920" i="26"/>
  <c r="N916" i="26"/>
  <c r="O916" i="26"/>
  <c r="M916" i="26"/>
  <c r="P916" i="26"/>
  <c r="N912" i="26"/>
  <c r="O912" i="26"/>
  <c r="P912" i="26"/>
  <c r="M912" i="26"/>
  <c r="N908" i="26"/>
  <c r="O908" i="26"/>
  <c r="M908" i="26"/>
  <c r="P908" i="26"/>
  <c r="N904" i="26"/>
  <c r="O904" i="26"/>
  <c r="P904" i="26"/>
  <c r="M904" i="26"/>
  <c r="N900" i="26"/>
  <c r="O900" i="26"/>
  <c r="M900" i="26"/>
  <c r="P900" i="26"/>
  <c r="N896" i="26"/>
  <c r="O896" i="26"/>
  <c r="P896" i="26"/>
  <c r="M896" i="26"/>
  <c r="N892" i="26"/>
  <c r="O892" i="26"/>
  <c r="M892" i="26"/>
  <c r="P892" i="26"/>
  <c r="N888" i="26"/>
  <c r="O888" i="26"/>
  <c r="P888" i="26"/>
  <c r="M888" i="26"/>
  <c r="N884" i="26"/>
  <c r="O884" i="26"/>
  <c r="M884" i="26"/>
  <c r="P884" i="26"/>
  <c r="N880" i="26"/>
  <c r="O880" i="26"/>
  <c r="P880" i="26"/>
  <c r="M880" i="26"/>
  <c r="N876" i="26"/>
  <c r="O876" i="26"/>
  <c r="M876" i="26"/>
  <c r="P876" i="26"/>
  <c r="N872" i="26"/>
  <c r="O872" i="26"/>
  <c r="P872" i="26"/>
  <c r="M872" i="26"/>
  <c r="N868" i="26"/>
  <c r="O868" i="26"/>
  <c r="M868" i="26"/>
  <c r="P868" i="26"/>
  <c r="M941" i="26"/>
  <c r="N941" i="26"/>
  <c r="O941" i="26"/>
  <c r="P941" i="26"/>
  <c r="M937" i="26"/>
  <c r="N937" i="26"/>
  <c r="O937" i="26"/>
  <c r="P937" i="26"/>
  <c r="M921" i="26"/>
  <c r="N921" i="26"/>
  <c r="O921" i="26"/>
  <c r="P921" i="26"/>
  <c r="M913" i="26"/>
  <c r="P913" i="26"/>
  <c r="N913" i="26"/>
  <c r="O913" i="26"/>
  <c r="M905" i="26"/>
  <c r="N905" i="26"/>
  <c r="O905" i="26"/>
  <c r="P905" i="26"/>
  <c r="M897" i="26"/>
  <c r="P897" i="26"/>
  <c r="N897" i="26"/>
  <c r="O897" i="26"/>
  <c r="M889" i="26"/>
  <c r="N889" i="26"/>
  <c r="O889" i="26"/>
  <c r="P889" i="26"/>
  <c r="M881" i="26"/>
  <c r="P881" i="26"/>
  <c r="N881" i="26"/>
  <c r="O881" i="26"/>
  <c r="M873" i="26"/>
  <c r="N873" i="26"/>
  <c r="O873" i="26"/>
  <c r="P873" i="26"/>
  <c r="P938" i="26"/>
  <c r="N938" i="26"/>
  <c r="O938" i="26"/>
  <c r="M938" i="26"/>
  <c r="N931" i="26"/>
  <c r="O931" i="26"/>
  <c r="M931" i="26"/>
  <c r="P931" i="26"/>
  <c r="N927" i="26"/>
  <c r="O927" i="26"/>
  <c r="M927" i="26"/>
  <c r="P927" i="26"/>
  <c r="P923" i="26"/>
  <c r="M923" i="26"/>
  <c r="N923" i="26"/>
  <c r="O923" i="26"/>
  <c r="N919" i="26"/>
  <c r="O919" i="26"/>
  <c r="M919" i="26"/>
  <c r="P919" i="26"/>
  <c r="N915" i="26"/>
  <c r="O915" i="26"/>
  <c r="M915" i="26"/>
  <c r="P915" i="26"/>
  <c r="P911" i="26"/>
  <c r="N911" i="26"/>
  <c r="O911" i="26"/>
  <c r="M911" i="26"/>
  <c r="P907" i="26"/>
  <c r="N907" i="26"/>
  <c r="O907" i="26"/>
  <c r="M907" i="26"/>
  <c r="P903" i="26"/>
  <c r="N903" i="26"/>
  <c r="O903" i="26"/>
  <c r="M903" i="26"/>
  <c r="P899" i="26"/>
  <c r="N899" i="26"/>
  <c r="O899" i="26"/>
  <c r="M899" i="26"/>
  <c r="P895" i="26"/>
  <c r="N895" i="26"/>
  <c r="O895" i="26"/>
  <c r="M895" i="26"/>
  <c r="P891" i="26"/>
  <c r="M891" i="26"/>
  <c r="N891" i="26"/>
  <c r="O891" i="26"/>
  <c r="P887" i="26"/>
  <c r="N887" i="26"/>
  <c r="O887" i="26"/>
  <c r="M887" i="26"/>
  <c r="P883" i="26"/>
  <c r="N883" i="26"/>
  <c r="O883" i="26"/>
  <c r="M883" i="26"/>
  <c r="P879" i="26"/>
  <c r="N879" i="26"/>
  <c r="O879" i="26"/>
  <c r="M879" i="26"/>
  <c r="P875" i="26"/>
  <c r="M875" i="26"/>
  <c r="N875" i="26"/>
  <c r="O875" i="26"/>
  <c r="P871" i="26"/>
  <c r="N871" i="26"/>
  <c r="O871" i="26"/>
  <c r="M871" i="26"/>
  <c r="N940" i="26"/>
  <c r="O940" i="26"/>
  <c r="P940" i="26"/>
  <c r="M940" i="26"/>
  <c r="N936" i="26"/>
  <c r="O936" i="26"/>
  <c r="M936" i="26"/>
  <c r="P936" i="26"/>
  <c r="M933" i="26"/>
  <c r="P933" i="26"/>
  <c r="N933" i="26"/>
  <c r="O933" i="26"/>
  <c r="M925" i="26"/>
  <c r="N925" i="26"/>
  <c r="O925" i="26"/>
  <c r="P925" i="26"/>
  <c r="M917" i="26"/>
  <c r="P917" i="26"/>
  <c r="N917" i="26"/>
  <c r="O917" i="26"/>
  <c r="M909" i="26"/>
  <c r="P909" i="26"/>
  <c r="N909" i="26"/>
  <c r="O909" i="26"/>
  <c r="M901" i="26"/>
  <c r="P901" i="26"/>
  <c r="N901" i="26"/>
  <c r="O901" i="26"/>
  <c r="M893" i="26"/>
  <c r="P893" i="26"/>
  <c r="N893" i="26"/>
  <c r="O893" i="26"/>
  <c r="M885" i="26"/>
  <c r="N885" i="26"/>
  <c r="O885" i="26"/>
  <c r="P885" i="26"/>
  <c r="M877" i="26"/>
  <c r="P877" i="26"/>
  <c r="N877" i="26"/>
  <c r="O877" i="26"/>
  <c r="M869" i="26"/>
  <c r="N869" i="26"/>
  <c r="O869" i="26"/>
  <c r="P869" i="26"/>
  <c r="P934" i="26"/>
  <c r="M934" i="26"/>
  <c r="N934" i="26"/>
  <c r="O934" i="26"/>
  <c r="P930" i="26"/>
  <c r="N930" i="26"/>
  <c r="O930" i="26"/>
  <c r="M930" i="26"/>
  <c r="P926" i="26"/>
  <c r="N926" i="26"/>
  <c r="O926" i="26"/>
  <c r="M926" i="26"/>
  <c r="P922" i="26"/>
  <c r="N922" i="26"/>
  <c r="O922" i="26"/>
  <c r="M922" i="26"/>
  <c r="P918" i="26"/>
  <c r="M918" i="26"/>
  <c r="N918" i="26"/>
  <c r="O918" i="26"/>
  <c r="P914" i="26"/>
  <c r="N914" i="26"/>
  <c r="O914" i="26"/>
  <c r="M914" i="26"/>
  <c r="P910" i="26"/>
  <c r="N910" i="26"/>
  <c r="O910" i="26"/>
  <c r="M910" i="26"/>
  <c r="P906" i="26"/>
  <c r="N906" i="26"/>
  <c r="O906" i="26"/>
  <c r="M906" i="26"/>
  <c r="P902" i="26"/>
  <c r="M902" i="26"/>
  <c r="N902" i="26"/>
  <c r="O902" i="26"/>
  <c r="P898" i="26"/>
  <c r="N898" i="26"/>
  <c r="O898" i="26"/>
  <c r="M898" i="26"/>
  <c r="P894" i="26"/>
  <c r="N894" i="26"/>
  <c r="O894" i="26"/>
  <c r="M894" i="26"/>
  <c r="P890" i="26"/>
  <c r="N890" i="26"/>
  <c r="O890" i="26"/>
  <c r="M890" i="26"/>
  <c r="P886" i="26"/>
  <c r="N886" i="26"/>
  <c r="O886" i="26"/>
  <c r="M886" i="26"/>
  <c r="P882" i="26"/>
  <c r="N882" i="26"/>
  <c r="O882" i="26"/>
  <c r="M882" i="26"/>
  <c r="P878" i="26"/>
  <c r="N878" i="26"/>
  <c r="O878" i="26"/>
  <c r="M878" i="26"/>
  <c r="P874" i="26"/>
  <c r="M874" i="26"/>
  <c r="N874" i="26"/>
  <c r="O874" i="26"/>
  <c r="P870" i="26"/>
  <c r="M870" i="26"/>
  <c r="N870" i="26"/>
  <c r="O870" i="26"/>
  <c r="P939" i="26"/>
  <c r="N939" i="26"/>
  <c r="O939" i="26"/>
  <c r="M939" i="26"/>
  <c r="N935" i="26"/>
  <c r="O935" i="26"/>
  <c r="M935" i="26"/>
  <c r="P935" i="26"/>
  <c r="P865" i="26"/>
  <c r="N865" i="26"/>
  <c r="O865" i="26"/>
  <c r="M865" i="26"/>
  <c r="N864" i="26"/>
  <c r="O864" i="26"/>
  <c r="M864" i="26"/>
  <c r="P864" i="26"/>
  <c r="M784" i="26"/>
  <c r="P784" i="26"/>
  <c r="N784" i="26"/>
  <c r="O784" i="26"/>
  <c r="P780" i="26"/>
  <c r="M780" i="26"/>
  <c r="N780" i="26"/>
  <c r="O780" i="26"/>
  <c r="P772" i="26"/>
  <c r="N772" i="26"/>
  <c r="O772" i="26"/>
  <c r="M772" i="26"/>
  <c r="P764" i="26"/>
  <c r="N764" i="26"/>
  <c r="O764" i="26"/>
  <c r="M764" i="26"/>
  <c r="P752" i="26"/>
  <c r="N752" i="26"/>
  <c r="O752" i="26"/>
  <c r="M752" i="26"/>
  <c r="P744" i="26"/>
  <c r="N744" i="26"/>
  <c r="O744" i="26"/>
  <c r="M744" i="26"/>
  <c r="P740" i="26"/>
  <c r="N740" i="26"/>
  <c r="O740" i="26"/>
  <c r="M740" i="26"/>
  <c r="P732" i="26"/>
  <c r="N732" i="26"/>
  <c r="O732" i="26"/>
  <c r="M732" i="26"/>
  <c r="P724" i="26"/>
  <c r="N724" i="26"/>
  <c r="O724" i="26"/>
  <c r="M724" i="26"/>
  <c r="P712" i="26"/>
  <c r="N712" i="26"/>
  <c r="O712" i="26"/>
  <c r="M712" i="26"/>
  <c r="P783" i="26"/>
  <c r="N783" i="26"/>
  <c r="O783" i="26"/>
  <c r="M783" i="26"/>
  <c r="P779" i="26"/>
  <c r="N779" i="26"/>
  <c r="O779" i="26"/>
  <c r="M779" i="26"/>
  <c r="P775" i="26"/>
  <c r="N775" i="26"/>
  <c r="O775" i="26"/>
  <c r="M775" i="26"/>
  <c r="P771" i="26"/>
  <c r="N771" i="26"/>
  <c r="O771" i="26"/>
  <c r="M771" i="26"/>
  <c r="P767" i="26"/>
  <c r="N767" i="26"/>
  <c r="O767" i="26"/>
  <c r="M767" i="26"/>
  <c r="P763" i="26"/>
  <c r="M763" i="26"/>
  <c r="N763" i="26"/>
  <c r="O763" i="26"/>
  <c r="P759" i="26"/>
  <c r="N759" i="26"/>
  <c r="O759" i="26"/>
  <c r="M759" i="26"/>
  <c r="P755" i="26"/>
  <c r="N755" i="26"/>
  <c r="O755" i="26"/>
  <c r="M755" i="26"/>
  <c r="P751" i="26"/>
  <c r="N751" i="26"/>
  <c r="O751" i="26"/>
  <c r="M751" i="26"/>
  <c r="P747" i="26"/>
  <c r="N747" i="26"/>
  <c r="O747" i="26"/>
  <c r="M747" i="26"/>
  <c r="P743" i="26"/>
  <c r="N743" i="26"/>
  <c r="O743" i="26"/>
  <c r="M743" i="26"/>
  <c r="P739" i="26"/>
  <c r="N739" i="26"/>
  <c r="O739" i="26"/>
  <c r="M739" i="26"/>
  <c r="P735" i="26"/>
  <c r="N735" i="26"/>
  <c r="O735" i="26"/>
  <c r="M735" i="26"/>
  <c r="P731" i="26"/>
  <c r="N731" i="26"/>
  <c r="O731" i="26"/>
  <c r="M731" i="26"/>
  <c r="P727" i="26"/>
  <c r="N727" i="26"/>
  <c r="O727" i="26"/>
  <c r="M727" i="26"/>
  <c r="P723" i="26"/>
  <c r="N723" i="26"/>
  <c r="O723" i="26"/>
  <c r="M723" i="26"/>
  <c r="P719" i="26"/>
  <c r="N719" i="26"/>
  <c r="O719" i="26"/>
  <c r="M719" i="26"/>
  <c r="P715" i="26"/>
  <c r="N715" i="26"/>
  <c r="O715" i="26"/>
  <c r="M715" i="26"/>
  <c r="N776" i="26"/>
  <c r="O776" i="26"/>
  <c r="M776" i="26"/>
  <c r="P776" i="26"/>
  <c r="N768" i="26"/>
  <c r="O768" i="26"/>
  <c r="M768" i="26"/>
  <c r="P768" i="26"/>
  <c r="P756" i="26"/>
  <c r="N756" i="26"/>
  <c r="O756" i="26"/>
  <c r="M756" i="26"/>
  <c r="P748" i="26"/>
  <c r="N748" i="26"/>
  <c r="O748" i="26"/>
  <c r="M748" i="26"/>
  <c r="P736" i="26"/>
  <c r="N736" i="26"/>
  <c r="O736" i="26"/>
  <c r="M736" i="26"/>
  <c r="P728" i="26"/>
  <c r="N728" i="26"/>
  <c r="O728" i="26"/>
  <c r="M728" i="26"/>
  <c r="P720" i="26"/>
  <c r="M720" i="26"/>
  <c r="N720" i="26"/>
  <c r="O720" i="26"/>
  <c r="P716" i="26"/>
  <c r="N716" i="26"/>
  <c r="O716" i="26"/>
  <c r="M716" i="26"/>
  <c r="P782" i="26"/>
  <c r="M782" i="26"/>
  <c r="N782" i="26"/>
  <c r="O782" i="26"/>
  <c r="P778" i="26"/>
  <c r="M778" i="26"/>
  <c r="N778" i="26"/>
  <c r="O778" i="26"/>
  <c r="P774" i="26"/>
  <c r="M774" i="26"/>
  <c r="N774" i="26"/>
  <c r="O774" i="26"/>
  <c r="P770" i="26"/>
  <c r="M770" i="26"/>
  <c r="N770" i="26"/>
  <c r="O770" i="26"/>
  <c r="P766" i="26"/>
  <c r="M766" i="26"/>
  <c r="N766" i="26"/>
  <c r="O766" i="26"/>
  <c r="P762" i="26"/>
  <c r="M762" i="26"/>
  <c r="N762" i="26"/>
  <c r="O762" i="26"/>
  <c r="P758" i="26"/>
  <c r="M758" i="26"/>
  <c r="N758" i="26"/>
  <c r="O758" i="26"/>
  <c r="P754" i="26"/>
  <c r="M754" i="26"/>
  <c r="N754" i="26"/>
  <c r="O754" i="26"/>
  <c r="P750" i="26"/>
  <c r="M750" i="26"/>
  <c r="N750" i="26"/>
  <c r="O750" i="26"/>
  <c r="P746" i="26"/>
  <c r="M746" i="26"/>
  <c r="N746" i="26"/>
  <c r="O746" i="26"/>
  <c r="P742" i="26"/>
  <c r="M742" i="26"/>
  <c r="N742" i="26"/>
  <c r="O742" i="26"/>
  <c r="P738" i="26"/>
  <c r="M738" i="26"/>
  <c r="N738" i="26"/>
  <c r="O738" i="26"/>
  <c r="P734" i="26"/>
  <c r="M734" i="26"/>
  <c r="N734" i="26"/>
  <c r="O734" i="26"/>
  <c r="P730" i="26"/>
  <c r="M730" i="26"/>
  <c r="N730" i="26"/>
  <c r="O730" i="26"/>
  <c r="P726" i="26"/>
  <c r="M726" i="26"/>
  <c r="N726" i="26"/>
  <c r="O726" i="26"/>
  <c r="P722" i="26"/>
  <c r="M722" i="26"/>
  <c r="N722" i="26"/>
  <c r="O722" i="26"/>
  <c r="P718" i="26"/>
  <c r="M718" i="26"/>
  <c r="N718" i="26"/>
  <c r="O718" i="26"/>
  <c r="P714" i="26"/>
  <c r="M714" i="26"/>
  <c r="N714" i="26"/>
  <c r="O714" i="26"/>
  <c r="N760" i="26"/>
  <c r="O760" i="26"/>
  <c r="M760" i="26"/>
  <c r="P760" i="26"/>
  <c r="N785" i="26"/>
  <c r="O785" i="26"/>
  <c r="P785" i="26"/>
  <c r="M785" i="26"/>
  <c r="N781" i="26"/>
  <c r="O781" i="26"/>
  <c r="M781" i="26"/>
  <c r="P781" i="26"/>
  <c r="N777" i="26"/>
  <c r="O777" i="26"/>
  <c r="P777" i="26"/>
  <c r="M777" i="26"/>
  <c r="N773" i="26"/>
  <c r="O773" i="26"/>
  <c r="P773" i="26"/>
  <c r="M773" i="26"/>
  <c r="N769" i="26"/>
  <c r="O769" i="26"/>
  <c r="P769" i="26"/>
  <c r="M769" i="26"/>
  <c r="N765" i="26"/>
  <c r="O765" i="26"/>
  <c r="M765" i="26"/>
  <c r="P765" i="26"/>
  <c r="N761" i="26"/>
  <c r="O761" i="26"/>
  <c r="P761" i="26"/>
  <c r="M761" i="26"/>
  <c r="N757" i="26"/>
  <c r="O757" i="26"/>
  <c r="P757" i="26"/>
  <c r="M757" i="26"/>
  <c r="N753" i="26"/>
  <c r="O753" i="26"/>
  <c r="P753" i="26"/>
  <c r="M753" i="26"/>
  <c r="N749" i="26"/>
  <c r="O749" i="26"/>
  <c r="M749" i="26"/>
  <c r="P749" i="26"/>
  <c r="N745" i="26"/>
  <c r="O745" i="26"/>
  <c r="M745" i="26"/>
  <c r="P745" i="26"/>
  <c r="N741" i="26"/>
  <c r="O741" i="26"/>
  <c r="P741" i="26"/>
  <c r="M741" i="26"/>
  <c r="N737" i="26"/>
  <c r="O737" i="26"/>
  <c r="P737" i="26"/>
  <c r="M737" i="26"/>
  <c r="N733" i="26"/>
  <c r="O733" i="26"/>
  <c r="M733" i="26"/>
  <c r="P733" i="26"/>
  <c r="N729" i="26"/>
  <c r="O729" i="26"/>
  <c r="M729" i="26"/>
  <c r="P729" i="26"/>
  <c r="N725" i="26"/>
  <c r="O725" i="26"/>
  <c r="P725" i="26"/>
  <c r="M725" i="26"/>
  <c r="N721" i="26"/>
  <c r="O721" i="26"/>
  <c r="P721" i="26"/>
  <c r="M721" i="26"/>
  <c r="N717" i="26"/>
  <c r="O717" i="26"/>
  <c r="M717" i="26"/>
  <c r="P717" i="26"/>
  <c r="N713" i="26"/>
  <c r="O713" i="26"/>
  <c r="M713" i="26"/>
  <c r="P713" i="26"/>
  <c r="M710" i="26"/>
  <c r="P710" i="26"/>
  <c r="N710" i="26"/>
  <c r="O710" i="26"/>
  <c r="N709" i="26"/>
  <c r="O709" i="26"/>
  <c r="M709" i="26"/>
  <c r="P709" i="26"/>
  <c r="M708" i="26"/>
  <c r="P708" i="26"/>
  <c r="N708" i="26"/>
  <c r="O708" i="26"/>
  <c r="P838" i="26"/>
  <c r="M838" i="26"/>
  <c r="N838" i="26"/>
  <c r="O838" i="26"/>
  <c r="P834" i="26"/>
  <c r="M834" i="26"/>
  <c r="N834" i="26"/>
  <c r="O834" i="26"/>
  <c r="P830" i="26"/>
  <c r="N830" i="26"/>
  <c r="O830" i="26"/>
  <c r="M830" i="26"/>
  <c r="P826" i="26"/>
  <c r="M826" i="26"/>
  <c r="N826" i="26"/>
  <c r="O826" i="26"/>
  <c r="P822" i="26"/>
  <c r="M822" i="26"/>
  <c r="N822" i="26"/>
  <c r="O822" i="26"/>
  <c r="P818" i="26"/>
  <c r="M818" i="26"/>
  <c r="N818" i="26"/>
  <c r="O818" i="26"/>
  <c r="P814" i="26"/>
  <c r="N814" i="26"/>
  <c r="O814" i="26"/>
  <c r="M814" i="26"/>
  <c r="P810" i="26"/>
  <c r="M810" i="26"/>
  <c r="N810" i="26"/>
  <c r="O810" i="26"/>
  <c r="P806" i="26"/>
  <c r="M806" i="26"/>
  <c r="N806" i="26"/>
  <c r="O806" i="26"/>
  <c r="P802" i="26"/>
  <c r="M802" i="26"/>
  <c r="N802" i="26"/>
  <c r="O802" i="26"/>
  <c r="P798" i="26"/>
  <c r="N798" i="26"/>
  <c r="O798" i="26"/>
  <c r="M798" i="26"/>
  <c r="P794" i="26"/>
  <c r="M794" i="26"/>
  <c r="N794" i="26"/>
  <c r="O794" i="26"/>
  <c r="P790" i="26"/>
  <c r="M790" i="26"/>
  <c r="N790" i="26"/>
  <c r="O790" i="26"/>
  <c r="M849" i="26"/>
  <c r="P849" i="26"/>
  <c r="N849" i="26"/>
  <c r="O849" i="26"/>
  <c r="M845" i="26"/>
  <c r="P845" i="26"/>
  <c r="N845" i="26"/>
  <c r="O845" i="26"/>
  <c r="P841" i="26"/>
  <c r="N841" i="26"/>
  <c r="O841" i="26"/>
  <c r="M841" i="26"/>
  <c r="M861" i="26"/>
  <c r="P861" i="26"/>
  <c r="N861" i="26"/>
  <c r="O861" i="26"/>
  <c r="P857" i="26"/>
  <c r="N857" i="26"/>
  <c r="O857" i="26"/>
  <c r="M857" i="26"/>
  <c r="M853" i="26"/>
  <c r="P853" i="26"/>
  <c r="N853" i="26"/>
  <c r="O853" i="26"/>
  <c r="M863" i="26"/>
  <c r="P863" i="26"/>
  <c r="N863" i="26"/>
  <c r="O863" i="26"/>
  <c r="M837" i="26"/>
  <c r="P837" i="26"/>
  <c r="N837" i="26"/>
  <c r="O837" i="26"/>
  <c r="M833" i="26"/>
  <c r="P833" i="26"/>
  <c r="N833" i="26"/>
  <c r="O833" i="26"/>
  <c r="M829" i="26"/>
  <c r="P829" i="26"/>
  <c r="N829" i="26"/>
  <c r="O829" i="26"/>
  <c r="N825" i="26"/>
  <c r="O825" i="26"/>
  <c r="P825" i="26"/>
  <c r="M825" i="26"/>
  <c r="M821" i="26"/>
  <c r="N821" i="26"/>
  <c r="O821" i="26"/>
  <c r="P821" i="26"/>
  <c r="P817" i="26"/>
  <c r="M817" i="26"/>
  <c r="N817" i="26"/>
  <c r="O817" i="26"/>
  <c r="M813" i="26"/>
  <c r="P813" i="26"/>
  <c r="N813" i="26"/>
  <c r="O813" i="26"/>
  <c r="N809" i="26"/>
  <c r="O809" i="26"/>
  <c r="P809" i="26"/>
  <c r="M809" i="26"/>
  <c r="M805" i="26"/>
  <c r="N805" i="26"/>
  <c r="O805" i="26"/>
  <c r="P805" i="26"/>
  <c r="P801" i="26"/>
  <c r="M801" i="26"/>
  <c r="N801" i="26"/>
  <c r="O801" i="26"/>
  <c r="M797" i="26"/>
  <c r="P797" i="26"/>
  <c r="N797" i="26"/>
  <c r="O797" i="26"/>
  <c r="N793" i="26"/>
  <c r="O793" i="26"/>
  <c r="P793" i="26"/>
  <c r="M793" i="26"/>
  <c r="M789" i="26"/>
  <c r="N789" i="26"/>
  <c r="O789" i="26"/>
  <c r="P789" i="26"/>
  <c r="N848" i="26"/>
  <c r="O848" i="26"/>
  <c r="M848" i="26"/>
  <c r="P848" i="26"/>
  <c r="N844" i="26"/>
  <c r="O844" i="26"/>
  <c r="M844" i="26"/>
  <c r="P844" i="26"/>
  <c r="N840" i="26"/>
  <c r="O840" i="26"/>
  <c r="M840" i="26"/>
  <c r="P840" i="26"/>
  <c r="N860" i="26"/>
  <c r="O860" i="26"/>
  <c r="M860" i="26"/>
  <c r="P860" i="26"/>
  <c r="N856" i="26"/>
  <c r="O856" i="26"/>
  <c r="M856" i="26"/>
  <c r="P856" i="26"/>
  <c r="N852" i="26"/>
  <c r="O852" i="26"/>
  <c r="P852" i="26"/>
  <c r="M852" i="26"/>
  <c r="M835" i="26"/>
  <c r="N835" i="26"/>
  <c r="O835" i="26"/>
  <c r="P835" i="26"/>
  <c r="M831" i="26"/>
  <c r="P831" i="26"/>
  <c r="N831" i="26"/>
  <c r="O831" i="26"/>
  <c r="M827" i="26"/>
  <c r="P827" i="26"/>
  <c r="N827" i="26"/>
  <c r="O827" i="26"/>
  <c r="M823" i="26"/>
  <c r="P823" i="26"/>
  <c r="N823" i="26"/>
  <c r="O823" i="26"/>
  <c r="M819" i="26"/>
  <c r="P819" i="26"/>
  <c r="N819" i="26"/>
  <c r="O819" i="26"/>
  <c r="M815" i="26"/>
  <c r="P815" i="26"/>
  <c r="N815" i="26"/>
  <c r="O815" i="26"/>
  <c r="M811" i="26"/>
  <c r="P811" i="26"/>
  <c r="N811" i="26"/>
  <c r="O811" i="26"/>
  <c r="M807" i="26"/>
  <c r="P807" i="26"/>
  <c r="N807" i="26"/>
  <c r="O807" i="26"/>
  <c r="M803" i="26"/>
  <c r="P803" i="26"/>
  <c r="N803" i="26"/>
  <c r="O803" i="26"/>
  <c r="M799" i="26"/>
  <c r="P799" i="26"/>
  <c r="N799" i="26"/>
  <c r="O799" i="26"/>
  <c r="M795" i="26"/>
  <c r="P795" i="26"/>
  <c r="N795" i="26"/>
  <c r="O795" i="26"/>
  <c r="M791" i="26"/>
  <c r="P791" i="26"/>
  <c r="N791" i="26"/>
  <c r="O791" i="26"/>
  <c r="P846" i="26"/>
  <c r="N846" i="26"/>
  <c r="O846" i="26"/>
  <c r="M846" i="26"/>
  <c r="P842" i="26"/>
  <c r="M842" i="26"/>
  <c r="N842" i="26"/>
  <c r="O842" i="26"/>
  <c r="P862" i="26"/>
  <c r="N862" i="26"/>
  <c r="O862" i="26"/>
  <c r="M862" i="26"/>
  <c r="P858" i="26"/>
  <c r="M858" i="26"/>
  <c r="N858" i="26"/>
  <c r="O858" i="26"/>
  <c r="P854" i="26"/>
  <c r="M854" i="26"/>
  <c r="N854" i="26"/>
  <c r="O854" i="26"/>
  <c r="P850" i="26"/>
  <c r="M850" i="26"/>
  <c r="N850" i="26"/>
  <c r="O850" i="26"/>
  <c r="N836" i="26"/>
  <c r="O836" i="26"/>
  <c r="P836" i="26"/>
  <c r="M836" i="26"/>
  <c r="N832" i="26"/>
  <c r="O832" i="26"/>
  <c r="M832" i="26"/>
  <c r="P832" i="26"/>
  <c r="N828" i="26"/>
  <c r="O828" i="26"/>
  <c r="M828" i="26"/>
  <c r="P828" i="26"/>
  <c r="N824" i="26"/>
  <c r="O824" i="26"/>
  <c r="P824" i="26"/>
  <c r="M824" i="26"/>
  <c r="N820" i="26"/>
  <c r="O820" i="26"/>
  <c r="P820" i="26"/>
  <c r="M820" i="26"/>
  <c r="N816" i="26"/>
  <c r="O816" i="26"/>
  <c r="P816" i="26"/>
  <c r="M816" i="26"/>
  <c r="N812" i="26"/>
  <c r="O812" i="26"/>
  <c r="M812" i="26"/>
  <c r="P812" i="26"/>
  <c r="N808" i="26"/>
  <c r="O808" i="26"/>
  <c r="P808" i="26"/>
  <c r="M808" i="26"/>
  <c r="N804" i="26"/>
  <c r="O804" i="26"/>
  <c r="P804" i="26"/>
  <c r="M804" i="26"/>
  <c r="N800" i="26"/>
  <c r="O800" i="26"/>
  <c r="P800" i="26"/>
  <c r="M800" i="26"/>
  <c r="N796" i="26"/>
  <c r="O796" i="26"/>
  <c r="M796" i="26"/>
  <c r="P796" i="26"/>
  <c r="N792" i="26"/>
  <c r="O792" i="26"/>
  <c r="P792" i="26"/>
  <c r="M792" i="26"/>
  <c r="M847" i="26"/>
  <c r="P847" i="26"/>
  <c r="N847" i="26"/>
  <c r="O847" i="26"/>
  <c r="M843" i="26"/>
  <c r="P843" i="26"/>
  <c r="N843" i="26"/>
  <c r="O843" i="26"/>
  <c r="M839" i="26"/>
  <c r="P839" i="26"/>
  <c r="N839" i="26"/>
  <c r="O839" i="26"/>
  <c r="M859" i="26"/>
  <c r="P859" i="26"/>
  <c r="N859" i="26"/>
  <c r="O859" i="26"/>
  <c r="M855" i="26"/>
  <c r="P855" i="26"/>
  <c r="N855" i="26"/>
  <c r="O855" i="26"/>
  <c r="M851" i="26"/>
  <c r="N851" i="26"/>
  <c r="O851" i="26"/>
  <c r="P851" i="26"/>
  <c r="M787" i="26"/>
  <c r="N787" i="26"/>
  <c r="O787" i="26"/>
  <c r="P787" i="26"/>
  <c r="P788" i="26"/>
  <c r="M788" i="26"/>
  <c r="N788" i="26"/>
  <c r="O788" i="26"/>
  <c r="P786" i="26"/>
  <c r="N786" i="26"/>
  <c r="O786" i="26"/>
  <c r="M786" i="26"/>
  <c r="J576" i="26"/>
  <c r="K576" i="26"/>
  <c r="L576" i="26"/>
  <c r="J568" i="26"/>
  <c r="K568" i="26"/>
  <c r="L568" i="26"/>
  <c r="K556" i="26"/>
  <c r="L556" i="26"/>
  <c r="J556" i="26"/>
  <c r="J579" i="26"/>
  <c r="K579" i="26"/>
  <c r="L579" i="26"/>
  <c r="K575" i="26"/>
  <c r="L575" i="26"/>
  <c r="J575" i="26"/>
  <c r="J571" i="26"/>
  <c r="K571" i="26"/>
  <c r="L571" i="26"/>
  <c r="K567" i="26"/>
  <c r="L567" i="26"/>
  <c r="J567" i="26"/>
  <c r="J563" i="26"/>
  <c r="K563" i="26"/>
  <c r="L563" i="26"/>
  <c r="J559" i="26"/>
  <c r="K559" i="26"/>
  <c r="L559" i="26"/>
  <c r="K555" i="26"/>
  <c r="L555" i="26"/>
  <c r="J555" i="26"/>
  <c r="K580" i="26"/>
  <c r="L580" i="26"/>
  <c r="J580" i="26"/>
  <c r="K572" i="26"/>
  <c r="L572" i="26"/>
  <c r="J572" i="26"/>
  <c r="K564" i="26"/>
  <c r="L564" i="26"/>
  <c r="J564" i="26"/>
  <c r="J560" i="26"/>
  <c r="K560" i="26"/>
  <c r="L560" i="26"/>
  <c r="J582" i="26"/>
  <c r="K582" i="26"/>
  <c r="L582" i="26"/>
  <c r="J578" i="26"/>
  <c r="K578" i="26"/>
  <c r="L578" i="26"/>
  <c r="J574" i="26"/>
  <c r="K574" i="26"/>
  <c r="L574" i="26"/>
  <c r="J570" i="26"/>
  <c r="K570" i="26"/>
  <c r="L570" i="26"/>
  <c r="J566" i="26"/>
  <c r="K566" i="26"/>
  <c r="L566" i="26"/>
  <c r="J562" i="26"/>
  <c r="K562" i="26"/>
  <c r="L562" i="26"/>
  <c r="J558" i="26"/>
  <c r="K558" i="26"/>
  <c r="L558" i="26"/>
  <c r="J554" i="26"/>
  <c r="K554" i="26"/>
  <c r="L554" i="26"/>
  <c r="K581" i="26"/>
  <c r="L581" i="26"/>
  <c r="J581" i="26"/>
  <c r="K577" i="26"/>
  <c r="L577" i="26"/>
  <c r="J577" i="26"/>
  <c r="K573" i="26"/>
  <c r="L573" i="26"/>
  <c r="J573" i="26"/>
  <c r="K569" i="26"/>
  <c r="L569" i="26"/>
  <c r="J569" i="26"/>
  <c r="K565" i="26"/>
  <c r="L565" i="26"/>
  <c r="J565" i="26"/>
  <c r="K561" i="26"/>
  <c r="L561" i="26"/>
  <c r="J561" i="26"/>
  <c r="K557" i="26"/>
  <c r="L557" i="26"/>
  <c r="J557" i="26"/>
  <c r="K553" i="26"/>
  <c r="L553" i="26"/>
  <c r="J553" i="26"/>
  <c r="K552" i="26"/>
  <c r="L552" i="26"/>
  <c r="J552" i="26"/>
  <c r="P866" i="26"/>
  <c r="N866" i="26"/>
  <c r="O866" i="26"/>
  <c r="M866" i="26"/>
  <c r="N711" i="26"/>
  <c r="O711" i="26"/>
  <c r="P711" i="26"/>
  <c r="M711" i="26"/>
  <c r="M867" i="26"/>
  <c r="P867" i="26"/>
  <c r="N867" i="26"/>
  <c r="O867" i="26"/>
  <c r="N8" i="26"/>
  <c r="O8" i="26"/>
  <c r="M8" i="26"/>
  <c r="P8" i="26"/>
  <c r="P318" i="26"/>
  <c r="N318" i="26"/>
  <c r="O318" i="26"/>
  <c r="M318" i="26"/>
  <c r="P86" i="26"/>
  <c r="M86" i="26"/>
  <c r="N86" i="26"/>
  <c r="O86" i="26"/>
  <c r="M85" i="26"/>
  <c r="N85" i="26"/>
  <c r="O85" i="26"/>
  <c r="D18" i="38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/>
  <c r="H19" i="38"/>
  <c r="H20" i="38"/>
  <c r="M19" i="38"/>
  <c r="E19" i="38"/>
  <c r="I19" i="38"/>
  <c r="I20" i="38"/>
  <c r="N19" i="38"/>
  <c r="N20" i="38"/>
  <c r="F19" i="38"/>
  <c r="F20" i="38"/>
  <c r="J19" i="38"/>
  <c r="C19" i="38"/>
  <c r="C20" i="38"/>
  <c r="G19" i="38"/>
  <c r="G20" i="38"/>
  <c r="K19" i="38"/>
  <c r="K20" i="38"/>
  <c r="L19" i="38"/>
  <c r="M16" i="30"/>
  <c r="F9" i="29"/>
  <c r="H9" i="29"/>
  <c r="L9" i="29"/>
  <c r="I10" i="29"/>
  <c r="N9" i="11"/>
  <c r="M10" i="29"/>
  <c r="N9" i="15"/>
  <c r="C9" i="29"/>
  <c r="N8" i="1"/>
  <c r="I9" i="29"/>
  <c r="N8" i="11"/>
  <c r="M9" i="29"/>
  <c r="N8" i="15"/>
  <c r="F10" i="29"/>
  <c r="N8" i="6"/>
  <c r="J10" i="29"/>
  <c r="N9" i="12"/>
  <c r="N10" i="29"/>
  <c r="N9" i="16"/>
  <c r="G9" i="29"/>
  <c r="H10" i="29"/>
  <c r="N9" i="10"/>
  <c r="J9" i="29"/>
  <c r="N8" i="12"/>
  <c r="N9" i="29"/>
  <c r="N8" i="16"/>
  <c r="G10" i="29"/>
  <c r="K10" i="29"/>
  <c r="N9" i="13"/>
  <c r="C10" i="29"/>
  <c r="N9" i="1"/>
  <c r="K9" i="29"/>
  <c r="N8" i="13"/>
  <c r="L10" i="29"/>
  <c r="N9" i="14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/>
  <c r="B91" i="23"/>
  <c r="J91" i="23"/>
  <c r="B92" i="23"/>
  <c r="N92" i="23"/>
  <c r="B93" i="23"/>
  <c r="B94" i="23"/>
  <c r="K94" i="23"/>
  <c r="B95" i="23"/>
  <c r="K95" i="23"/>
  <c r="B96" i="23"/>
  <c r="G96" i="23"/>
  <c r="B97" i="23"/>
  <c r="B98" i="23"/>
  <c r="G98" i="23"/>
  <c r="B99" i="23"/>
  <c r="N99" i="23"/>
  <c r="B88" i="23"/>
  <c r="B76" i="23"/>
  <c r="B77" i="23"/>
  <c r="C77" i="23"/>
  <c r="B78" i="23"/>
  <c r="J78" i="23"/>
  <c r="B79" i="23"/>
  <c r="K79" i="23"/>
  <c r="B80" i="23"/>
  <c r="B81" i="23"/>
  <c r="K81" i="23"/>
  <c r="B82" i="23"/>
  <c r="K82" i="23"/>
  <c r="B83" i="23"/>
  <c r="C83" i="23"/>
  <c r="B84" i="23"/>
  <c r="B85" i="23"/>
  <c r="C85" i="23"/>
  <c r="B86" i="23"/>
  <c r="B75" i="23"/>
  <c r="B63" i="23"/>
  <c r="B64" i="23"/>
  <c r="N64" i="23"/>
  <c r="B65" i="23"/>
  <c r="N65" i="23"/>
  <c r="B66" i="23"/>
  <c r="B67" i="23"/>
  <c r="B68" i="23"/>
  <c r="H68" i="23"/>
  <c r="B69" i="23"/>
  <c r="B70" i="23"/>
  <c r="B71" i="23"/>
  <c r="B72" i="23"/>
  <c r="L72" i="23"/>
  <c r="B73" i="23"/>
  <c r="G73" i="23"/>
  <c r="B62" i="23"/>
  <c r="B50" i="23"/>
  <c r="B51" i="23"/>
  <c r="K51" i="23"/>
  <c r="B52" i="23"/>
  <c r="F52" i="23"/>
  <c r="B53" i="23"/>
  <c r="F53" i="23"/>
  <c r="B54" i="23"/>
  <c r="K54" i="23"/>
  <c r="B55" i="23"/>
  <c r="K55" i="23"/>
  <c r="B56" i="23"/>
  <c r="N56" i="23"/>
  <c r="B57" i="23"/>
  <c r="B58" i="23"/>
  <c r="B59" i="23"/>
  <c r="K59" i="23"/>
  <c r="B60" i="23"/>
  <c r="K60" i="23"/>
  <c r="B49" i="23"/>
  <c r="B37" i="23"/>
  <c r="B38" i="23"/>
  <c r="K38" i="23"/>
  <c r="B39" i="23"/>
  <c r="F39" i="23"/>
  <c r="B40" i="23"/>
  <c r="F40" i="23"/>
  <c r="B41" i="23"/>
  <c r="B42" i="23"/>
  <c r="K42" i="23"/>
  <c r="B43" i="23"/>
  <c r="D43" i="23"/>
  <c r="B44" i="23"/>
  <c r="B45" i="23"/>
  <c r="B46" i="23"/>
  <c r="K46" i="23"/>
  <c r="B47" i="23"/>
  <c r="K47" i="23"/>
  <c r="B36" i="23"/>
  <c r="B23" i="23"/>
  <c r="B24" i="23"/>
  <c r="I24" i="23"/>
  <c r="B25" i="23"/>
  <c r="B26" i="23"/>
  <c r="B27" i="23"/>
  <c r="B28" i="23"/>
  <c r="M28" i="23"/>
  <c r="B29" i="23"/>
  <c r="L29" i="23"/>
  <c r="B30" i="23"/>
  <c r="N30" i="23"/>
  <c r="B31" i="23"/>
  <c r="N31" i="23"/>
  <c r="B32" i="23"/>
  <c r="M32" i="23"/>
  <c r="B33" i="23"/>
  <c r="B22" i="23"/>
  <c r="B12" i="23"/>
  <c r="B13" i="23"/>
  <c r="B14" i="23"/>
  <c r="B15" i="23"/>
  <c r="B10" i="23"/>
  <c r="B9" i="23"/>
  <c r="P8" i="23"/>
  <c r="N9" i="9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/>
  <c r="J9" i="23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/>
  <c r="C32" i="23"/>
  <c r="E27" i="23"/>
  <c r="F26" i="23"/>
  <c r="F31" i="23"/>
  <c r="F22" i="23"/>
  <c r="F9" i="23"/>
  <c r="G26" i="23"/>
  <c r="G31" i="23"/>
  <c r="H31" i="23"/>
  <c r="I30" i="23"/>
  <c r="J30" i="23"/>
  <c r="K24" i="23"/>
  <c r="K30" i="23"/>
  <c r="L24" i="23"/>
  <c r="P24" i="23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/>
  <c r="J12" i="23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/>
  <c r="D72" i="23"/>
  <c r="C76" i="23"/>
  <c r="G77" i="23"/>
  <c r="G79" i="23"/>
  <c r="O79" i="23"/>
  <c r="K80" i="23"/>
  <c r="C84" i="23"/>
  <c r="G85" i="23"/>
  <c r="F89" i="23"/>
  <c r="F88" i="23"/>
  <c r="F15" i="23"/>
  <c r="J90" i="23"/>
  <c r="J92" i="23"/>
  <c r="C94" i="23"/>
  <c r="C96" i="23"/>
  <c r="P96" i="23"/>
  <c r="G97" i="23"/>
  <c r="K98" i="23"/>
  <c r="G25" i="23"/>
  <c r="P25" i="23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/>
  <c r="P80" i="23"/>
  <c r="O27" i="23"/>
  <c r="O26" i="23"/>
  <c r="P95" i="23"/>
  <c r="O32" i="23"/>
  <c r="P81" i="23"/>
  <c r="O51" i="23"/>
  <c r="O43" i="23"/>
  <c r="K22" i="23"/>
  <c r="K9" i="23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/>
  <c r="F8" i="22"/>
  <c r="G8" i="22"/>
  <c r="G16" i="22"/>
  <c r="H8" i="22"/>
  <c r="H16" i="22"/>
  <c r="I8" i="22"/>
  <c r="J8" i="22"/>
  <c r="K8" i="22"/>
  <c r="K16" i="22"/>
  <c r="L8" i="22"/>
  <c r="M8" i="22"/>
  <c r="M16" i="22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/>
  <c r="O12" i="21"/>
  <c r="O13" i="21"/>
  <c r="P58" i="23"/>
  <c r="O33" i="23"/>
  <c r="L75" i="23"/>
  <c r="L14" i="23"/>
  <c r="O40" i="23"/>
  <c r="O82" i="23"/>
  <c r="O63" i="23"/>
  <c r="P40" i="23"/>
  <c r="C22" i="23"/>
  <c r="C9" i="23"/>
  <c r="P63" i="23"/>
  <c r="P52" i="23"/>
  <c r="P32" i="23"/>
  <c r="P13" i="38"/>
  <c r="O20" i="38"/>
  <c r="C14" i="38"/>
  <c r="D10" i="38"/>
  <c r="D14" i="38"/>
  <c r="E10" i="38"/>
  <c r="E14" i="38"/>
  <c r="F10" i="38"/>
  <c r="F14" i="38"/>
  <c r="O13" i="38"/>
  <c r="K88" i="23"/>
  <c r="K15" i="23"/>
  <c r="P98" i="23"/>
  <c r="P85" i="23"/>
  <c r="P68" i="23"/>
  <c r="O72" i="23"/>
  <c r="O38" i="23"/>
  <c r="O24" i="23"/>
  <c r="N22" i="23"/>
  <c r="N9" i="23"/>
  <c r="P51" i="23"/>
  <c r="L22" i="23"/>
  <c r="L9" i="23"/>
  <c r="H22" i="23"/>
  <c r="H9" i="23"/>
  <c r="O66" i="23"/>
  <c r="O42" i="23"/>
  <c r="P23" i="23"/>
  <c r="O92" i="23"/>
  <c r="P83" i="23"/>
  <c r="M75" i="23"/>
  <c r="M14" i="23"/>
  <c r="O30" i="23"/>
  <c r="P89" i="23"/>
  <c r="O97" i="23"/>
  <c r="I75" i="23"/>
  <c r="I14" i="23"/>
  <c r="O80" i="23"/>
  <c r="P84" i="23"/>
  <c r="P71" i="23"/>
  <c r="I22" i="23"/>
  <c r="I9" i="23"/>
  <c r="E22" i="23"/>
  <c r="E9" i="23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/>
  <c r="G88" i="23"/>
  <c r="G15" i="23"/>
  <c r="P93" i="23"/>
  <c r="F75" i="23"/>
  <c r="F14" i="23"/>
  <c r="O67" i="23"/>
  <c r="M36" i="23"/>
  <c r="M10" i="23"/>
  <c r="O45" i="23"/>
  <c r="M22" i="23"/>
  <c r="M9" i="23"/>
  <c r="N88" i="23"/>
  <c r="N15" i="23"/>
  <c r="O69" i="23"/>
  <c r="O52" i="23"/>
  <c r="P56" i="23"/>
  <c r="P33" i="23"/>
  <c r="P29" i="23"/>
  <c r="O93" i="23"/>
  <c r="D22" i="23"/>
  <c r="D9" i="23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/>
  <c r="P26" i="23"/>
  <c r="O90" i="23"/>
  <c r="D88" i="23"/>
  <c r="D15" i="23"/>
  <c r="O91" i="23"/>
  <c r="P82" i="23"/>
  <c r="O65" i="23"/>
  <c r="O25" i="23"/>
  <c r="O85" i="23"/>
  <c r="O77" i="23"/>
  <c r="O68" i="23"/>
  <c r="O59" i="23"/>
  <c r="O54" i="23"/>
  <c r="I49" i="23"/>
  <c r="I12" i="23"/>
  <c r="P44" i="23"/>
  <c r="P38" i="23"/>
  <c r="O31" i="23"/>
  <c r="P90" i="23"/>
  <c r="O98" i="23"/>
  <c r="O23" i="23"/>
  <c r="P69" i="23"/>
  <c r="C49" i="23"/>
  <c r="C12" i="23"/>
  <c r="O96" i="23"/>
  <c r="P46" i="23"/>
  <c r="P97" i="23"/>
  <c r="P92" i="23"/>
  <c r="O83" i="23"/>
  <c r="P86" i="23"/>
  <c r="O78" i="23"/>
  <c r="P47" i="23"/>
  <c r="O39" i="23"/>
  <c r="O84" i="23"/>
  <c r="C75" i="23"/>
  <c r="C14" i="23"/>
  <c r="P67" i="23"/>
  <c r="K62" i="23"/>
  <c r="K13" i="23"/>
  <c r="O55" i="23"/>
  <c r="O28" i="23"/>
  <c r="O29" i="23"/>
  <c r="P31" i="23"/>
  <c r="O95" i="23"/>
  <c r="P43" i="23"/>
  <c r="F62" i="23"/>
  <c r="F13" i="23"/>
  <c r="K49" i="23"/>
  <c r="K12" i="23"/>
  <c r="N9" i="30"/>
  <c r="M9" i="30"/>
  <c r="L62" i="23"/>
  <c r="L13" i="23"/>
  <c r="J36" i="23"/>
  <c r="J10" i="23"/>
  <c r="M49" i="23"/>
  <c r="M12" i="23"/>
  <c r="G36" i="23"/>
  <c r="G10" i="23"/>
  <c r="C62" i="23"/>
  <c r="C13" i="23"/>
  <c r="L88" i="23"/>
  <c r="L15" i="23"/>
  <c r="H75" i="23"/>
  <c r="H14" i="23"/>
  <c r="I62" i="23"/>
  <c r="I13" i="23"/>
  <c r="D49" i="23"/>
  <c r="D12" i="23"/>
  <c r="D15" i="30"/>
  <c r="C15" i="30"/>
  <c r="E15" i="30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/>
  <c r="G62" i="23"/>
  <c r="G13" i="23"/>
  <c r="D36" i="23"/>
  <c r="D10" i="23"/>
  <c r="D11" i="23"/>
  <c r="J62" i="23"/>
  <c r="J13" i="23"/>
  <c r="G49" i="23"/>
  <c r="G12" i="23"/>
  <c r="J88" i="23"/>
  <c r="J15" i="23"/>
  <c r="I88" i="23"/>
  <c r="I15" i="23"/>
  <c r="J75" i="23"/>
  <c r="J14" i="23"/>
  <c r="M62" i="23"/>
  <c r="M13" i="23"/>
  <c r="H49" i="23"/>
  <c r="H12" i="23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/>
  <c r="N11" i="23"/>
  <c r="D62" i="23"/>
  <c r="D13" i="23"/>
  <c r="E49" i="23"/>
  <c r="E12" i="23"/>
  <c r="K75" i="23"/>
  <c r="K14" i="23"/>
  <c r="N62" i="23"/>
  <c r="N13" i="23"/>
  <c r="K36" i="23"/>
  <c r="K10" i="23"/>
  <c r="K11" i="23"/>
  <c r="M88" i="23"/>
  <c r="M15" i="23"/>
  <c r="N75" i="23"/>
  <c r="N14" i="23"/>
  <c r="E75" i="23"/>
  <c r="E14" i="23"/>
  <c r="L49" i="23"/>
  <c r="L12" i="23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G16" i="29"/>
  <c r="F12" i="42"/>
  <c r="H16" i="29"/>
  <c r="H18" i="29"/>
  <c r="E17" i="29"/>
  <c r="F17" i="29"/>
  <c r="G17" i="29"/>
  <c r="D10" i="29"/>
  <c r="N9" i="3"/>
  <c r="C18" i="30"/>
  <c r="L16" i="29"/>
  <c r="I17" i="29"/>
  <c r="J17" i="29"/>
  <c r="K17" i="29"/>
  <c r="F16" i="29"/>
  <c r="F18" i="29"/>
  <c r="K16" i="29"/>
  <c r="J16" i="29"/>
  <c r="J18" i="29"/>
  <c r="C16" i="29"/>
  <c r="I16" i="29"/>
  <c r="M17" i="29"/>
  <c r="N17" i="29"/>
  <c r="C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/>
  <c r="N16" i="23"/>
  <c r="P65" i="23"/>
  <c r="K16" i="23"/>
  <c r="C16" i="30"/>
  <c r="D16" i="30"/>
  <c r="D12" i="30"/>
  <c r="C12" i="30"/>
  <c r="D8" i="30"/>
  <c r="C8" i="30"/>
  <c r="E10" i="29"/>
  <c r="N9" i="4"/>
  <c r="E9" i="29"/>
  <c r="N8" i="4"/>
  <c r="M10" i="30"/>
  <c r="N10" i="30"/>
  <c r="H17" i="30"/>
  <c r="I17" i="30"/>
  <c r="H13" i="30"/>
  <c r="I13" i="30"/>
  <c r="H9" i="30"/>
  <c r="I9" i="30"/>
  <c r="G22" i="23"/>
  <c r="G9" i="23"/>
  <c r="G11" i="23"/>
  <c r="M11" i="23"/>
  <c r="O47" i="23"/>
  <c r="O57" i="23"/>
  <c r="O76" i="23"/>
  <c r="P76" i="23"/>
  <c r="L16" i="23"/>
  <c r="H36" i="23"/>
  <c r="H10" i="23"/>
  <c r="H11" i="23"/>
  <c r="G75" i="23"/>
  <c r="G14" i="23"/>
  <c r="L36" i="23"/>
  <c r="L10" i="23"/>
  <c r="L11" i="23"/>
  <c r="H62" i="23"/>
  <c r="H13" i="23"/>
  <c r="F49" i="23"/>
  <c r="F12" i="23"/>
  <c r="F16" i="23"/>
  <c r="F36" i="23"/>
  <c r="F10" i="23"/>
  <c r="F11" i="23"/>
  <c r="F17" i="23"/>
  <c r="F18" i="23"/>
  <c r="H88" i="23"/>
  <c r="H15" i="23"/>
  <c r="D75" i="23"/>
  <c r="D14" i="23"/>
  <c r="E62" i="23"/>
  <c r="E13" i="23"/>
  <c r="I36" i="23"/>
  <c r="I10" i="23"/>
  <c r="I11" i="23"/>
  <c r="L10" i="19"/>
  <c r="F16" i="22"/>
  <c r="B9" i="19"/>
  <c r="P11" i="22"/>
  <c r="I16" i="22"/>
  <c r="P8" i="22"/>
  <c r="O8" i="22"/>
  <c r="C16" i="22"/>
  <c r="C17" i="22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/>
  <c r="O15" i="23"/>
  <c r="C11" i="23"/>
  <c r="O22" i="23"/>
  <c r="O9" i="23"/>
  <c r="C16" i="23"/>
  <c r="P88" i="23"/>
  <c r="P15" i="23"/>
  <c r="P22" i="23"/>
  <c r="P9" i="23"/>
  <c r="O62" i="23"/>
  <c r="O13" i="23"/>
  <c r="O75" i="23"/>
  <c r="O14" i="23"/>
  <c r="O36" i="23"/>
  <c r="O10" i="23"/>
  <c r="I18" i="29"/>
  <c r="G10" i="38"/>
  <c r="J9" i="30"/>
  <c r="J17" i="30"/>
  <c r="J18" i="30"/>
  <c r="O49" i="23"/>
  <c r="O12" i="23"/>
  <c r="K17" i="23"/>
  <c r="K18" i="23"/>
  <c r="P49" i="23"/>
  <c r="P12" i="23"/>
  <c r="P36" i="23"/>
  <c r="P10" i="23"/>
  <c r="P62" i="23"/>
  <c r="P13" i="23"/>
  <c r="E9" i="30"/>
  <c r="C17" i="23"/>
  <c r="C18" i="23"/>
  <c r="D8" i="23"/>
  <c r="L17" i="23"/>
  <c r="L18" i="23"/>
  <c r="P75" i="23"/>
  <c r="P14" i="23"/>
  <c r="E8" i="30"/>
  <c r="N17" i="23"/>
  <c r="N18" i="23"/>
  <c r="G16" i="23"/>
  <c r="K18" i="29"/>
  <c r="J16" i="23"/>
  <c r="J17" i="23"/>
  <c r="J18" i="23"/>
  <c r="D16" i="23"/>
  <c r="D17" i="23"/>
  <c r="D18" i="23"/>
  <c r="J14" i="30"/>
  <c r="L18" i="29"/>
  <c r="E18" i="29"/>
  <c r="I16" i="23"/>
  <c r="I17" i="23"/>
  <c r="I18" i="23"/>
  <c r="O11" i="30"/>
  <c r="E17" i="30"/>
  <c r="G18" i="29"/>
  <c r="O8" i="30"/>
  <c r="J11" i="30"/>
  <c r="J15" i="30"/>
  <c r="O9" i="30"/>
  <c r="N8" i="3"/>
  <c r="C9" i="19"/>
  <c r="O9" i="29"/>
  <c r="P9" i="29"/>
  <c r="M18" i="29"/>
  <c r="N17" i="30"/>
  <c r="M16" i="23"/>
  <c r="M17" i="23"/>
  <c r="M18" i="23"/>
  <c r="G17" i="23"/>
  <c r="G18" i="23"/>
  <c r="J13" i="30"/>
  <c r="O10" i="30"/>
  <c r="E16" i="30"/>
  <c r="O17" i="29"/>
  <c r="O16" i="29"/>
  <c r="C18" i="29"/>
  <c r="E18" i="30"/>
  <c r="D18" i="29"/>
  <c r="J8" i="30"/>
  <c r="E11" i="30"/>
  <c r="E16" i="23"/>
  <c r="E17" i="23"/>
  <c r="E18" i="23"/>
  <c r="J16" i="30"/>
  <c r="O11" i="23"/>
  <c r="E12" i="30"/>
  <c r="E13" i="30"/>
  <c r="N18" i="29"/>
  <c r="E14" i="30"/>
  <c r="O13" i="30"/>
  <c r="J10" i="30"/>
  <c r="O12" i="30"/>
  <c r="H16" i="23"/>
  <c r="H17" i="23"/>
  <c r="H18" i="23"/>
  <c r="E10" i="30"/>
  <c r="J12" i="30"/>
  <c r="P11" i="23"/>
  <c r="F11" i="29"/>
  <c r="N9" i="6"/>
  <c r="E10" i="19"/>
  <c r="E11" i="19"/>
  <c r="H10" i="19"/>
  <c r="I11" i="29"/>
  <c r="F10" i="19"/>
  <c r="F9" i="19"/>
  <c r="D10" i="19"/>
  <c r="G10" i="19"/>
  <c r="J10" i="19"/>
  <c r="K11" i="29"/>
  <c r="B10" i="19"/>
  <c r="B11" i="19"/>
  <c r="B12" i="19"/>
  <c r="C8" i="19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/>
  <c r="N10" i="15"/>
  <c r="I10" i="19"/>
  <c r="N10" i="9"/>
  <c r="M10" i="19"/>
  <c r="M11" i="19"/>
  <c r="N10" i="14"/>
  <c r="N10" i="11"/>
  <c r="H9" i="19"/>
  <c r="N10" i="10"/>
  <c r="N10" i="4"/>
  <c r="N10" i="1"/>
  <c r="O16" i="23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/>
  <c r="D8" i="19"/>
  <c r="N11" i="29"/>
  <c r="N10" i="16"/>
  <c r="L11" i="29"/>
  <c r="G11" i="29"/>
  <c r="F7" i="42"/>
  <c r="P10" i="29"/>
  <c r="P11" i="29"/>
  <c r="O10" i="29"/>
  <c r="C11" i="29"/>
  <c r="D11" i="29"/>
  <c r="M11" i="29"/>
  <c r="D7" i="22"/>
  <c r="D17" i="22"/>
  <c r="N10" i="19"/>
  <c r="N9" i="19"/>
  <c r="I11" i="19"/>
  <c r="O10" i="19"/>
  <c r="O9" i="19"/>
  <c r="H10" i="38"/>
  <c r="D12" i="19"/>
  <c r="E8" i="19"/>
  <c r="E12" i="19"/>
  <c r="F8" i="19"/>
  <c r="F12" i="19"/>
  <c r="G8" i="19"/>
  <c r="G12" i="19"/>
  <c r="H8" i="19"/>
  <c r="H12" i="19"/>
  <c r="I8" i="19"/>
  <c r="I12" i="19"/>
  <c r="J8" i="19"/>
  <c r="J12" i="19"/>
  <c r="K8" i="19"/>
  <c r="K12" i="19"/>
  <c r="L8" i="19"/>
  <c r="L12" i="19"/>
  <c r="M8" i="19"/>
  <c r="M12" i="19"/>
  <c r="O12" i="19"/>
  <c r="N11" i="19"/>
  <c r="O11" i="29"/>
  <c r="C12" i="29"/>
  <c r="D8" i="29"/>
  <c r="D12" i="29"/>
  <c r="E8" i="29"/>
  <c r="E12" i="29"/>
  <c r="F8" i="29"/>
  <c r="F12" i="29"/>
  <c r="G8" i="29"/>
  <c r="E8" i="23"/>
  <c r="O11" i="19"/>
  <c r="H14" i="38"/>
  <c r="I10" i="38"/>
  <c r="I14" i="38"/>
  <c r="J10" i="38"/>
  <c r="J14" i="38"/>
  <c r="K10" i="38"/>
  <c r="K14" i="38"/>
  <c r="L10" i="38"/>
  <c r="L14" i="38"/>
  <c r="M10" i="38"/>
  <c r="M14" i="38"/>
  <c r="N10" i="38"/>
  <c r="N14" i="38"/>
  <c r="G12" i="29"/>
  <c r="F8" i="42"/>
  <c r="E7" i="22"/>
  <c r="N12" i="19"/>
  <c r="N8" i="19"/>
  <c r="O10" i="38"/>
  <c r="P14" i="38"/>
  <c r="O14" i="38"/>
  <c r="H8" i="29"/>
  <c r="F8" i="23"/>
  <c r="E17" i="22"/>
  <c r="H12" i="29"/>
  <c r="I8" i="29"/>
  <c r="I12" i="29"/>
  <c r="J8" i="29"/>
  <c r="J12" i="29"/>
  <c r="K8" i="29"/>
  <c r="K12" i="29"/>
  <c r="L8" i="29"/>
  <c r="L12" i="29"/>
  <c r="M8" i="29"/>
  <c r="M12" i="29"/>
  <c r="N8" i="29"/>
  <c r="N12" i="29"/>
  <c r="F7" i="22"/>
  <c r="O8" i="29"/>
  <c r="P12" i="29"/>
  <c r="O12" i="29"/>
  <c r="G8" i="23"/>
  <c r="F17" i="22"/>
  <c r="G7" i="22"/>
  <c r="H8" i="23"/>
  <c r="G17" i="22"/>
  <c r="I8" i="23"/>
  <c r="J8" i="23"/>
  <c r="K8" i="23"/>
  <c r="H7" i="22"/>
  <c r="L8" i="23"/>
  <c r="H17" i="22"/>
  <c r="I7" i="22"/>
  <c r="I17" i="22"/>
  <c r="J7" i="22"/>
  <c r="J17" i="22"/>
  <c r="K7" i="22"/>
  <c r="K17" i="22"/>
  <c r="L7" i="22"/>
  <c r="L17" i="22"/>
  <c r="M7" i="22"/>
  <c r="M17" i="22"/>
  <c r="N7" i="22"/>
  <c r="N17" i="22"/>
  <c r="M8" i="23"/>
  <c r="N8" i="23"/>
  <c r="O7" i="22"/>
  <c r="P17" i="22"/>
  <c r="O17" i="22"/>
  <c r="O8" i="23"/>
  <c r="P18" i="23"/>
  <c r="M17" i="30"/>
  <c r="O17" i="30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sharedStrings.xml><?xml version="1.0" encoding="utf-8"?>
<sst xmlns="http://schemas.openxmlformats.org/spreadsheetml/2006/main" count="3007" uniqueCount="194">
  <si>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</si>
  <si>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</si>
  <si>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</si>
  <si>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</si>
  <si>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</si>
  <si>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</si>
  <si>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</si>
  <si>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</si>
  <si>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</si>
  <si>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</si>
  <si>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</si>
  <si>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</si>
  <si>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</si>
  <si>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</si>
  <si>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</si>
  <si>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</si>
  <si>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</si>
  <si>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</si>
  <si>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</si>
  <si>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</si>
  <si>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</si>
  <si>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</si>
  <si>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</si>
  <si>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</si>
  <si>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</si>
  <si>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</si>
  <si>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</si>
  <si>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</si>
  <si>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</si>
  <si>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</si>
  <si>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</si>
  <si>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</si>
  <si>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</si>
  <si>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</si>
  <si>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</si>
  <si>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</si>
  <si>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</si>
  <si>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</si>
  <si>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</si>
  <si>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</si>
  <si>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</si>
  <si>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</si>
  <si>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</si>
  <si>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</si>
  <si>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</si>
  <si>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</si>
  <si>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</si>
  <si>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</si>
  <si>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</si>
  <si>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</si>
  <si>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</si>
  <si>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</si>
  <si>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</si>
  <si>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</si>
  <si>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</si>
  <si>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</si>
  <si>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</si>
  <si>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</si>
  <si>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</si>
  <si>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</si>
  <si>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</si>
  <si>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</si>
  <si>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</si>
  <si>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</si>
  <si>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</si>
  <si>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</si>
  <si>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</si>
  <si>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</si>
  <si>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</si>
  <si>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</si>
  <si>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</si>
  <si>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</si>
  <si>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</si>
  <si>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</si>
  <si>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</si>
  <si>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</si>
  <si>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</si>
  <si>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</si>
  <si>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</si>
  <si>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</si>
  <si>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</si>
  <si>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</si>
  <si>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</si>
  <si>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</si>
  <si>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</si>
  <si>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</si>
  <si>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</si>
  <si>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</si>
  <si>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</si>
  <si>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</si>
  <si>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</si>
  <si>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</si>
  <si>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</si>
  <si>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</si>
  <si>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</si>
  <si>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</si>
  <si>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</si>
  <si>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</si>
  <si>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</si>
  <si>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</si>
  <si>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</si>
  <si>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</si>
  <si>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</si>
  <si>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</si>
  <si>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</si>
  <si>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</si>
  <si>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</si>
  <si>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</si>
  <si>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</si>
  <si>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</si>
  <si>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</si>
  <si>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</si>
  <si>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</si>
  <si>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</si>
  <si>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</si>
  <si>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</si>
  <si>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</si>
  <si>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</si>
  <si>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</si>
  <si>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</si>
  <si>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</si>
  <si>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</si>
  <si>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</si>
  <si>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</si>
  <si>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</si>
  <si>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</si>
  <si>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</si>
  <si>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</si>
  <si>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</si>
  <si>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</si>
  <si>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</si>
  <si>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</si>
  <si>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</si>
  <si>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</si>
  <si>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</si>
  <si>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</si>
  <si>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</si>
  <si>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</si>
  <si>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</si>
  <si>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</si>
  <si>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</si>
  <si>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</si>
  <si>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</si>
  <si>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</si>
  <si>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</si>
  <si>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</si>
  <si>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</si>
  <si>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</si>
  <si>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</si>
  <si>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</si>
  <si>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</si>
  <si>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</si>
  <si>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</si>
  <si>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</si>
  <si>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</si>
  <si>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</si>
  <si>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</si>
  <si>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</si>
  <si>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</si>
  <si>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</si>
  <si>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</si>
  <si>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</si>
  <si>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</si>
  <si>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</si>
  <si>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</si>
  <si>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</si>
  <si>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</si>
  <si>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</si>
  <si>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</si>
  <si>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</si>
  <si>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</si>
  <si>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</si>
  <si>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</si>
  <si>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</si>
  <si>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</si>
  <si>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</si>
  <si>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</si>
  <si>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</si>
  <si>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</si>
  <si>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</si>
  <si>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</si>
  <si>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</si>
  <si>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</si>
  <si>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</si>
  <si>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</si>
  <si>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</si>
  <si>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</si>
  <si>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</si>
  <si>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</si>
  <si>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</si>
  <si>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</si>
  <si>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</si>
  <si>
    <t>VINCULO DA CELULA DA CAIXA DE OPÇÕES</t>
  </si>
  <si>
    <t>linhas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</si>
</sst>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0" fillId="13" borderId="0" xfId="0" applyFill="1"/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0" xfId="0" applyFont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0" borderId="13" xfId="0" applyNumberFormat="1" applyBorder="1"/>
    <xf numFmtId="166" fontId="14" fillId="0" borderId="4" xfId="0" applyNumberFormat="1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166" fontId="14" fillId="3" borderId="0" xfId="0" applyNumberFormat="1" applyFont="1" applyFill="1" applyBorder="1" applyAlignment="1">
      <alignment horizontal="center" wrapText="1"/>
    </xf>
    <xf numFmtId="166" fontId="14" fillId="6" borderId="0" xfId="0" applyNumberFormat="1" applyFont="1" applyFill="1" applyBorder="1" applyAlignment="1">
      <alignment horizontal="center" wrapText="1"/>
    </xf>
    <xf numFmtId="166" fontId="16" fillId="0" borderId="0" xfId="0" applyNumberFormat="1" applyFont="1" applyAlignment="1">
      <alignment horizontal="center" vertical="center"/>
    </xf>
    <xf numFmtId="1" fontId="0" fillId="0" borderId="0" xfId="0" applyNumberFormat="1"/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</cellXfs>
  <cellStyles count="1">
    <cellStyle name="Normal" xfId="0" builtinId="0"/>
  </cellStyles>
  <dxfs count="577"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66472"/>
        <c:axId val="477769608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333.26666666666756</c:v>
                </c:pt>
                <c:pt idx="12">
                  <c:v>19647.8</c:v>
                </c:pt>
                <c:pt idx="13">
                  <c:v>333.26666666666756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66472"/>
        <c:axId val="477769608"/>
      </c:lineChart>
      <c:catAx>
        <c:axId val="47776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9608"/>
        <c:crosses val="autoZero"/>
        <c:auto val="1"/>
        <c:lblAlgn val="ctr"/>
        <c:lblOffset val="100"/>
        <c:noMultiLvlLbl val="0"/>
      </c:catAx>
      <c:valAx>
        <c:axId val="47776960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6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2957</c:v>
                </c:pt>
                <c:pt idx="8">
                  <c:v>2957</c:v>
                </c:pt>
                <c:pt idx="9">
                  <c:v>2351</c:v>
                </c:pt>
                <c:pt idx="10">
                  <c:v>904.60000000000036</c:v>
                </c:pt>
                <c:pt idx="11">
                  <c:v>618.93333333333396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65296"/>
        <c:axId val="477767256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65296"/>
        <c:axId val="477767256"/>
      </c:lineChart>
      <c:catAx>
        <c:axId val="47776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7256"/>
        <c:crosses val="autoZero"/>
        <c:auto val="1"/>
        <c:lblAlgn val="ctr"/>
        <c:lblOffset val="100"/>
        <c:noMultiLvlLbl val="0"/>
      </c:catAx>
      <c:valAx>
        <c:axId val="4777672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6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67648"/>
        <c:axId val="477770392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67648"/>
        <c:axId val="477770392"/>
      </c:lineChart>
      <c:catAx>
        <c:axId val="47776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70392"/>
        <c:crosses val="autoZero"/>
        <c:auto val="1"/>
        <c:lblAlgn val="ctr"/>
        <c:lblOffset val="100"/>
        <c:noMultiLvlLbl val="0"/>
      </c:catAx>
      <c:valAx>
        <c:axId val="47777039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6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64027034907001E-2"/>
          <c:y val="1.3714587603695658E-3"/>
          <c:w val="0.97311393146839353"/>
          <c:h val="0.9723933455932118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4207328"/>
        <c:axId val="474209288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207328"/>
        <c:axId val="474209288"/>
      </c:lineChart>
      <c:catAx>
        <c:axId val="47420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09288"/>
        <c:crosses val="autoZero"/>
        <c:auto val="1"/>
        <c:lblAlgn val="ctr"/>
        <c:lblOffset val="100"/>
        <c:noMultiLvlLbl val="0"/>
      </c:catAx>
      <c:valAx>
        <c:axId val="47420928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420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750570235229793"/>
          <c:y val="9.088304207229228E-2"/>
          <c:w val="0.14451081737794441"/>
          <c:h val="0.22196000423936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75846.566666666666</c:v>
                </c:pt>
                <c:pt idx="1">
                  <c:v>81731.933333333334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75846.566666666666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9960.366666666665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9960.366666666665</c:v>
                </c:pt>
                <c:pt idx="3">
                  <c:v>9960.366666666665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48440"/>
        <c:axId val="477748048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48440"/>
        <c:axId val="477748048"/>
      </c:lineChart>
      <c:catAx>
        <c:axId val="477748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48048"/>
        <c:crosses val="autoZero"/>
        <c:auto val="1"/>
        <c:lblAlgn val="ctr"/>
        <c:lblOffset val="100"/>
        <c:noMultiLvlLbl val="0"/>
      </c:catAx>
      <c:valAx>
        <c:axId val="47774804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4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Lines="12" dropStyle="combo" dx="16" fmlaLink="'AUXILIAR 2'!$J$2" fmlaRange="'AUXILIAR 2'!$C$3:$C$14" noThreeD="1" sel="1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8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7.xml"/><Relationship Id="rId16" Type="http://schemas.openxmlformats.org/officeDocument/2006/relationships/hyperlink" Target="#'CENTRO DE CUSTO'!A1"/><Relationship Id="rId1" Type="http://schemas.openxmlformats.org/officeDocument/2006/relationships/chart" Target="../charts/chart6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10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9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29</xdr:col>
      <xdr:colOff>8165</xdr:colOff>
      <xdr:row>18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74753" name="Drop Dow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190499</xdr:colOff>
      <xdr:row>4</xdr:row>
      <xdr:rowOff>423334</xdr:rowOff>
    </xdr:from>
    <xdr:to>
      <xdr:col>8</xdr:col>
      <xdr:colOff>2857499</xdr:colOff>
      <xdr:row>12</xdr:row>
      <xdr:rowOff>529166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10</xdr:col>
      <xdr:colOff>98785</xdr:colOff>
      <xdr:row>1</xdr:row>
      <xdr:rowOff>340178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10405613" y="404363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006551" cy="62334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4</xdr:col>
      <xdr:colOff>485775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5</xdr:col>
      <xdr:colOff>276226</xdr:colOff>
      <xdr:row>3</xdr:row>
      <xdr:rowOff>151488</xdr:rowOff>
    </xdr:from>
    <xdr:to>
      <xdr:col>9</xdr:col>
      <xdr:colOff>552450</xdr:colOff>
      <xdr:row>7</xdr:row>
      <xdr:rowOff>185016</xdr:rowOff>
    </xdr:to>
    <xdr:sp macro="" textlink="">
      <xdr:nvSpPr>
        <xdr:cNvPr id="9" name="Retângulo 8"/>
        <xdr:cNvSpPr/>
      </xdr:nvSpPr>
      <xdr:spPr>
        <a:xfrm>
          <a:off x="3324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276226</xdr:colOff>
      <xdr:row>3</xdr:row>
      <xdr:rowOff>151488</xdr:rowOff>
    </xdr:from>
    <xdr:to>
      <xdr:col>14</xdr:col>
      <xdr:colOff>552450</xdr:colOff>
      <xdr:row>7</xdr:row>
      <xdr:rowOff>185016</xdr:rowOff>
    </xdr:to>
    <xdr:sp macro="" textlink="">
      <xdr:nvSpPr>
        <xdr:cNvPr id="10" name="Retângulo 9"/>
        <xdr:cNvSpPr/>
      </xdr:nvSpPr>
      <xdr:spPr>
        <a:xfrm>
          <a:off x="6372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276226</xdr:colOff>
      <xdr:row>3</xdr:row>
      <xdr:rowOff>151488</xdr:rowOff>
    </xdr:from>
    <xdr:to>
      <xdr:col>19</xdr:col>
      <xdr:colOff>552450</xdr:colOff>
      <xdr:row>7</xdr:row>
      <xdr:rowOff>185016</xdr:rowOff>
    </xdr:to>
    <xdr:sp macro="" textlink="">
      <xdr:nvSpPr>
        <xdr:cNvPr id="11" name="Retângulo 10"/>
        <xdr:cNvSpPr/>
      </xdr:nvSpPr>
      <xdr:spPr>
        <a:xfrm>
          <a:off x="9420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8</xdr:row>
      <xdr:rowOff>141963</xdr:rowOff>
    </xdr:from>
    <xdr:to>
      <xdr:col>4</xdr:col>
      <xdr:colOff>485775</xdr:colOff>
      <xdr:row>12</xdr:row>
      <xdr:rowOff>175491</xdr:rowOff>
    </xdr:to>
    <xdr:sp macro="" textlink="">
      <xdr:nvSpPr>
        <xdr:cNvPr id="12" name="Retângulo 11"/>
        <xdr:cNvSpPr/>
      </xdr:nvSpPr>
      <xdr:spPr>
        <a:xfrm>
          <a:off x="304801" y="166596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13</xdr:row>
      <xdr:rowOff>132438</xdr:rowOff>
    </xdr:from>
    <xdr:to>
      <xdr:col>4</xdr:col>
      <xdr:colOff>485775</xdr:colOff>
      <xdr:row>17</xdr:row>
      <xdr:rowOff>165966</xdr:rowOff>
    </xdr:to>
    <xdr:sp macro="" textlink="">
      <xdr:nvSpPr>
        <xdr:cNvPr id="13" name="Retângulo 12"/>
        <xdr:cNvSpPr/>
      </xdr:nvSpPr>
      <xdr:spPr>
        <a:xfrm>
          <a:off x="304801" y="260893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18</xdr:row>
      <xdr:rowOff>122913</xdr:rowOff>
    </xdr:from>
    <xdr:to>
      <xdr:col>4</xdr:col>
      <xdr:colOff>485775</xdr:colOff>
      <xdr:row>22</xdr:row>
      <xdr:rowOff>156441</xdr:rowOff>
    </xdr:to>
    <xdr:sp macro="" textlink="">
      <xdr:nvSpPr>
        <xdr:cNvPr id="14" name="Retângulo 13"/>
        <xdr:cNvSpPr/>
      </xdr:nvSpPr>
      <xdr:spPr>
        <a:xfrm>
          <a:off x="304801" y="355191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5" name="Retângulo 14"/>
        <xdr:cNvSpPr/>
      </xdr:nvSpPr>
      <xdr:spPr>
        <a:xfrm>
          <a:off x="3286125" y="1570713"/>
          <a:ext cx="886813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37"/>
  <sheetViews>
    <sheetView showGridLines="0" zoomScale="60" zoomScaleNormal="60" workbookViewId="0"/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60" customFormat="1" ht="31.5" customHeight="1" x14ac:dyDescent="0.25"/>
    <row r="2" spans="1:15" s="60" customFormat="1" ht="36" customHeight="1" x14ac:dyDescent="0.25"/>
    <row r="3" spans="1:15" x14ac:dyDescent="0.25">
      <c r="B3" s="64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2957</v>
      </c>
      <c r="J8" s="47">
        <f t="shared" si="0"/>
        <v>2957</v>
      </c>
      <c r="K8" s="47">
        <f t="shared" si="0"/>
        <v>2351</v>
      </c>
      <c r="L8" s="47">
        <f t="shared" si="0"/>
        <v>904.60000000000036</v>
      </c>
      <c r="M8" s="47">
        <f t="shared" si="0"/>
        <v>618.93333333333396</v>
      </c>
      <c r="N8" s="47">
        <f>SUM(B8:M8)</f>
        <v>19425.533333333333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490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>SUM(B9:M9)</f>
        <v>5702.833333333333</v>
      </c>
      <c r="O9" s="47">
        <f>SUM(B9:M9)</f>
        <v>5702.833333333333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100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>SUM(B10:M10)</f>
        <v>5480.5666666666648</v>
      </c>
      <c r="O10" s="47">
        <f>SUM(B10:M10)</f>
        <v>5480.5666666666648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1">C9-C10</f>
        <v>784</v>
      </c>
      <c r="D11" s="47">
        <f t="shared" si="1"/>
        <v>198</v>
      </c>
      <c r="E11" s="47">
        <f t="shared" si="1"/>
        <v>0</v>
      </c>
      <c r="F11" s="47">
        <f t="shared" si="1"/>
        <v>1174</v>
      </c>
      <c r="G11" s="47">
        <f t="shared" si="1"/>
        <v>0</v>
      </c>
      <c r="H11" s="47">
        <f t="shared" si="1"/>
        <v>390</v>
      </c>
      <c r="I11" s="47">
        <f t="shared" si="1"/>
        <v>0</v>
      </c>
      <c r="J11" s="47">
        <f t="shared" si="1"/>
        <v>-606</v>
      </c>
      <c r="K11" s="47">
        <f t="shared" si="1"/>
        <v>-1446.3999999999996</v>
      </c>
      <c r="L11" s="47">
        <f t="shared" si="1"/>
        <v>-285.6666666666664</v>
      </c>
      <c r="M11" s="47">
        <f t="shared" si="1"/>
        <v>-285.6666666666664</v>
      </c>
      <c r="N11" s="47">
        <f>SUM(B11:M11)</f>
        <v>222.26666666666756</v>
      </c>
      <c r="O11" s="47">
        <f>O9-O10</f>
        <v>222.26666666666824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2">C8+C11</f>
        <v>1195</v>
      </c>
      <c r="D12" s="47">
        <f t="shared" si="2"/>
        <v>1393</v>
      </c>
      <c r="E12" s="47">
        <f t="shared" si="2"/>
        <v>1393</v>
      </c>
      <c r="F12" s="47">
        <f t="shared" si="2"/>
        <v>2567</v>
      </c>
      <c r="G12" s="47">
        <f t="shared" si="2"/>
        <v>2567</v>
      </c>
      <c r="H12" s="47">
        <f t="shared" si="2"/>
        <v>2957</v>
      </c>
      <c r="I12" s="47">
        <f t="shared" si="2"/>
        <v>2957</v>
      </c>
      <c r="J12" s="47">
        <f t="shared" si="2"/>
        <v>2351</v>
      </c>
      <c r="K12" s="47">
        <f t="shared" si="2"/>
        <v>904.60000000000036</v>
      </c>
      <c r="L12" s="47">
        <f t="shared" si="2"/>
        <v>618.93333333333396</v>
      </c>
      <c r="M12" s="47">
        <f t="shared" si="2"/>
        <v>333.26666666666756</v>
      </c>
      <c r="N12" s="47">
        <f>SUM(B12:M12)</f>
        <v>19647.8</v>
      </c>
      <c r="O12" s="47">
        <f>M12</f>
        <v>333.26666666666756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576" priority="16" operator="equal">
      <formula>"RECEITA"</formula>
    </cfRule>
    <cfRule type="cellIs" dxfId="575" priority="17" operator="equal">
      <formula>"DESPESA"</formula>
    </cfRule>
    <cfRule type="cellIs" dxfId="574" priority="18" operator="equal">
      <formula>"RECEITA"</formula>
    </cfRule>
    <cfRule type="cellIs" dxfId="573" priority="19" operator="equal">
      <formula>"DESPESA"</formula>
    </cfRule>
    <cfRule type="cellIs" dxfId="572" priority="20" operator="equal">
      <formula>"RECEITA"</formula>
    </cfRule>
    <cfRule type="cellIs" dxfId="571" priority="21" operator="equal">
      <formula>"DESPESA"</formula>
    </cfRule>
  </conditionalFormatting>
  <conditionalFormatting sqref="A9">
    <cfRule type="cellIs" dxfId="570" priority="10" operator="equal">
      <formula>"RECEITA"</formula>
    </cfRule>
    <cfRule type="cellIs" dxfId="569" priority="11" operator="equal">
      <formula>"DESPESA"</formula>
    </cfRule>
    <cfRule type="cellIs" dxfId="568" priority="12" operator="equal">
      <formula>"RECEITA"</formula>
    </cfRule>
    <cfRule type="cellIs" dxfId="567" priority="13" operator="equal">
      <formula>"DESPESA"</formula>
    </cfRule>
    <cfRule type="cellIs" dxfId="566" priority="14" operator="equal">
      <formula>"RECEITA"</formula>
    </cfRule>
    <cfRule type="cellIs" dxfId="565" priority="15" operator="equal">
      <formula>"DESPESA"</formula>
    </cfRule>
  </conditionalFormatting>
  <conditionalFormatting sqref="B11:N11">
    <cfRule type="cellIs" dxfId="564" priority="3" operator="lessThan">
      <formula>0</formula>
    </cfRule>
    <cfRule type="cellIs" dxfId="563" priority="4" operator="greaterThan">
      <formula>0</formula>
    </cfRule>
  </conditionalFormatting>
  <conditionalFormatting sqref="B12:O12">
    <cfRule type="cellIs" dxfId="562" priority="1" operator="lessThan">
      <formula>0</formula>
    </cfRule>
    <cfRule type="cellIs" dxfId="56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zoomScale="60" zoomScaleNormal="60" workbookViewId="0">
      <selection activeCell="G9" sqref="G9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560" priority="20" operator="equal">
      <formula>"RECEITA"</formula>
    </cfRule>
    <cfRule type="cellIs" dxfId="559" priority="21" operator="equal">
      <formula>"DESPESA"</formula>
    </cfRule>
    <cfRule type="cellIs" dxfId="558" priority="22" operator="equal">
      <formula>"RECEITA"</formula>
    </cfRule>
    <cfRule type="cellIs" dxfId="557" priority="23" operator="equal">
      <formula>"DESPESA"</formula>
    </cfRule>
  </conditionalFormatting>
  <conditionalFormatting sqref="M8">
    <cfRule type="cellIs" dxfId="556" priority="12" operator="equal">
      <formula>"RECEITA"</formula>
    </cfRule>
    <cfRule type="cellIs" dxfId="555" priority="13" operator="equal">
      <formula>"DESPESA"</formula>
    </cfRule>
    <cfRule type="cellIs" dxfId="554" priority="14" operator="equal">
      <formula>"RECEITA"</formula>
    </cfRule>
    <cfRule type="cellIs" dxfId="553" priority="15" operator="equal">
      <formula>"DESPESA"</formula>
    </cfRule>
    <cfRule type="cellIs" dxfId="552" priority="16" operator="equal">
      <formula>"RECEITA"</formula>
    </cfRule>
    <cfRule type="cellIs" dxfId="551" priority="17" operator="equal">
      <formula>"DESPESA"</formula>
    </cfRule>
  </conditionalFormatting>
  <conditionalFormatting sqref="M9">
    <cfRule type="cellIs" dxfId="550" priority="6" operator="equal">
      <formula>"RECEITA"</formula>
    </cfRule>
    <cfRule type="cellIs" dxfId="549" priority="7" operator="equal">
      <formula>"DESPESA"</formula>
    </cfRule>
    <cfRule type="cellIs" dxfId="548" priority="8" operator="equal">
      <formula>"RECEITA"</formula>
    </cfRule>
    <cfRule type="cellIs" dxfId="547" priority="9" operator="equal">
      <formula>"DESPESA"</formula>
    </cfRule>
    <cfRule type="cellIs" dxfId="546" priority="10" operator="equal">
      <formula>"RECEITA"</formula>
    </cfRule>
    <cfRule type="cellIs" dxfId="545" priority="11" operator="equal">
      <formula>"DESPESA"</formula>
    </cfRule>
  </conditionalFormatting>
  <conditionalFormatting sqref="N10">
    <cfRule type="cellIs" dxfId="544" priority="1" operator="greaterThan">
      <formula>0</formula>
    </cfRule>
    <cfRule type="cellIs" dxfId="543" priority="2" operator="greaterThan">
      <formula>0</formula>
    </cfRule>
    <cfRule type="cellIs" dxfId="542" priority="3" operator="greaterThan">
      <formula>0</formula>
    </cfRule>
    <cfRule type="cellIs" dxfId="541" priority="4" operator="lessThan">
      <formula>0</formula>
    </cfRule>
    <cfRule type="cellIs" dxfId="540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37" priority="36" operator="equal">
      <formula>"RECEITA"</formula>
    </cfRule>
    <cfRule type="cellIs" dxfId="536" priority="37" operator="equal">
      <formula>"DESPESA"</formula>
    </cfRule>
    <cfRule type="cellIs" dxfId="535" priority="38" operator="equal">
      <formula>"RECEITA"</formula>
    </cfRule>
    <cfRule type="cellIs" dxfId="534" priority="39" operator="equal">
      <formula>"DESPESA"</formula>
    </cfRule>
    <cfRule type="cellIs" dxfId="533" priority="40" operator="equal">
      <formula>"RECEITA"</formula>
    </cfRule>
    <cfRule type="cellIs" dxfId="532" priority="41" operator="equal">
      <formula>"DESPESA"</formula>
    </cfRule>
  </conditionalFormatting>
  <conditionalFormatting sqref="M8">
    <cfRule type="cellIs" dxfId="531" priority="30" operator="equal">
      <formula>"RECEITA"</formula>
    </cfRule>
    <cfRule type="cellIs" dxfId="530" priority="31" operator="equal">
      <formula>"DESPESA"</formula>
    </cfRule>
    <cfRule type="cellIs" dxfId="529" priority="32" operator="equal">
      <formula>"RECEITA"</formula>
    </cfRule>
    <cfRule type="cellIs" dxfId="528" priority="33" operator="equal">
      <formula>"DESPESA"</formula>
    </cfRule>
    <cfRule type="cellIs" dxfId="527" priority="34" operator="equal">
      <formula>"RECEITA"</formula>
    </cfRule>
    <cfRule type="cellIs" dxfId="526" priority="35" operator="equal">
      <formula>"DESPESA"</formula>
    </cfRule>
  </conditionalFormatting>
  <conditionalFormatting sqref="M9">
    <cfRule type="cellIs" dxfId="525" priority="24" operator="equal">
      <formula>"RECEITA"</formula>
    </cfRule>
    <cfRule type="cellIs" dxfId="524" priority="25" operator="equal">
      <formula>"DESPESA"</formula>
    </cfRule>
    <cfRule type="cellIs" dxfId="523" priority="26" operator="equal">
      <formula>"RECEITA"</formula>
    </cfRule>
    <cfRule type="cellIs" dxfId="522" priority="27" operator="equal">
      <formula>"DESPESA"</formula>
    </cfRule>
    <cfRule type="cellIs" dxfId="521" priority="28" operator="equal">
      <formula>"RECEITA"</formula>
    </cfRule>
    <cfRule type="cellIs" dxfId="520" priority="29" operator="equal">
      <formula>"DESPESA"</formula>
    </cfRule>
  </conditionalFormatting>
  <conditionalFormatting sqref="N10">
    <cfRule type="cellIs" dxfId="519" priority="19" operator="greaterThan">
      <formula>0</formula>
    </cfRule>
    <cfRule type="cellIs" dxfId="518" priority="20" operator="greaterThan">
      <formula>0</formula>
    </cfRule>
    <cfRule type="cellIs" dxfId="517" priority="21" operator="greaterThan">
      <formula>0</formula>
    </cfRule>
    <cfRule type="cellIs" dxfId="516" priority="22" operator="lessThan">
      <formula>0</formula>
    </cfRule>
    <cfRule type="cellIs" dxfId="515" priority="23" operator="greaterThan">
      <formula>0</formula>
    </cfRule>
  </conditionalFormatting>
  <conditionalFormatting sqref="E7:E84">
    <cfRule type="cellIs" dxfId="514" priority="7" operator="equal">
      <formula>"RECEITA"</formula>
    </cfRule>
    <cfRule type="cellIs" dxfId="513" priority="8" operator="equal">
      <formula>"DESPESA"</formula>
    </cfRule>
    <cfRule type="cellIs" dxfId="512" priority="9" operator="equal">
      <formula>"RECEITA"</formula>
    </cfRule>
    <cfRule type="cellIs" dxfId="511" priority="10" operator="equal">
      <formula>"DESPESA"</formula>
    </cfRule>
    <cfRule type="cellIs" dxfId="510" priority="11" operator="equal">
      <formula>"RECEITA"</formula>
    </cfRule>
    <cfRule type="cellIs" dxfId="509" priority="12" operator="equal">
      <formula>"DESPESA"</formula>
    </cfRule>
  </conditionalFormatting>
  <conditionalFormatting sqref="D7:D84">
    <cfRule type="cellIs" dxfId="508" priority="3" operator="equal">
      <formula>"RECEITA"</formula>
    </cfRule>
    <cfRule type="cellIs" dxfId="507" priority="4" operator="equal">
      <formula>"DESPESA"</formula>
    </cfRule>
    <cfRule type="cellIs" dxfId="506" priority="5" operator="equal">
      <formula>"RECEITA"</formula>
    </cfRule>
    <cfRule type="cellIs" dxfId="50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zoomScale="90" zoomScaleNormal="90" workbookViewId="0">
      <selection activeCell="E14" sqref="E14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502" priority="36" operator="equal">
      <formula>"RECEITA"</formula>
    </cfRule>
    <cfRule type="cellIs" dxfId="501" priority="37" operator="equal">
      <formula>"DESPESA"</formula>
    </cfRule>
    <cfRule type="cellIs" dxfId="500" priority="38" operator="equal">
      <formula>"RECEITA"</formula>
    </cfRule>
    <cfRule type="cellIs" dxfId="499" priority="39" operator="equal">
      <formula>"DESPESA"</formula>
    </cfRule>
    <cfRule type="cellIs" dxfId="498" priority="40" operator="equal">
      <formula>"RECEITA"</formula>
    </cfRule>
    <cfRule type="cellIs" dxfId="497" priority="41" operator="equal">
      <formula>"DESPESA"</formula>
    </cfRule>
  </conditionalFormatting>
  <conditionalFormatting sqref="M8">
    <cfRule type="cellIs" dxfId="496" priority="30" operator="equal">
      <formula>"RECEITA"</formula>
    </cfRule>
    <cfRule type="cellIs" dxfId="495" priority="31" operator="equal">
      <formula>"DESPESA"</formula>
    </cfRule>
    <cfRule type="cellIs" dxfId="494" priority="32" operator="equal">
      <formula>"RECEITA"</formula>
    </cfRule>
    <cfRule type="cellIs" dxfId="493" priority="33" operator="equal">
      <formula>"DESPESA"</formula>
    </cfRule>
    <cfRule type="cellIs" dxfId="492" priority="34" operator="equal">
      <formula>"RECEITA"</formula>
    </cfRule>
    <cfRule type="cellIs" dxfId="491" priority="35" operator="equal">
      <formula>"DESPESA"</formula>
    </cfRule>
  </conditionalFormatting>
  <conditionalFormatting sqref="M9">
    <cfRule type="cellIs" dxfId="490" priority="24" operator="equal">
      <formula>"RECEITA"</formula>
    </cfRule>
    <cfRule type="cellIs" dxfId="489" priority="25" operator="equal">
      <formula>"DESPESA"</formula>
    </cfRule>
    <cfRule type="cellIs" dxfId="488" priority="26" operator="equal">
      <formula>"RECEITA"</formula>
    </cfRule>
    <cfRule type="cellIs" dxfId="487" priority="27" operator="equal">
      <formula>"DESPESA"</formula>
    </cfRule>
    <cfRule type="cellIs" dxfId="486" priority="28" operator="equal">
      <formula>"RECEITA"</formula>
    </cfRule>
    <cfRule type="cellIs" dxfId="485" priority="29" operator="equal">
      <formula>"DESPESA"</formula>
    </cfRule>
  </conditionalFormatting>
  <conditionalFormatting sqref="N10">
    <cfRule type="cellIs" dxfId="484" priority="19" operator="greaterThan">
      <formula>0</formula>
    </cfRule>
    <cfRule type="cellIs" dxfId="483" priority="20" operator="greaterThan">
      <formula>0</formula>
    </cfRule>
    <cfRule type="cellIs" dxfId="482" priority="21" operator="greaterThan">
      <formula>0</formula>
    </cfRule>
    <cfRule type="cellIs" dxfId="481" priority="22" operator="lessThan">
      <formula>0</formula>
    </cfRule>
    <cfRule type="cellIs" dxfId="480" priority="23" operator="greaterThan">
      <formula>0</formula>
    </cfRule>
  </conditionalFormatting>
  <conditionalFormatting sqref="E7:E84">
    <cfRule type="cellIs" dxfId="479" priority="7" operator="equal">
      <formula>"RECEITA"</formula>
    </cfRule>
    <cfRule type="cellIs" dxfId="478" priority="8" operator="equal">
      <formula>"DESPESA"</formula>
    </cfRule>
    <cfRule type="cellIs" dxfId="477" priority="9" operator="equal">
      <formula>"RECEITA"</formula>
    </cfRule>
    <cfRule type="cellIs" dxfId="476" priority="10" operator="equal">
      <formula>"DESPESA"</formula>
    </cfRule>
    <cfRule type="cellIs" dxfId="475" priority="11" operator="equal">
      <formula>"RECEITA"</formula>
    </cfRule>
    <cfRule type="cellIs" dxfId="474" priority="12" operator="equal">
      <formula>"DESPESA"</formula>
    </cfRule>
  </conditionalFormatting>
  <conditionalFormatting sqref="D7:D84">
    <cfRule type="cellIs" dxfId="473" priority="3" operator="equal">
      <formula>"RECEITA"</formula>
    </cfRule>
    <cfRule type="cellIs" dxfId="472" priority="4" operator="equal">
      <formula>"DESPESA"</formula>
    </cfRule>
    <cfRule type="cellIs" dxfId="471" priority="5" operator="equal">
      <formula>"RECEITA"</formula>
    </cfRule>
    <cfRule type="cellIs" dxfId="47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467" priority="36" operator="equal">
      <formula>"RECEITA"</formula>
    </cfRule>
    <cfRule type="cellIs" dxfId="466" priority="37" operator="equal">
      <formula>"DESPESA"</formula>
    </cfRule>
    <cfRule type="cellIs" dxfId="465" priority="38" operator="equal">
      <formula>"RECEITA"</formula>
    </cfRule>
    <cfRule type="cellIs" dxfId="464" priority="39" operator="equal">
      <formula>"DESPESA"</formula>
    </cfRule>
    <cfRule type="cellIs" dxfId="463" priority="40" operator="equal">
      <formula>"RECEITA"</formula>
    </cfRule>
    <cfRule type="cellIs" dxfId="462" priority="41" operator="equal">
      <formula>"DESPESA"</formula>
    </cfRule>
  </conditionalFormatting>
  <conditionalFormatting sqref="M8">
    <cfRule type="cellIs" dxfId="461" priority="30" operator="equal">
      <formula>"RECEITA"</formula>
    </cfRule>
    <cfRule type="cellIs" dxfId="460" priority="31" operator="equal">
      <formula>"DESPESA"</formula>
    </cfRule>
    <cfRule type="cellIs" dxfId="459" priority="32" operator="equal">
      <formula>"RECEITA"</formula>
    </cfRule>
    <cfRule type="cellIs" dxfId="458" priority="33" operator="equal">
      <formula>"DESPESA"</formula>
    </cfRule>
    <cfRule type="cellIs" dxfId="457" priority="34" operator="equal">
      <formula>"RECEITA"</formula>
    </cfRule>
    <cfRule type="cellIs" dxfId="456" priority="35" operator="equal">
      <formula>"DESPESA"</formula>
    </cfRule>
  </conditionalFormatting>
  <conditionalFormatting sqref="M9">
    <cfRule type="cellIs" dxfId="455" priority="24" operator="equal">
      <formula>"RECEITA"</formula>
    </cfRule>
    <cfRule type="cellIs" dxfId="454" priority="25" operator="equal">
      <formula>"DESPESA"</formula>
    </cfRule>
    <cfRule type="cellIs" dxfId="453" priority="26" operator="equal">
      <formula>"RECEITA"</formula>
    </cfRule>
    <cfRule type="cellIs" dxfId="452" priority="27" operator="equal">
      <formula>"DESPESA"</formula>
    </cfRule>
    <cfRule type="cellIs" dxfId="451" priority="28" operator="equal">
      <formula>"RECEITA"</formula>
    </cfRule>
    <cfRule type="cellIs" dxfId="450" priority="29" operator="equal">
      <formula>"DESPESA"</formula>
    </cfRule>
  </conditionalFormatting>
  <conditionalFormatting sqref="N10">
    <cfRule type="cellIs" dxfId="449" priority="19" operator="greaterThan">
      <formula>0</formula>
    </cfRule>
    <cfRule type="cellIs" dxfId="448" priority="20" operator="greaterThan">
      <formula>0</formula>
    </cfRule>
    <cfRule type="cellIs" dxfId="447" priority="21" operator="greaterThan">
      <formula>0</formula>
    </cfRule>
    <cfRule type="cellIs" dxfId="446" priority="22" operator="lessThan">
      <formula>0</formula>
    </cfRule>
    <cfRule type="cellIs" dxfId="445" priority="23" operator="greaterThan">
      <formula>0</formula>
    </cfRule>
  </conditionalFormatting>
  <conditionalFormatting sqref="E7:E84">
    <cfRule type="cellIs" dxfId="444" priority="7" operator="equal">
      <formula>"RECEITA"</formula>
    </cfRule>
    <cfRule type="cellIs" dxfId="443" priority="8" operator="equal">
      <formula>"DESPESA"</formula>
    </cfRule>
    <cfRule type="cellIs" dxfId="442" priority="9" operator="equal">
      <formula>"RECEITA"</formula>
    </cfRule>
    <cfRule type="cellIs" dxfId="441" priority="10" operator="equal">
      <formula>"DESPESA"</formula>
    </cfRule>
    <cfRule type="cellIs" dxfId="440" priority="11" operator="equal">
      <formula>"RECEITA"</formula>
    </cfRule>
    <cfRule type="cellIs" dxfId="439" priority="12" operator="equal">
      <formula>"DESPESA"</formula>
    </cfRule>
  </conditionalFormatting>
  <conditionalFormatting sqref="D7:D84">
    <cfRule type="cellIs" dxfId="438" priority="3" operator="equal">
      <formula>"RECEITA"</formula>
    </cfRule>
    <cfRule type="cellIs" dxfId="437" priority="4" operator="equal">
      <formula>"DESPESA"</formula>
    </cfRule>
    <cfRule type="cellIs" dxfId="436" priority="5" operator="equal">
      <formula>"RECEITA"</formula>
    </cfRule>
    <cfRule type="cellIs" dxfId="43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selection activeCell="H11" sqref="H11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432" priority="36" operator="equal">
      <formula>"RECEITA"</formula>
    </cfRule>
    <cfRule type="cellIs" dxfId="431" priority="37" operator="equal">
      <formula>"DESPESA"</formula>
    </cfRule>
    <cfRule type="cellIs" dxfId="430" priority="38" operator="equal">
      <formula>"RECEITA"</formula>
    </cfRule>
    <cfRule type="cellIs" dxfId="429" priority="39" operator="equal">
      <formula>"DESPESA"</formula>
    </cfRule>
    <cfRule type="cellIs" dxfId="428" priority="40" operator="equal">
      <formula>"RECEITA"</formula>
    </cfRule>
    <cfRule type="cellIs" dxfId="427" priority="41" operator="equal">
      <formula>"DESPESA"</formula>
    </cfRule>
  </conditionalFormatting>
  <conditionalFormatting sqref="M8">
    <cfRule type="cellIs" dxfId="426" priority="30" operator="equal">
      <formula>"RECEITA"</formula>
    </cfRule>
    <cfRule type="cellIs" dxfId="425" priority="31" operator="equal">
      <formula>"DESPESA"</formula>
    </cfRule>
    <cfRule type="cellIs" dxfId="424" priority="32" operator="equal">
      <formula>"RECEITA"</formula>
    </cfRule>
    <cfRule type="cellIs" dxfId="423" priority="33" operator="equal">
      <formula>"DESPESA"</formula>
    </cfRule>
    <cfRule type="cellIs" dxfId="422" priority="34" operator="equal">
      <formula>"RECEITA"</formula>
    </cfRule>
    <cfRule type="cellIs" dxfId="421" priority="35" operator="equal">
      <formula>"DESPESA"</formula>
    </cfRule>
  </conditionalFormatting>
  <conditionalFormatting sqref="M9">
    <cfRule type="cellIs" dxfId="420" priority="24" operator="equal">
      <formula>"RECEITA"</formula>
    </cfRule>
    <cfRule type="cellIs" dxfId="419" priority="25" operator="equal">
      <formula>"DESPESA"</formula>
    </cfRule>
    <cfRule type="cellIs" dxfId="418" priority="26" operator="equal">
      <formula>"RECEITA"</formula>
    </cfRule>
    <cfRule type="cellIs" dxfId="417" priority="27" operator="equal">
      <formula>"DESPESA"</formula>
    </cfRule>
    <cfRule type="cellIs" dxfId="416" priority="28" operator="equal">
      <formula>"RECEITA"</formula>
    </cfRule>
    <cfRule type="cellIs" dxfId="415" priority="29" operator="equal">
      <formula>"DESPESA"</formula>
    </cfRule>
  </conditionalFormatting>
  <conditionalFormatting sqref="N10">
    <cfRule type="cellIs" dxfId="414" priority="19" operator="greaterThan">
      <formula>0</formula>
    </cfRule>
    <cfRule type="cellIs" dxfId="413" priority="20" operator="greaterThan">
      <formula>0</formula>
    </cfRule>
    <cfRule type="cellIs" dxfId="412" priority="21" operator="greaterThan">
      <formula>0</formula>
    </cfRule>
    <cfRule type="cellIs" dxfId="411" priority="22" operator="lessThan">
      <formula>0</formula>
    </cfRule>
    <cfRule type="cellIs" dxfId="410" priority="23" operator="greaterThan">
      <formula>0</formula>
    </cfRule>
  </conditionalFormatting>
  <conditionalFormatting sqref="E7:E84">
    <cfRule type="cellIs" dxfId="409" priority="7" operator="equal">
      <formula>"RECEITA"</formula>
    </cfRule>
    <cfRule type="cellIs" dxfId="408" priority="8" operator="equal">
      <formula>"DESPESA"</formula>
    </cfRule>
    <cfRule type="cellIs" dxfId="407" priority="9" operator="equal">
      <formula>"RECEITA"</formula>
    </cfRule>
    <cfRule type="cellIs" dxfId="406" priority="10" operator="equal">
      <formula>"DESPESA"</formula>
    </cfRule>
    <cfRule type="cellIs" dxfId="405" priority="11" operator="equal">
      <formula>"RECEITA"</formula>
    </cfRule>
    <cfRule type="cellIs" dxfId="404" priority="12" operator="equal">
      <formula>"DESPESA"</formula>
    </cfRule>
  </conditionalFormatting>
  <conditionalFormatting sqref="D7:D84">
    <cfRule type="cellIs" dxfId="403" priority="3" operator="equal">
      <formula>"RECEITA"</formula>
    </cfRule>
    <cfRule type="cellIs" dxfId="402" priority="4" operator="equal">
      <formula>"DESPESA"</formula>
    </cfRule>
    <cfRule type="cellIs" dxfId="401" priority="5" operator="equal">
      <formula>"RECEITA"</formula>
    </cfRule>
    <cfRule type="cellIs" dxfId="40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397" priority="36" operator="equal">
      <formula>"RECEITA"</formula>
    </cfRule>
    <cfRule type="cellIs" dxfId="396" priority="37" operator="equal">
      <formula>"DESPESA"</formula>
    </cfRule>
    <cfRule type="cellIs" dxfId="395" priority="38" operator="equal">
      <formula>"RECEITA"</formula>
    </cfRule>
    <cfRule type="cellIs" dxfId="394" priority="39" operator="equal">
      <formula>"DESPESA"</formula>
    </cfRule>
    <cfRule type="cellIs" dxfId="393" priority="40" operator="equal">
      <formula>"RECEITA"</formula>
    </cfRule>
    <cfRule type="cellIs" dxfId="392" priority="41" operator="equal">
      <formula>"DESPESA"</formula>
    </cfRule>
  </conditionalFormatting>
  <conditionalFormatting sqref="M8">
    <cfRule type="cellIs" dxfId="391" priority="30" operator="equal">
      <formula>"RECEITA"</formula>
    </cfRule>
    <cfRule type="cellIs" dxfId="390" priority="31" operator="equal">
      <formula>"DESPESA"</formula>
    </cfRule>
    <cfRule type="cellIs" dxfId="389" priority="32" operator="equal">
      <formula>"RECEITA"</formula>
    </cfRule>
    <cfRule type="cellIs" dxfId="388" priority="33" operator="equal">
      <formula>"DESPESA"</formula>
    </cfRule>
    <cfRule type="cellIs" dxfId="387" priority="34" operator="equal">
      <formula>"RECEITA"</formula>
    </cfRule>
    <cfRule type="cellIs" dxfId="386" priority="35" operator="equal">
      <formula>"DESPESA"</formula>
    </cfRule>
  </conditionalFormatting>
  <conditionalFormatting sqref="M9">
    <cfRule type="cellIs" dxfId="385" priority="24" operator="equal">
      <formula>"RECEITA"</formula>
    </cfRule>
    <cfRule type="cellIs" dxfId="384" priority="25" operator="equal">
      <formula>"DESPESA"</formula>
    </cfRule>
    <cfRule type="cellIs" dxfId="383" priority="26" operator="equal">
      <formula>"RECEITA"</formula>
    </cfRule>
    <cfRule type="cellIs" dxfId="382" priority="27" operator="equal">
      <formula>"DESPESA"</formula>
    </cfRule>
    <cfRule type="cellIs" dxfId="381" priority="28" operator="equal">
      <formula>"RECEITA"</formula>
    </cfRule>
    <cfRule type="cellIs" dxfId="380" priority="29" operator="equal">
      <formula>"DESPESA"</formula>
    </cfRule>
  </conditionalFormatting>
  <conditionalFormatting sqref="N10">
    <cfRule type="cellIs" dxfId="379" priority="19" operator="greaterThan">
      <formula>0</formula>
    </cfRule>
    <cfRule type="cellIs" dxfId="378" priority="20" operator="greaterThan">
      <formula>0</formula>
    </cfRule>
    <cfRule type="cellIs" dxfId="377" priority="21" operator="greaterThan">
      <formula>0</formula>
    </cfRule>
    <cfRule type="cellIs" dxfId="376" priority="22" operator="lessThan">
      <formula>0</formula>
    </cfRule>
    <cfRule type="cellIs" dxfId="375" priority="23" operator="greaterThan">
      <formula>0</formula>
    </cfRule>
  </conditionalFormatting>
  <conditionalFormatting sqref="E7:E84">
    <cfRule type="cellIs" dxfId="374" priority="7" operator="equal">
      <formula>"RECEITA"</formula>
    </cfRule>
    <cfRule type="cellIs" dxfId="373" priority="8" operator="equal">
      <formula>"DESPESA"</formula>
    </cfRule>
    <cfRule type="cellIs" dxfId="372" priority="9" operator="equal">
      <formula>"RECEITA"</formula>
    </cfRule>
    <cfRule type="cellIs" dxfId="371" priority="10" operator="equal">
      <formula>"DESPESA"</formula>
    </cfRule>
    <cfRule type="cellIs" dxfId="370" priority="11" operator="equal">
      <formula>"RECEITA"</formula>
    </cfRule>
    <cfRule type="cellIs" dxfId="369" priority="12" operator="equal">
      <formula>"DESPESA"</formula>
    </cfRule>
  </conditionalFormatting>
  <conditionalFormatting sqref="D7:D84">
    <cfRule type="cellIs" dxfId="368" priority="3" operator="equal">
      <formula>"RECEITA"</formula>
    </cfRule>
    <cfRule type="cellIs" dxfId="367" priority="4" operator="equal">
      <formula>"DESPESA"</formula>
    </cfRule>
    <cfRule type="cellIs" dxfId="366" priority="5" operator="equal">
      <formula>"RECEITA"</formula>
    </cfRule>
    <cfRule type="cellIs" dxfId="36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46204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/>
      <c r="H8" s="6">
        <v>2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490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/>
      <c r="H9" s="6">
        <v>3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100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390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/>
      <c r="H11" s="6">
        <v>5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100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/>
      <c r="H14" s="6">
        <v>8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62" priority="36" operator="equal">
      <formula>"RECEITA"</formula>
    </cfRule>
    <cfRule type="cellIs" dxfId="361" priority="37" operator="equal">
      <formula>"DESPESA"</formula>
    </cfRule>
    <cfRule type="cellIs" dxfId="360" priority="38" operator="equal">
      <formula>"RECEITA"</formula>
    </cfRule>
    <cfRule type="cellIs" dxfId="359" priority="39" operator="equal">
      <formula>"DESPESA"</formula>
    </cfRule>
    <cfRule type="cellIs" dxfId="358" priority="40" operator="equal">
      <formula>"RECEITA"</formula>
    </cfRule>
    <cfRule type="cellIs" dxfId="357" priority="41" operator="equal">
      <formula>"DESPESA"</formula>
    </cfRule>
  </conditionalFormatting>
  <conditionalFormatting sqref="M8">
    <cfRule type="cellIs" dxfId="356" priority="30" operator="equal">
      <formula>"RECEITA"</formula>
    </cfRule>
    <cfRule type="cellIs" dxfId="355" priority="31" operator="equal">
      <formula>"DESPESA"</formula>
    </cfRule>
    <cfRule type="cellIs" dxfId="354" priority="32" operator="equal">
      <formula>"RECEITA"</formula>
    </cfRule>
    <cfRule type="cellIs" dxfId="353" priority="33" operator="equal">
      <formula>"DESPESA"</formula>
    </cfRule>
    <cfRule type="cellIs" dxfId="352" priority="34" operator="equal">
      <formula>"RECEITA"</formula>
    </cfRule>
    <cfRule type="cellIs" dxfId="351" priority="35" operator="equal">
      <formula>"DESPESA"</formula>
    </cfRule>
  </conditionalFormatting>
  <conditionalFormatting sqref="M9">
    <cfRule type="cellIs" dxfId="350" priority="24" operator="equal">
      <formula>"RECEITA"</formula>
    </cfRule>
    <cfRule type="cellIs" dxfId="349" priority="25" operator="equal">
      <formula>"DESPESA"</formula>
    </cfRule>
    <cfRule type="cellIs" dxfId="348" priority="26" operator="equal">
      <formula>"RECEITA"</formula>
    </cfRule>
    <cfRule type="cellIs" dxfId="347" priority="27" operator="equal">
      <formula>"DESPESA"</formula>
    </cfRule>
    <cfRule type="cellIs" dxfId="346" priority="28" operator="equal">
      <formula>"RECEITA"</formula>
    </cfRule>
    <cfRule type="cellIs" dxfId="345" priority="29" operator="equal">
      <formula>"DESPESA"</formula>
    </cfRule>
  </conditionalFormatting>
  <conditionalFormatting sqref="N10">
    <cfRule type="cellIs" dxfId="344" priority="19" operator="greaterThan">
      <formula>0</formula>
    </cfRule>
    <cfRule type="cellIs" dxfId="343" priority="20" operator="greaterThan">
      <formula>0</formula>
    </cfRule>
    <cfRule type="cellIs" dxfId="342" priority="21" operator="greaterThan">
      <formula>0</formula>
    </cfRule>
    <cfRule type="cellIs" dxfId="341" priority="22" operator="lessThan">
      <formula>0</formula>
    </cfRule>
    <cfRule type="cellIs" dxfId="340" priority="23" operator="greaterThan">
      <formula>0</formula>
    </cfRule>
  </conditionalFormatting>
  <conditionalFormatting sqref="E7:E84">
    <cfRule type="cellIs" dxfId="339" priority="7" operator="equal">
      <formula>"RECEITA"</formula>
    </cfRule>
    <cfRule type="cellIs" dxfId="338" priority="8" operator="equal">
      <formula>"DESPESA"</formula>
    </cfRule>
    <cfRule type="cellIs" dxfId="337" priority="9" operator="equal">
      <formula>"RECEITA"</formula>
    </cfRule>
    <cfRule type="cellIs" dxfId="336" priority="10" operator="equal">
      <formula>"DESPESA"</formula>
    </cfRule>
    <cfRule type="cellIs" dxfId="335" priority="11" operator="equal">
      <formula>"RECEITA"</formula>
    </cfRule>
    <cfRule type="cellIs" dxfId="334" priority="12" operator="equal">
      <formula>"DESPESA"</formula>
    </cfRule>
  </conditionalFormatting>
  <conditionalFormatting sqref="D7:D84">
    <cfRule type="cellIs" dxfId="333" priority="3" operator="equal">
      <formula>"RECEITA"</formula>
    </cfRule>
    <cfRule type="cellIs" dxfId="332" priority="4" operator="equal">
      <formula>"DESPESA"</formula>
    </cfRule>
    <cfRule type="cellIs" dxfId="331" priority="5" operator="equal">
      <formula>"RECEITA"</formula>
    </cfRule>
    <cfRule type="cellIs" dxfId="33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selection activeCell="G7" sqref="G7:G80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327" priority="36" operator="equal">
      <formula>"RECEITA"</formula>
    </cfRule>
    <cfRule type="cellIs" dxfId="326" priority="37" operator="equal">
      <formula>"DESPESA"</formula>
    </cfRule>
    <cfRule type="cellIs" dxfId="325" priority="38" operator="equal">
      <formula>"RECEITA"</formula>
    </cfRule>
    <cfRule type="cellIs" dxfId="324" priority="39" operator="equal">
      <formula>"DESPESA"</formula>
    </cfRule>
    <cfRule type="cellIs" dxfId="323" priority="40" operator="equal">
      <formula>"RECEITA"</formula>
    </cfRule>
    <cfRule type="cellIs" dxfId="322" priority="41" operator="equal">
      <formula>"DESPESA"</formula>
    </cfRule>
  </conditionalFormatting>
  <conditionalFormatting sqref="M8">
    <cfRule type="cellIs" dxfId="321" priority="30" operator="equal">
      <formula>"RECEITA"</formula>
    </cfRule>
    <cfRule type="cellIs" dxfId="320" priority="31" operator="equal">
      <formula>"DESPESA"</formula>
    </cfRule>
    <cfRule type="cellIs" dxfId="319" priority="32" operator="equal">
      <formula>"RECEITA"</formula>
    </cfRule>
    <cfRule type="cellIs" dxfId="318" priority="33" operator="equal">
      <formula>"DESPESA"</formula>
    </cfRule>
    <cfRule type="cellIs" dxfId="317" priority="34" operator="equal">
      <formula>"RECEITA"</formula>
    </cfRule>
    <cfRule type="cellIs" dxfId="316" priority="35" operator="equal">
      <formula>"DESPESA"</formula>
    </cfRule>
  </conditionalFormatting>
  <conditionalFormatting sqref="M9">
    <cfRule type="cellIs" dxfId="315" priority="24" operator="equal">
      <formula>"RECEITA"</formula>
    </cfRule>
    <cfRule type="cellIs" dxfId="314" priority="25" operator="equal">
      <formula>"DESPESA"</formula>
    </cfRule>
    <cfRule type="cellIs" dxfId="313" priority="26" operator="equal">
      <formula>"RECEITA"</formula>
    </cfRule>
    <cfRule type="cellIs" dxfId="312" priority="27" operator="equal">
      <formula>"DESPESA"</formula>
    </cfRule>
    <cfRule type="cellIs" dxfId="311" priority="28" operator="equal">
      <formula>"RECEITA"</formula>
    </cfRule>
    <cfRule type="cellIs" dxfId="310" priority="29" operator="equal">
      <formula>"DESPESA"</formula>
    </cfRule>
  </conditionalFormatting>
  <conditionalFormatting sqref="N10">
    <cfRule type="cellIs" dxfId="309" priority="19" operator="greaterThan">
      <formula>0</formula>
    </cfRule>
    <cfRule type="cellIs" dxfId="308" priority="20" operator="greaterThan">
      <formula>0</formula>
    </cfRule>
    <cfRule type="cellIs" dxfId="307" priority="21" operator="greaterThan">
      <formula>0</formula>
    </cfRule>
    <cfRule type="cellIs" dxfId="306" priority="22" operator="lessThan">
      <formula>0</formula>
    </cfRule>
    <cfRule type="cellIs" dxfId="305" priority="23" operator="greaterThan">
      <formula>0</formula>
    </cfRule>
  </conditionalFormatting>
  <conditionalFormatting sqref="E7:E84">
    <cfRule type="cellIs" dxfId="304" priority="7" operator="equal">
      <formula>"RECEITA"</formula>
    </cfRule>
    <cfRule type="cellIs" dxfId="303" priority="8" operator="equal">
      <formula>"DESPESA"</formula>
    </cfRule>
    <cfRule type="cellIs" dxfId="302" priority="9" operator="equal">
      <formula>"RECEITA"</formula>
    </cfRule>
    <cfRule type="cellIs" dxfId="301" priority="10" operator="equal">
      <formula>"DESPESA"</formula>
    </cfRule>
    <cfRule type="cellIs" dxfId="300" priority="11" operator="equal">
      <formula>"RECEITA"</formula>
    </cfRule>
    <cfRule type="cellIs" dxfId="299" priority="12" operator="equal">
      <formula>"DESPESA"</formula>
    </cfRule>
  </conditionalFormatting>
  <conditionalFormatting sqref="D7:D84">
    <cfRule type="cellIs" dxfId="298" priority="3" operator="equal">
      <formula>"RECEITA"</formula>
    </cfRule>
    <cfRule type="cellIs" dxfId="297" priority="4" operator="equal">
      <formula>"DESPESA"</formula>
    </cfRule>
    <cfRule type="cellIs" dxfId="296" priority="5" operator="equal">
      <formula>"RECEITA"</formula>
    </cfRule>
    <cfRule type="cellIs" dxfId="29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selection activeCell="J5" sqref="J5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292" priority="36" operator="equal">
      <formula>"RECEITA"</formula>
    </cfRule>
    <cfRule type="cellIs" dxfId="291" priority="37" operator="equal">
      <formula>"DESPESA"</formula>
    </cfRule>
    <cfRule type="cellIs" dxfId="290" priority="38" operator="equal">
      <formula>"RECEITA"</formula>
    </cfRule>
    <cfRule type="cellIs" dxfId="289" priority="39" operator="equal">
      <formula>"DESPESA"</formula>
    </cfRule>
    <cfRule type="cellIs" dxfId="288" priority="40" operator="equal">
      <formula>"RECEITA"</formula>
    </cfRule>
    <cfRule type="cellIs" dxfId="287" priority="41" operator="equal">
      <formula>"DESPESA"</formula>
    </cfRule>
  </conditionalFormatting>
  <conditionalFormatting sqref="M8">
    <cfRule type="cellIs" dxfId="286" priority="30" operator="equal">
      <formula>"RECEITA"</formula>
    </cfRule>
    <cfRule type="cellIs" dxfId="285" priority="31" operator="equal">
      <formula>"DESPESA"</formula>
    </cfRule>
    <cfRule type="cellIs" dxfId="284" priority="32" operator="equal">
      <formula>"RECEITA"</formula>
    </cfRule>
    <cfRule type="cellIs" dxfId="283" priority="33" operator="equal">
      <formula>"DESPESA"</formula>
    </cfRule>
    <cfRule type="cellIs" dxfId="282" priority="34" operator="equal">
      <formula>"RECEITA"</formula>
    </cfRule>
    <cfRule type="cellIs" dxfId="281" priority="35" operator="equal">
      <formula>"DESPESA"</formula>
    </cfRule>
  </conditionalFormatting>
  <conditionalFormatting sqref="M9">
    <cfRule type="cellIs" dxfId="280" priority="24" operator="equal">
      <formula>"RECEITA"</formula>
    </cfRule>
    <cfRule type="cellIs" dxfId="279" priority="25" operator="equal">
      <formula>"DESPESA"</formula>
    </cfRule>
    <cfRule type="cellIs" dxfId="278" priority="26" operator="equal">
      <formula>"RECEITA"</formula>
    </cfRule>
    <cfRule type="cellIs" dxfId="277" priority="27" operator="equal">
      <formula>"DESPESA"</formula>
    </cfRule>
    <cfRule type="cellIs" dxfId="276" priority="28" operator="equal">
      <formula>"RECEITA"</formula>
    </cfRule>
    <cfRule type="cellIs" dxfId="275" priority="29" operator="equal">
      <formula>"DESPESA"</formula>
    </cfRule>
  </conditionalFormatting>
  <conditionalFormatting sqref="N10">
    <cfRule type="cellIs" dxfId="274" priority="19" operator="greaterThan">
      <formula>0</formula>
    </cfRule>
    <cfRule type="cellIs" dxfId="273" priority="20" operator="greaterThan">
      <formula>0</formula>
    </cfRule>
    <cfRule type="cellIs" dxfId="272" priority="21" operator="greaterThan">
      <formula>0</formula>
    </cfRule>
    <cfRule type="cellIs" dxfId="271" priority="22" operator="lessThan">
      <formula>0</formula>
    </cfRule>
    <cfRule type="cellIs" dxfId="270" priority="23" operator="greaterThan">
      <formula>0</formula>
    </cfRule>
  </conditionalFormatting>
  <conditionalFormatting sqref="E7:E84">
    <cfRule type="cellIs" dxfId="269" priority="7" operator="equal">
      <formula>"RECEITA"</formula>
    </cfRule>
    <cfRule type="cellIs" dxfId="268" priority="8" operator="equal">
      <formula>"DESPESA"</formula>
    </cfRule>
    <cfRule type="cellIs" dxfId="267" priority="9" operator="equal">
      <formula>"RECEITA"</formula>
    </cfRule>
    <cfRule type="cellIs" dxfId="266" priority="10" operator="equal">
      <formula>"DESPESA"</formula>
    </cfRule>
    <cfRule type="cellIs" dxfId="265" priority="11" operator="equal">
      <formula>"RECEITA"</formula>
    </cfRule>
    <cfRule type="cellIs" dxfId="264" priority="12" operator="equal">
      <formula>"DESPESA"</formula>
    </cfRule>
  </conditionalFormatting>
  <conditionalFormatting sqref="D7:D84">
    <cfRule type="cellIs" dxfId="263" priority="3" operator="equal">
      <formula>"RECEITA"</formula>
    </cfRule>
    <cfRule type="cellIs" dxfId="262" priority="4" operator="equal">
      <formula>"DESPESA"</formula>
    </cfRule>
    <cfRule type="cellIs" dxfId="261" priority="5" operator="equal">
      <formula>"RECEITA"</formula>
    </cfRule>
    <cfRule type="cellIs" dxfId="260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selection activeCell="E10" sqref="E10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257" priority="36" operator="equal">
      <formula>"RECEITA"</formula>
    </cfRule>
    <cfRule type="cellIs" dxfId="256" priority="37" operator="equal">
      <formula>"DESPESA"</formula>
    </cfRule>
    <cfRule type="cellIs" dxfId="255" priority="38" operator="equal">
      <formula>"RECEITA"</formula>
    </cfRule>
    <cfRule type="cellIs" dxfId="254" priority="39" operator="equal">
      <formula>"DESPESA"</formula>
    </cfRule>
    <cfRule type="cellIs" dxfId="253" priority="40" operator="equal">
      <formula>"RECEITA"</formula>
    </cfRule>
    <cfRule type="cellIs" dxfId="252" priority="41" operator="equal">
      <formula>"DESPESA"</formula>
    </cfRule>
  </conditionalFormatting>
  <conditionalFormatting sqref="M8">
    <cfRule type="cellIs" dxfId="251" priority="30" operator="equal">
      <formula>"RECEITA"</formula>
    </cfRule>
    <cfRule type="cellIs" dxfId="250" priority="31" operator="equal">
      <formula>"DESPESA"</formula>
    </cfRule>
    <cfRule type="cellIs" dxfId="249" priority="32" operator="equal">
      <formula>"RECEITA"</formula>
    </cfRule>
    <cfRule type="cellIs" dxfId="248" priority="33" operator="equal">
      <formula>"DESPESA"</formula>
    </cfRule>
    <cfRule type="cellIs" dxfId="247" priority="34" operator="equal">
      <formula>"RECEITA"</formula>
    </cfRule>
    <cfRule type="cellIs" dxfId="246" priority="35" operator="equal">
      <formula>"DESPESA"</formula>
    </cfRule>
  </conditionalFormatting>
  <conditionalFormatting sqref="M9">
    <cfRule type="cellIs" dxfId="245" priority="24" operator="equal">
      <formula>"RECEITA"</formula>
    </cfRule>
    <cfRule type="cellIs" dxfId="244" priority="25" operator="equal">
      <formula>"DESPESA"</formula>
    </cfRule>
    <cfRule type="cellIs" dxfId="243" priority="26" operator="equal">
      <formula>"RECEITA"</formula>
    </cfRule>
    <cfRule type="cellIs" dxfId="242" priority="27" operator="equal">
      <formula>"DESPESA"</formula>
    </cfRule>
    <cfRule type="cellIs" dxfId="241" priority="28" operator="equal">
      <formula>"RECEITA"</formula>
    </cfRule>
    <cfRule type="cellIs" dxfId="240" priority="29" operator="equal">
      <formula>"DESPESA"</formula>
    </cfRule>
  </conditionalFormatting>
  <conditionalFormatting sqref="N10">
    <cfRule type="cellIs" dxfId="239" priority="19" operator="greaterThan">
      <formula>0</formula>
    </cfRule>
    <cfRule type="cellIs" dxfId="238" priority="20" operator="greaterThan">
      <formula>0</formula>
    </cfRule>
    <cfRule type="cellIs" dxfId="237" priority="21" operator="greaterThan">
      <formula>0</formula>
    </cfRule>
    <cfRule type="cellIs" dxfId="236" priority="22" operator="lessThan">
      <formula>0</formula>
    </cfRule>
    <cfRule type="cellIs" dxfId="235" priority="23" operator="greaterThan">
      <formula>0</formula>
    </cfRule>
  </conditionalFormatting>
  <conditionalFormatting sqref="E7:E84">
    <cfRule type="cellIs" dxfId="234" priority="7" operator="equal">
      <formula>"RECEITA"</formula>
    </cfRule>
    <cfRule type="cellIs" dxfId="233" priority="8" operator="equal">
      <formula>"DESPESA"</formula>
    </cfRule>
    <cfRule type="cellIs" dxfId="232" priority="9" operator="equal">
      <formula>"RECEITA"</formula>
    </cfRule>
    <cfRule type="cellIs" dxfId="231" priority="10" operator="equal">
      <formula>"DESPESA"</formula>
    </cfRule>
    <cfRule type="cellIs" dxfId="230" priority="11" operator="equal">
      <formula>"RECEITA"</formula>
    </cfRule>
    <cfRule type="cellIs" dxfId="229" priority="12" operator="equal">
      <formula>"DESPESA"</formula>
    </cfRule>
  </conditionalFormatting>
  <conditionalFormatting sqref="D7:D84">
    <cfRule type="cellIs" dxfId="228" priority="3" operator="equal">
      <formula>"RECEITA"</formula>
    </cfRule>
    <cfRule type="cellIs" dxfId="227" priority="4" operator="equal">
      <formula>"DESPESA"</formula>
    </cfRule>
    <cfRule type="cellIs" dxfId="226" priority="5" operator="equal">
      <formula>"RECEITA"</formula>
    </cfRule>
    <cfRule type="cellIs" dxfId="22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selection activeCell="G7" sqref="G7:G11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89" t="s">
        <v>14</v>
      </c>
      <c r="N7" s="89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222" priority="36" operator="equal">
      <formula>"RECEITA"</formula>
    </cfRule>
    <cfRule type="cellIs" dxfId="221" priority="37" operator="equal">
      <formula>"DESPESA"</formula>
    </cfRule>
    <cfRule type="cellIs" dxfId="220" priority="38" operator="equal">
      <formula>"RECEITA"</formula>
    </cfRule>
    <cfRule type="cellIs" dxfId="219" priority="39" operator="equal">
      <formula>"DESPESA"</formula>
    </cfRule>
    <cfRule type="cellIs" dxfId="218" priority="40" operator="equal">
      <formula>"RECEITA"</formula>
    </cfRule>
    <cfRule type="cellIs" dxfId="217" priority="41" operator="equal">
      <formula>"DESPESA"</formula>
    </cfRule>
  </conditionalFormatting>
  <conditionalFormatting sqref="M8">
    <cfRule type="cellIs" dxfId="216" priority="30" operator="equal">
      <formula>"RECEITA"</formula>
    </cfRule>
    <cfRule type="cellIs" dxfId="215" priority="31" operator="equal">
      <formula>"DESPESA"</formula>
    </cfRule>
    <cfRule type="cellIs" dxfId="214" priority="32" operator="equal">
      <formula>"RECEITA"</formula>
    </cfRule>
    <cfRule type="cellIs" dxfId="213" priority="33" operator="equal">
      <formula>"DESPESA"</formula>
    </cfRule>
    <cfRule type="cellIs" dxfId="212" priority="34" operator="equal">
      <formula>"RECEITA"</formula>
    </cfRule>
    <cfRule type="cellIs" dxfId="211" priority="35" operator="equal">
      <formula>"DESPESA"</formula>
    </cfRule>
  </conditionalFormatting>
  <conditionalFormatting sqref="M9">
    <cfRule type="cellIs" dxfId="210" priority="24" operator="equal">
      <formula>"RECEITA"</formula>
    </cfRule>
    <cfRule type="cellIs" dxfId="209" priority="25" operator="equal">
      <formula>"DESPESA"</formula>
    </cfRule>
    <cfRule type="cellIs" dxfId="208" priority="26" operator="equal">
      <formula>"RECEITA"</formula>
    </cfRule>
    <cfRule type="cellIs" dxfId="207" priority="27" operator="equal">
      <formula>"DESPESA"</formula>
    </cfRule>
    <cfRule type="cellIs" dxfId="206" priority="28" operator="equal">
      <formula>"RECEITA"</formula>
    </cfRule>
    <cfRule type="cellIs" dxfId="205" priority="29" operator="equal">
      <formula>"DESPESA"</formula>
    </cfRule>
  </conditionalFormatting>
  <conditionalFormatting sqref="N10">
    <cfRule type="cellIs" dxfId="204" priority="19" operator="greaterThan">
      <formula>0</formula>
    </cfRule>
    <cfRule type="cellIs" dxfId="203" priority="20" operator="greaterThan">
      <formula>0</formula>
    </cfRule>
    <cfRule type="cellIs" dxfId="202" priority="21" operator="greaterThan">
      <formula>0</formula>
    </cfRule>
    <cfRule type="cellIs" dxfId="201" priority="22" operator="lessThan">
      <formula>0</formula>
    </cfRule>
    <cfRule type="cellIs" dxfId="200" priority="23" operator="greaterThan">
      <formula>0</formula>
    </cfRule>
  </conditionalFormatting>
  <conditionalFormatting sqref="E7:E84">
    <cfRule type="cellIs" dxfId="199" priority="7" operator="equal">
      <formula>"RECEITA"</formula>
    </cfRule>
    <cfRule type="cellIs" dxfId="198" priority="8" operator="equal">
      <formula>"DESPESA"</formula>
    </cfRule>
    <cfRule type="cellIs" dxfId="197" priority="9" operator="equal">
      <formula>"RECEITA"</formula>
    </cfRule>
    <cfRule type="cellIs" dxfId="196" priority="10" operator="equal">
      <formula>"DESPESA"</formula>
    </cfRule>
    <cfRule type="cellIs" dxfId="195" priority="11" operator="equal">
      <formula>"RECEITA"</formula>
    </cfRule>
    <cfRule type="cellIs" dxfId="194" priority="12" operator="equal">
      <formula>"DESPESA"</formula>
    </cfRule>
  </conditionalFormatting>
  <conditionalFormatting sqref="D7:D84">
    <cfRule type="cellIs" dxfId="193" priority="3" operator="equal">
      <formula>"RECEITA"</formula>
    </cfRule>
    <cfRule type="cellIs" dxfId="192" priority="4" operator="equal">
      <formula>"DESPESA"</formula>
    </cfRule>
    <cfRule type="cellIs" dxfId="191" priority="5" operator="equal">
      <formula>"RECEITA"</formula>
    </cfRule>
    <cfRule type="cellIs" dxfId="19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selection activeCell="G7" sqref="G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0" t="s">
        <v>19</v>
      </c>
      <c r="D5" s="90"/>
      <c r="E5" s="90"/>
      <c r="F5" s="90"/>
      <c r="G5" s="90"/>
      <c r="H5" s="90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89" t="s">
        <v>14</v>
      </c>
      <c r="N7" s="89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187" priority="36" operator="equal">
      <formula>"RECEITA"</formula>
    </cfRule>
    <cfRule type="cellIs" dxfId="186" priority="37" operator="equal">
      <formula>"DESPESA"</formula>
    </cfRule>
    <cfRule type="cellIs" dxfId="185" priority="38" operator="equal">
      <formula>"RECEITA"</formula>
    </cfRule>
    <cfRule type="cellIs" dxfId="184" priority="39" operator="equal">
      <formula>"DESPESA"</formula>
    </cfRule>
    <cfRule type="cellIs" dxfId="183" priority="40" operator="equal">
      <formula>"RECEITA"</formula>
    </cfRule>
    <cfRule type="cellIs" dxfId="182" priority="41" operator="equal">
      <formula>"DESPESA"</formula>
    </cfRule>
  </conditionalFormatting>
  <conditionalFormatting sqref="M8">
    <cfRule type="cellIs" dxfId="181" priority="30" operator="equal">
      <formula>"RECEITA"</formula>
    </cfRule>
    <cfRule type="cellIs" dxfId="180" priority="31" operator="equal">
      <formula>"DESPESA"</formula>
    </cfRule>
    <cfRule type="cellIs" dxfId="179" priority="32" operator="equal">
      <formula>"RECEITA"</formula>
    </cfRule>
    <cfRule type="cellIs" dxfId="178" priority="33" operator="equal">
      <formula>"DESPESA"</formula>
    </cfRule>
    <cfRule type="cellIs" dxfId="177" priority="34" operator="equal">
      <formula>"RECEITA"</formula>
    </cfRule>
    <cfRule type="cellIs" dxfId="176" priority="35" operator="equal">
      <formula>"DESPESA"</formula>
    </cfRule>
  </conditionalFormatting>
  <conditionalFormatting sqref="M9">
    <cfRule type="cellIs" dxfId="175" priority="24" operator="equal">
      <formula>"RECEITA"</formula>
    </cfRule>
    <cfRule type="cellIs" dxfId="174" priority="25" operator="equal">
      <formula>"DESPESA"</formula>
    </cfRule>
    <cfRule type="cellIs" dxfId="173" priority="26" operator="equal">
      <formula>"RECEITA"</formula>
    </cfRule>
    <cfRule type="cellIs" dxfId="172" priority="27" operator="equal">
      <formula>"DESPESA"</formula>
    </cfRule>
    <cfRule type="cellIs" dxfId="171" priority="28" operator="equal">
      <formula>"RECEITA"</formula>
    </cfRule>
    <cfRule type="cellIs" dxfId="170" priority="29" operator="equal">
      <formula>"DESPESA"</formula>
    </cfRule>
  </conditionalFormatting>
  <conditionalFormatting sqref="N10">
    <cfRule type="cellIs" dxfId="169" priority="19" operator="greaterThan">
      <formula>0</formula>
    </cfRule>
    <cfRule type="cellIs" dxfId="168" priority="20" operator="greaterThan">
      <formula>0</formula>
    </cfRule>
    <cfRule type="cellIs" dxfId="167" priority="21" operator="greaterThan">
      <formula>0</formula>
    </cfRule>
    <cfRule type="cellIs" dxfId="166" priority="22" operator="lessThan">
      <formula>0</formula>
    </cfRule>
    <cfRule type="cellIs" dxfId="165" priority="23" operator="greaterThan">
      <formula>0</formula>
    </cfRule>
  </conditionalFormatting>
  <conditionalFormatting sqref="E7:E84">
    <cfRule type="cellIs" dxfId="164" priority="7" operator="equal">
      <formula>"RECEITA"</formula>
    </cfRule>
    <cfRule type="cellIs" dxfId="163" priority="8" operator="equal">
      <formula>"DESPESA"</formula>
    </cfRule>
    <cfRule type="cellIs" dxfId="162" priority="9" operator="equal">
      <formula>"RECEITA"</formula>
    </cfRule>
    <cfRule type="cellIs" dxfId="161" priority="10" operator="equal">
      <formula>"DESPESA"</formula>
    </cfRule>
    <cfRule type="cellIs" dxfId="160" priority="11" operator="equal">
      <formula>"RECEITA"</formula>
    </cfRule>
    <cfRule type="cellIs" dxfId="159" priority="12" operator="equal">
      <formula>"DESPESA"</formula>
    </cfRule>
  </conditionalFormatting>
  <conditionalFormatting sqref="D7:D84">
    <cfRule type="cellIs" dxfId="158" priority="3" operator="equal">
      <formula>"RECEITA"</formula>
    </cfRule>
    <cfRule type="cellIs" dxfId="157" priority="4" operator="equal">
      <formula>"DESPESA"</formula>
    </cfRule>
    <cfRule type="cellIs" dxfId="156" priority="5" operator="equal">
      <formula>"RECEITA"</formula>
    </cfRule>
    <cfRule type="cellIs" dxfId="155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tabSelected="1" zoomScaleNormal="100" workbookViewId="0">
      <selection activeCell="E4" sqref="E4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3">
      <c r="C1" s="75"/>
      <c r="D1" s="75"/>
      <c r="E1" s="75"/>
      <c r="F1" s="75"/>
      <c r="G1" s="75"/>
      <c r="H1" s="75"/>
      <c r="I1" s="75"/>
    </row>
    <row r="2" spans="3:9" ht="6.75" customHeight="1" x14ac:dyDescent="0.25"/>
    <row r="3" spans="3:9" ht="22.5" customHeight="1" x14ac:dyDescent="0.25">
      <c r="C3" s="84" t="str">
        <f>'FLUXO DE CAIXA (2)'!B12</f>
        <v>VALOR ACUMULADO</v>
      </c>
      <c r="E3" s="84" t="str">
        <f>'FLUXO DE CAIXA (2)'!B9</f>
        <v>RECEITAS</v>
      </c>
      <c r="G3" s="84" t="str">
        <f>'FLUXO DE CAIXA (2)'!B10</f>
        <v>DESPESAS</v>
      </c>
      <c r="I3" s="84" t="str">
        <f>'FLUXO DE CAIXA (2)'!B11</f>
        <v>SALDO FINANCEIRO</v>
      </c>
    </row>
    <row r="4" spans="3:9" ht="43.5" customHeight="1" x14ac:dyDescent="0.5">
      <c r="C4" s="87">
        <f>'AUXILIAR 2'!J10</f>
        <v>618.93333333333396</v>
      </c>
      <c r="E4" s="85">
        <f>'AUXILIAR 2'!J7</f>
        <v>486</v>
      </c>
      <c r="G4" s="86">
        <f>'AUXILIAR 2'!J8</f>
        <v>771.6666666666664</v>
      </c>
      <c r="I4" s="87">
        <f>'AUXILIAR 2'!J9</f>
        <v>-285.6666666666664</v>
      </c>
    </row>
    <row r="5" spans="3:9" ht="33.75" x14ac:dyDescent="0.5">
      <c r="E5" s="73"/>
      <c r="F5" s="73"/>
      <c r="G5" s="73"/>
      <c r="H5" s="73"/>
      <c r="I5" s="83"/>
    </row>
    <row r="6" spans="3:9" ht="22.5" customHeight="1" x14ac:dyDescent="0.25">
      <c r="C6" s="84" t="str">
        <f>'FLUXO DE CAIXA (2)'!B16</f>
        <v>CONTAS A RECEBER</v>
      </c>
      <c r="D6" s="77"/>
      <c r="E6" s="72"/>
      <c r="F6" s="72"/>
      <c r="G6" s="72"/>
      <c r="H6" s="72"/>
      <c r="I6" s="76"/>
    </row>
    <row r="7" spans="3:9" ht="43.5" customHeight="1" x14ac:dyDescent="0.5">
      <c r="C7" s="85">
        <f>'AUXILIAR 2'!J11</f>
        <v>0</v>
      </c>
      <c r="D7" s="77"/>
      <c r="E7" s="53"/>
      <c r="F7" s="72"/>
      <c r="G7" s="72"/>
      <c r="H7" s="72"/>
      <c r="I7" s="77"/>
    </row>
    <row r="8" spans="3:9" x14ac:dyDescent="0.25">
      <c r="D8" s="77"/>
      <c r="E8" s="72"/>
      <c r="F8" s="72"/>
      <c r="G8" s="72"/>
      <c r="H8" s="72"/>
      <c r="I8" s="77"/>
    </row>
    <row r="9" spans="3:9" ht="22.5" customHeight="1" x14ac:dyDescent="0.25">
      <c r="C9" s="84" t="str">
        <f>'FLUXO DE CAIXA (2)'!B17</f>
        <v>CONTAS A PAGAR</v>
      </c>
      <c r="D9" s="77"/>
      <c r="E9" s="72"/>
      <c r="F9" s="72"/>
      <c r="G9" s="72"/>
      <c r="H9" s="72"/>
      <c r="I9" s="77"/>
    </row>
    <row r="10" spans="3:9" ht="43.5" customHeight="1" x14ac:dyDescent="0.5">
      <c r="C10" s="86">
        <f>'AUXILIAR 2'!J12</f>
        <v>0</v>
      </c>
      <c r="D10" s="77"/>
      <c r="E10" s="72"/>
      <c r="F10" s="72"/>
      <c r="G10" s="72"/>
      <c r="H10" s="72"/>
      <c r="I10" s="77"/>
    </row>
    <row r="11" spans="3:9" ht="16.5" customHeight="1" x14ac:dyDescent="0.25">
      <c r="D11" s="77"/>
      <c r="E11" s="72"/>
      <c r="F11" s="72"/>
      <c r="G11" s="72"/>
      <c r="H11" s="72"/>
      <c r="I11" s="77"/>
    </row>
    <row r="12" spans="3:9" ht="22.5" customHeight="1" x14ac:dyDescent="0.25">
      <c r="C12" s="84" t="str">
        <f>'FLUXO DE CAIXA (2)'!B18</f>
        <v>NECESSIDADE DE CAIXA</v>
      </c>
      <c r="D12" s="77"/>
      <c r="E12" s="72"/>
      <c r="F12" s="72"/>
      <c r="G12" s="72"/>
      <c r="H12" s="72"/>
      <c r="I12" s="77"/>
    </row>
    <row r="13" spans="3:9" ht="43.5" customHeight="1" x14ac:dyDescent="0.25">
      <c r="C13" s="87">
        <f>'AUXILIAR 2'!J13</f>
        <v>0</v>
      </c>
      <c r="D13" s="77"/>
      <c r="E13" s="78"/>
      <c r="F13" s="73"/>
      <c r="G13" s="73"/>
      <c r="H13" s="73"/>
      <c r="I13" s="79"/>
    </row>
  </sheetData>
  <conditionalFormatting sqref="C13 E7">
    <cfRule type="cellIs" dxfId="152" priority="5" operator="lessThan">
      <formula>0</formula>
    </cfRule>
    <cfRule type="cellIs" dxfId="151" priority="6" operator="greaterThan">
      <formula>0</formula>
    </cfRule>
  </conditionalFormatting>
  <conditionalFormatting sqref="I4">
    <cfRule type="cellIs" dxfId="150" priority="3" operator="lessThan">
      <formula>0</formula>
    </cfRule>
    <cfRule type="cellIs" dxfId="149" priority="4" operator="greaterThan">
      <formula>0</formula>
    </cfRule>
  </conditionalFormatting>
  <conditionalFormatting sqref="C4">
    <cfRule type="cellIs" dxfId="148" priority="1" operator="lessThan">
      <formula>0</formula>
    </cfRule>
    <cfRule type="cellIs" dxfId="14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14"/>
  <sheetViews>
    <sheetView showGridLines="0" zoomScale="80" zoomScaleNormal="80" workbookViewId="0">
      <selection activeCell="J13" sqref="J13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  <col min="9" max="9" width="39" bestFit="1" customWidth="1"/>
    <col min="10" max="10" width="23.42578125" bestFit="1" customWidth="1"/>
    <col min="11" max="11" width="9.85546875" bestFit="1" customWidth="1"/>
  </cols>
  <sheetData>
    <row r="2" spans="2:11" x14ac:dyDescent="0.25">
      <c r="B2" s="91" t="s">
        <v>182</v>
      </c>
      <c r="C2" s="91"/>
      <c r="E2" t="s">
        <v>183</v>
      </c>
      <c r="F2" s="71">
        <v>5</v>
      </c>
      <c r="I2" t="s">
        <v>192</v>
      </c>
      <c r="J2">
        <v>11</v>
      </c>
    </row>
    <row r="3" spans="2:11" x14ac:dyDescent="0.25">
      <c r="B3" s="45">
        <v>1</v>
      </c>
      <c r="C3" s="45" t="s">
        <v>20</v>
      </c>
    </row>
    <row r="4" spans="2:11" x14ac:dyDescent="0.25">
      <c r="B4" s="45">
        <v>2</v>
      </c>
      <c r="C4" s="45" t="s">
        <v>21</v>
      </c>
      <c r="E4" t="s">
        <v>184</v>
      </c>
      <c r="F4" t="s">
        <v>185</v>
      </c>
    </row>
    <row r="5" spans="2:11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</row>
    <row r="6" spans="2:11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  <c r="H6" t="s">
        <v>193</v>
      </c>
      <c r="I6" s="72" t="s">
        <v>186</v>
      </c>
    </row>
    <row r="7" spans="2:11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  <c r="H7" s="88">
        <v>1</v>
      </c>
      <c r="I7" s="72" t="str">
        <f>INDICADORES!B3</f>
        <v>RECEITAS</v>
      </c>
      <c r="J7" s="82">
        <f>INDEX('FLUXO DE CAIXA (2)'!$C$9:$N$18,'AUXILIAR 2'!H7,'AUXILIAR 2'!$J$2)</f>
        <v>486</v>
      </c>
      <c r="K7" s="50"/>
    </row>
    <row r="8" spans="2:11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  <c r="H8" s="88">
        <v>2</v>
      </c>
      <c r="I8" s="72" t="str">
        <f>INDICADORES!B4</f>
        <v>DESPESA</v>
      </c>
      <c r="J8" s="82">
        <f>INDEX('FLUXO DE CAIXA (2)'!$C$9:$N$18,'AUXILIAR 2'!H8,'AUXILIAR 2'!$J$2)</f>
        <v>771.6666666666664</v>
      </c>
      <c r="K8" s="50"/>
    </row>
    <row r="9" spans="2:11" x14ac:dyDescent="0.25">
      <c r="B9" s="45">
        <v>7</v>
      </c>
      <c r="C9" s="45" t="s">
        <v>26</v>
      </c>
      <c r="F9">
        <f>INDEX('FLUXO DE CAIXA (2)'!C13:$N$18,1,'AUXILIAR 2'!$F$2)</f>
        <v>0</v>
      </c>
      <c r="H9" s="88">
        <v>3</v>
      </c>
      <c r="I9" s="72" t="str">
        <f>INDICADORES!B5</f>
        <v>RESULTADOS</v>
      </c>
      <c r="J9" s="82">
        <f>INDEX('FLUXO DE CAIXA (2)'!$C$9:$N$18,'AUXILIAR 2'!H9,'AUXILIAR 2'!$J$2)</f>
        <v>-285.6666666666664</v>
      </c>
      <c r="K9" s="50"/>
    </row>
    <row r="10" spans="2:11" x14ac:dyDescent="0.25">
      <c r="B10" s="45">
        <v>8</v>
      </c>
      <c r="C10" s="45" t="s">
        <v>27</v>
      </c>
      <c r="F10">
        <f>INDEX('FLUXO DE CAIXA (2)'!C14:$N$18,1,'AUXILIAR 2'!$F$2)</f>
        <v>0</v>
      </c>
      <c r="H10" s="88">
        <v>4</v>
      </c>
      <c r="I10" s="72" t="str">
        <f>INDICADORES!B6</f>
        <v>ACUMULADO</v>
      </c>
      <c r="J10" s="82">
        <f>INDEX('FLUXO DE CAIXA (2)'!$C$9:$N$18,'AUXILIAR 2'!H10,'AUXILIAR 2'!$J$2)</f>
        <v>618.93333333333396</v>
      </c>
      <c r="K10" s="50"/>
    </row>
    <row r="11" spans="2:11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  <c r="H11" s="88">
        <v>8</v>
      </c>
      <c r="I11" s="72" t="str">
        <f>INDICADORES!B7</f>
        <v>CONTAS A RECEBER</v>
      </c>
      <c r="J11" s="82">
        <f>INDEX('FLUXO DE CAIXA (2)'!$C$9:$N$18,'AUXILIAR 2'!H11,'AUXILIAR 2'!$J$2)</f>
        <v>0</v>
      </c>
      <c r="K11" s="50"/>
    </row>
    <row r="12" spans="2:11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  <c r="H12" s="88">
        <v>9</v>
      </c>
      <c r="I12" s="72" t="str">
        <f>INDICADORES!B8</f>
        <v>CONTAS A PAGAR</v>
      </c>
      <c r="J12" s="82">
        <f>INDEX('FLUXO DE CAIXA (2)'!$C$9:$N$18,'AUXILIAR 2'!H12,'AUXILIAR 2'!$J$2)</f>
        <v>0</v>
      </c>
      <c r="K12" s="50"/>
    </row>
    <row r="13" spans="2:11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  <c r="H13" s="88">
        <v>10</v>
      </c>
      <c r="I13" s="72" t="str">
        <f>INDICADORES!B9</f>
        <v>NECESSIDADE DE CAIXA</v>
      </c>
      <c r="J13" s="82">
        <f>INDEX('FLUXO DE CAIXA (2)'!$C$9:$N$18,'AUXILIAR 2'!H13,'AUXILIAR 2'!$J$2)</f>
        <v>0</v>
      </c>
      <c r="K13" s="50"/>
    </row>
    <row r="14" spans="2:11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R37"/>
  <sheetViews>
    <sheetView showGridLines="0" zoomScale="70" zoomScaleNormal="70" workbookViewId="0">
      <selection activeCell="C9" sqref="C9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8" s="60" customFormat="1" ht="31.5" customHeight="1" x14ac:dyDescent="0.25"/>
    <row r="2" spans="2:18" s="60" customFormat="1" ht="36" customHeight="1" x14ac:dyDescent="0.25"/>
    <row r="5" spans="2:18" ht="31.5" customHeight="1" x14ac:dyDescent="0.25"/>
    <row r="6" spans="2:18" ht="30" customHeight="1" x14ac:dyDescent="0.25"/>
    <row r="7" spans="2:18" ht="23.25" x14ac:dyDescent="0.25">
      <c r="B7" s="13" t="s">
        <v>102</v>
      </c>
      <c r="C7" s="70" t="s">
        <v>20</v>
      </c>
      <c r="D7" s="70" t="s">
        <v>21</v>
      </c>
      <c r="E7" s="70" t="s">
        <v>22</v>
      </c>
      <c r="F7" s="70" t="s">
        <v>23</v>
      </c>
      <c r="G7" s="70" t="s">
        <v>24</v>
      </c>
      <c r="H7" s="70" t="s">
        <v>25</v>
      </c>
      <c r="I7" s="70" t="s">
        <v>26</v>
      </c>
      <c r="J7" s="70" t="s">
        <v>27</v>
      </c>
      <c r="K7" s="70" t="s">
        <v>28</v>
      </c>
      <c r="L7" s="70" t="s">
        <v>29</v>
      </c>
      <c r="M7" s="70" t="s">
        <v>30</v>
      </c>
      <c r="N7" s="70" t="s">
        <v>31</v>
      </c>
      <c r="O7" s="70" t="s">
        <v>37</v>
      </c>
      <c r="P7" s="70" t="s">
        <v>32</v>
      </c>
      <c r="Q7" s="55"/>
      <c r="R7" s="55"/>
    </row>
    <row r="8" spans="2:18" ht="23.25" x14ac:dyDescent="0.25">
      <c r="B8" s="13" t="s">
        <v>33</v>
      </c>
      <c r="C8" s="53">
        <v>111</v>
      </c>
      <c r="D8" s="53">
        <f>C12</f>
        <v>411</v>
      </c>
      <c r="E8" s="53">
        <f t="shared" ref="E8:N8" si="0">D12</f>
        <v>1195</v>
      </c>
      <c r="F8" s="53">
        <f t="shared" si="0"/>
        <v>1393</v>
      </c>
      <c r="G8" s="53">
        <f t="shared" si="0"/>
        <v>1393</v>
      </c>
      <c r="H8" s="53">
        <f t="shared" si="0"/>
        <v>2567</v>
      </c>
      <c r="I8" s="53">
        <f t="shared" si="0"/>
        <v>2567</v>
      </c>
      <c r="J8" s="53">
        <f t="shared" si="0"/>
        <v>2957</v>
      </c>
      <c r="K8" s="53">
        <f t="shared" si="0"/>
        <v>2957</v>
      </c>
      <c r="L8" s="53">
        <f t="shared" si="0"/>
        <v>2351</v>
      </c>
      <c r="M8" s="53">
        <f t="shared" si="0"/>
        <v>904.60000000000036</v>
      </c>
      <c r="N8" s="53">
        <f t="shared" si="0"/>
        <v>618.93333333333396</v>
      </c>
      <c r="O8" s="53">
        <f>SUM(C8:N8)</f>
        <v>19425.533333333333</v>
      </c>
      <c r="P8" s="53">
        <f>C8</f>
        <v>111</v>
      </c>
      <c r="Q8" s="55"/>
      <c r="R8" s="55"/>
    </row>
    <row r="9" spans="2:18" ht="23.25" x14ac:dyDescent="0.25">
      <c r="B9" s="13" t="s">
        <v>34</v>
      </c>
      <c r="C9" s="53">
        <f>SUMIFS(AUXILIAR!$G$6:$G$941,AUXILIAR!$O$6:$O$941,'FLUXO DE CAIXA (2)'!C$7,AUXILIAR!$I$6:$I$941,'FLUXO DE CAIXA (2)'!$B9)</f>
        <v>1505</v>
      </c>
      <c r="D9" s="53">
        <f>SUMIFS(AUXILIAR!$G$6:$G$941,AUXILIAR!$O$6:$O$941,'FLUXO DE CAIXA (2)'!D$7,AUXILIAR!$I$6:$I$941,'FLUXO DE CAIXA (2)'!$B9)</f>
        <v>1301</v>
      </c>
      <c r="E9" s="53">
        <f>SUMIFS(AUXILIAR!$G$6:$G$941,AUXILIAR!$O$6:$O$941,'FLUXO DE CAIXA (2)'!E$7,AUXILIAR!$I$6:$I$941,'FLUXO DE CAIXA (2)'!$B9)</f>
        <v>198</v>
      </c>
      <c r="F9" s="53">
        <f>SUMIFS(AUXILIAR!$G$6:$G$941,AUXILIAR!$O$6:$O$941,'FLUXO DE CAIXA (2)'!F$7,AUXILIAR!$I$6:$I$941,'FLUXO DE CAIXA (2)'!$B9)</f>
        <v>0</v>
      </c>
      <c r="G9" s="53">
        <f>SUMIFS(AUXILIAR!$G$6:$G$941,AUXILIAR!$O$6:$O$941,'FLUXO DE CAIXA (2)'!G$7,AUXILIAR!$I$6:$I$941,'FLUXO DE CAIXA (2)'!$B9)</f>
        <v>1174</v>
      </c>
      <c r="H9" s="53">
        <f>SUMIFS(AUXILIAR!$G$6:$G$941,AUXILIAR!$O$6:$O$941,'FLUXO DE CAIXA (2)'!H$7,AUXILIAR!$I$6:$I$941,'FLUXO DE CAIXA (2)'!$B9)</f>
        <v>0</v>
      </c>
      <c r="I9" s="53">
        <f>SUMIFS(AUXILIAR!$G$6:$G$941,AUXILIAR!$O$6:$O$941,'FLUXO DE CAIXA (2)'!I$7,AUXILIAR!$I$6:$I$941,'FLUXO DE CAIXA (2)'!$B9)</f>
        <v>490</v>
      </c>
      <c r="J9" s="53">
        <f>SUMIFS(AUXILIAR!$G$6:$G$941,AUXILIAR!$O$6:$O$941,'FLUXO DE CAIXA (2)'!J$7,AUXILIAR!$I$6:$I$941,'FLUXO DE CAIXA (2)'!$B9)</f>
        <v>9</v>
      </c>
      <c r="K9" s="53">
        <f>SUMIFS(AUXILIAR!$G$6:$G$941,AUXILIAR!$O$6:$O$941,'FLUXO DE CAIXA (2)'!K$7,AUXILIAR!$I$6:$I$941,'FLUXO DE CAIXA (2)'!$B9)</f>
        <v>13</v>
      </c>
      <c r="L9" s="53">
        <f>SUMIFS(AUXILIAR!$G$6:$G$941,AUXILIAR!$O$6:$O$941,'FLUXO DE CAIXA (2)'!L$7,AUXILIAR!$I$6:$I$941,'FLUXO DE CAIXA (2)'!$B9)</f>
        <v>40.8333333333333</v>
      </c>
      <c r="M9" s="53">
        <f>SUMIFS(AUXILIAR!$G$6:$G$941,AUXILIAR!$O$6:$O$941,'FLUXO DE CAIXA (2)'!M$7,AUXILIAR!$I$6:$I$941,'FLUXO DE CAIXA (2)'!$B9)</f>
        <v>486</v>
      </c>
      <c r="N9" s="53">
        <f>SUMIFS(AUXILIAR!$G$6:$G$941,AUXILIAR!$O$6:$O$941,'FLUXO DE CAIXA (2)'!N$7,AUXILIAR!$I$6:$I$941,'FLUXO DE CAIXA (2)'!$B9)</f>
        <v>8018</v>
      </c>
      <c r="O9" s="53">
        <f>SUM(C9:N9)</f>
        <v>13234.833333333332</v>
      </c>
      <c r="P9" s="53">
        <f>SUM(C9:N9)</f>
        <v>13234.833333333332</v>
      </c>
      <c r="Q9" s="55"/>
      <c r="R9" s="55"/>
    </row>
    <row r="10" spans="2:18" ht="23.25" x14ac:dyDescent="0.25">
      <c r="B10" s="13" t="s">
        <v>35</v>
      </c>
      <c r="C10" s="53">
        <f>SUMIFS(AUXILIAR!$G$6:$G$941,AUXILIAR!$O$6:$O$941,'FLUXO DE CAIXA (2)'!C$7,AUXILIAR!$I$6:$I$941,'FLUXO DE CAIXA (2)'!$B10)</f>
        <v>1205</v>
      </c>
      <c r="D10" s="53">
        <f>SUMIFS(AUXILIAR!$G$6:$G$941,AUXILIAR!$O$6:$O$941,'FLUXO DE CAIXA (2)'!D$7,AUXILIAR!$I$6:$I$941,'FLUXO DE CAIXA (2)'!$B10)</f>
        <v>517</v>
      </c>
      <c r="E10" s="53">
        <f>SUMIFS(AUXILIAR!$G$6:$G$941,AUXILIAR!$O$6:$O$941,'FLUXO DE CAIXA (2)'!E$7,AUXILIAR!$I$6:$I$941,'FLUXO DE CAIXA (2)'!$B10)</f>
        <v>0</v>
      </c>
      <c r="F10" s="53">
        <f>SUMIFS(AUXILIAR!$G$6:$G$941,AUXILIAR!$O$6:$O$941,'FLUXO DE CAIXA (2)'!F$7,AUXILIAR!$I$6:$I$941,'FLUXO DE CAIXA (2)'!$B10)</f>
        <v>0</v>
      </c>
      <c r="G10" s="53">
        <f>SUMIFS(AUXILIAR!$G$6:$G$941,AUXILIAR!$O$6:$O$941,'FLUXO DE CAIXA (2)'!G$7,AUXILIAR!$I$6:$I$941,'FLUXO DE CAIXA (2)'!$B10)</f>
        <v>0</v>
      </c>
      <c r="H10" s="53">
        <f>SUMIFS(AUXILIAR!$G$6:$G$941,AUXILIAR!$O$6:$O$941,'FLUXO DE CAIXA (2)'!H$7,AUXILIAR!$I$6:$I$941,'FLUXO DE CAIXA (2)'!$B10)</f>
        <v>0</v>
      </c>
      <c r="I10" s="53">
        <f>SUMIFS(AUXILIAR!$G$6:$G$941,AUXILIAR!$O$6:$O$941,'FLUXO DE CAIXA (2)'!I$7,AUXILIAR!$I$6:$I$941,'FLUXO DE CAIXA (2)'!$B10)</f>
        <v>100</v>
      </c>
      <c r="J10" s="53">
        <f>SUMIFS(AUXILIAR!$G$6:$G$941,AUXILIAR!$O$6:$O$941,'FLUXO DE CAIXA (2)'!J$7,AUXILIAR!$I$6:$I$941,'FLUXO DE CAIXA (2)'!$B10)</f>
        <v>9</v>
      </c>
      <c r="K10" s="53">
        <f>SUMIFS(AUXILIAR!$G$6:$G$941,AUXILIAR!$O$6:$O$941,'FLUXO DE CAIXA (2)'!K$7,AUXILIAR!$I$6:$I$941,'FLUXO DE CAIXA (2)'!$B10)</f>
        <v>619</v>
      </c>
      <c r="L10" s="53">
        <f>SUMIFS(AUXILIAR!$G$6:$G$941,AUXILIAR!$O$6:$O$941,'FLUXO DE CAIXA (2)'!L$7,AUXILIAR!$I$6:$I$941,'FLUXO DE CAIXA (2)'!$B10)</f>
        <v>1487.2333333333329</v>
      </c>
      <c r="M10" s="53">
        <f>SUMIFS(AUXILIAR!$G$6:$G$941,AUXILIAR!$O$6:$O$941,'FLUXO DE CAIXA (2)'!M$7,AUXILIAR!$I$6:$I$941,'FLUXO DE CAIXA (2)'!$B10)</f>
        <v>771.6666666666664</v>
      </c>
      <c r="N10" s="53">
        <f>SUMIFS(AUXILIAR!$G$6:$G$941,AUXILIAR!$O$6:$O$941,'FLUXO DE CAIXA (2)'!N$7,AUXILIAR!$I$6:$I$941,'FLUXO DE CAIXA (2)'!$B10)</f>
        <v>11535</v>
      </c>
      <c r="O10" s="53">
        <f>SUM(C10:N10)</f>
        <v>16243.899999999998</v>
      </c>
      <c r="P10" s="53">
        <f>SUM(C10:N10)</f>
        <v>16243.899999999998</v>
      </c>
      <c r="Q10" s="55"/>
      <c r="R10" s="55"/>
    </row>
    <row r="11" spans="2:18" ht="23.25" x14ac:dyDescent="0.25">
      <c r="B11" s="13" t="s">
        <v>15</v>
      </c>
      <c r="C11" s="53">
        <f>C9-C10</f>
        <v>300</v>
      </c>
      <c r="D11" s="53">
        <f t="shared" ref="D11:N11" si="1">D9-D10</f>
        <v>784</v>
      </c>
      <c r="E11" s="53">
        <f t="shared" si="1"/>
        <v>198</v>
      </c>
      <c r="F11" s="53">
        <f t="shared" si="1"/>
        <v>0</v>
      </c>
      <c r="G11" s="53">
        <f t="shared" si="1"/>
        <v>1174</v>
      </c>
      <c r="H11" s="53">
        <f t="shared" si="1"/>
        <v>0</v>
      </c>
      <c r="I11" s="53">
        <f t="shared" si="1"/>
        <v>390</v>
      </c>
      <c r="J11" s="53">
        <f t="shared" si="1"/>
        <v>0</v>
      </c>
      <c r="K11" s="53">
        <f t="shared" si="1"/>
        <v>-606</v>
      </c>
      <c r="L11" s="53">
        <f t="shared" si="1"/>
        <v>-1446.3999999999996</v>
      </c>
      <c r="M11" s="53">
        <f t="shared" si="1"/>
        <v>-285.6666666666664</v>
      </c>
      <c r="N11" s="53">
        <f t="shared" si="1"/>
        <v>-3517</v>
      </c>
      <c r="O11" s="53">
        <f>SUM(C11:N11)</f>
        <v>-3009.0666666666662</v>
      </c>
      <c r="P11" s="53">
        <f>P9-P10</f>
        <v>-3009.0666666666657</v>
      </c>
      <c r="Q11" s="55"/>
      <c r="R11" s="55"/>
    </row>
    <row r="12" spans="2:18" ht="23.25" x14ac:dyDescent="0.25">
      <c r="B12" s="13" t="s">
        <v>36</v>
      </c>
      <c r="C12" s="53">
        <f>C8+C11</f>
        <v>411</v>
      </c>
      <c r="D12" s="53">
        <f t="shared" ref="D12:N12" si="2">D8+D11</f>
        <v>1195</v>
      </c>
      <c r="E12" s="53">
        <f t="shared" si="2"/>
        <v>1393</v>
      </c>
      <c r="F12" s="53">
        <f t="shared" si="2"/>
        <v>1393</v>
      </c>
      <c r="G12" s="53">
        <f t="shared" si="2"/>
        <v>2567</v>
      </c>
      <c r="H12" s="53">
        <f t="shared" si="2"/>
        <v>2567</v>
      </c>
      <c r="I12" s="53">
        <f t="shared" si="2"/>
        <v>2957</v>
      </c>
      <c r="J12" s="53">
        <f t="shared" si="2"/>
        <v>2957</v>
      </c>
      <c r="K12" s="53">
        <f t="shared" si="2"/>
        <v>2351</v>
      </c>
      <c r="L12" s="53">
        <f t="shared" si="2"/>
        <v>904.60000000000036</v>
      </c>
      <c r="M12" s="53">
        <f t="shared" si="2"/>
        <v>618.93333333333396</v>
      </c>
      <c r="N12" s="53">
        <f t="shared" si="2"/>
        <v>-2898.0666666666662</v>
      </c>
      <c r="O12" s="53">
        <f>SUM(C12:N12)</f>
        <v>16416.466666666667</v>
      </c>
      <c r="P12" s="53">
        <f>N12</f>
        <v>-2898.0666666666662</v>
      </c>
      <c r="Q12" s="55"/>
      <c r="R12" s="55"/>
    </row>
    <row r="13" spans="2:18" ht="23.25" x14ac:dyDescent="0.25">
      <c r="C13" s="55"/>
      <c r="D13" s="55"/>
      <c r="E13" s="80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2:18" ht="30" customHeight="1" x14ac:dyDescent="0.25"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</row>
    <row r="15" spans="2:18" ht="53.25" customHeight="1" x14ac:dyDescent="0.25">
      <c r="B15" s="57" t="s">
        <v>104</v>
      </c>
      <c r="C15" s="70" t="s">
        <v>20</v>
      </c>
      <c r="D15" s="70" t="s">
        <v>21</v>
      </c>
      <c r="E15" s="70" t="s">
        <v>22</v>
      </c>
      <c r="F15" s="70" t="s">
        <v>23</v>
      </c>
      <c r="G15" s="70" t="s">
        <v>24</v>
      </c>
      <c r="H15" s="70" t="s">
        <v>25</v>
      </c>
      <c r="I15" s="70" t="s">
        <v>26</v>
      </c>
      <c r="J15" s="70" t="s">
        <v>27</v>
      </c>
      <c r="K15" s="70" t="s">
        <v>28</v>
      </c>
      <c r="L15" s="70" t="s">
        <v>29</v>
      </c>
      <c r="M15" s="70" t="s">
        <v>30</v>
      </c>
      <c r="N15" s="70" t="s">
        <v>31</v>
      </c>
      <c r="O15" s="70" t="s">
        <v>32</v>
      </c>
      <c r="P15" s="55"/>
      <c r="Q15" s="55"/>
      <c r="R15" s="55"/>
    </row>
    <row r="16" spans="2:18" ht="30" customHeight="1" x14ac:dyDescent="0.25">
      <c r="B16" s="57" t="s">
        <v>105</v>
      </c>
      <c r="C16" s="81">
        <f>SUMIFS(AUXILIAR!$G$6:$G$941,AUXILIAR!$I$6:$I$941,"RECEITAS",AUXILIAR!$P$6:$P$941,"NAO PAGO",AUXILIAR!$L$6:$L$941,'FLUXO DE CAIXA (2)'!C$15)</f>
        <v>18</v>
      </c>
      <c r="D16" s="81">
        <f>SUMIFS(AUXILIAR!$G$6:$G$941,AUXILIAR!$I$6:$I$941,"RECEITAS",AUXILIAR!$P$6:$P$941,"NAO PAGO",AUXILIAR!$L$6:$L$941,'FLUXO DE CAIXA (2)'!D$15)</f>
        <v>0</v>
      </c>
      <c r="E16" s="81">
        <f>SUMIFS(AUXILIAR!$G$6:$G$941,AUXILIAR!$I$6:$I$941,"RECEITAS",AUXILIAR!$P$6:$P$941,"NAO PAGO",AUXILIAR!$L$6:$L$941,'FLUXO DE CAIXA (2)'!E$15)</f>
        <v>0</v>
      </c>
      <c r="F16" s="81">
        <f>SUMIFS(AUXILIAR!$G$6:$G$941,AUXILIAR!$I$6:$I$941,"RECEITAS",AUXILIAR!$P$6:$P$941,"NAO PAGO",AUXILIAR!$L$6:$L$941,'FLUXO DE CAIXA (2)'!F$15)</f>
        <v>0</v>
      </c>
      <c r="G16" s="81">
        <f>SUMIFS(AUXILIAR!$G$6:$G$941,AUXILIAR!$I$6:$I$941,"RECEITAS",AUXILIAR!$P$6:$P$941,"NAO PAGO",AUXILIAR!$L$6:$L$941,'FLUXO DE CAIXA (2)'!G$15)</f>
        <v>0</v>
      </c>
      <c r="H16" s="81">
        <f>SUMIFS(AUXILIAR!$G$6:$G$941,AUXILIAR!$I$6:$I$941,"RECEITAS",AUXILIAR!$P$6:$P$941,"NAO PAGO",AUXILIAR!$L$6:$L$941,'FLUXO DE CAIXA (2)'!H$15)</f>
        <v>0</v>
      </c>
      <c r="I16" s="81">
        <f>SUMIFS(AUXILIAR!$G$6:$G$941,AUXILIAR!$I$6:$I$941,"RECEITAS",AUXILIAR!$P$6:$P$941,"NAO PAGO",AUXILIAR!$L$6:$L$941,'FLUXO DE CAIXA (2)'!I$15)</f>
        <v>0</v>
      </c>
      <c r="J16" s="81">
        <f>SUMIFS(AUXILIAR!$G$6:$G$941,AUXILIAR!$I$6:$I$941,"RECEITAS",AUXILIAR!$P$6:$P$941,"NAO PAGO",AUXILIAR!$L$6:$L$941,'FLUXO DE CAIXA (2)'!J$15)</f>
        <v>1</v>
      </c>
      <c r="K16" s="81">
        <f>SUMIFS(AUXILIAR!$G$6:$G$941,AUXILIAR!$I$6:$I$941,"RECEITAS",AUXILIAR!$P$6:$P$941,"NAO PAGO",AUXILIAR!$L$6:$L$941,'FLUXO DE CAIXA (2)'!K$15)</f>
        <v>0</v>
      </c>
      <c r="L16" s="81">
        <f>SUMIFS(AUXILIAR!$G$6:$G$941,AUXILIAR!$I$6:$I$941,"RECEITAS",AUXILIAR!$P$6:$P$941,"NAO PAGO",AUXILIAR!$L$6:$L$941,'FLUXO DE CAIXA (2)'!L$15)</f>
        <v>0</v>
      </c>
      <c r="M16" s="81">
        <f>SUMIFS(AUXILIAR!$G$6:$G$941,AUXILIAR!$I$6:$I$941,"RECEITAS",AUXILIAR!$P$6:$P$941,"NAO PAGO",AUXILIAR!$L$6:$L$941,'FLUXO DE CAIXA (2)'!M$15)</f>
        <v>0</v>
      </c>
      <c r="N16" s="81">
        <f>SUMIFS(AUXILIAR!$G$6:$G$941,AUXILIAR!$I$6:$I$941,"RECEITAS",AUXILIAR!$P$6:$P$941,"NAO PAGO",AUXILIAR!$L$6:$L$941,'FLUXO DE CAIXA (2)'!N$15)</f>
        <v>0</v>
      </c>
      <c r="O16" s="53">
        <f>SUM(C16:N16)</f>
        <v>19</v>
      </c>
      <c r="P16" s="55"/>
      <c r="Q16" s="55"/>
      <c r="R16" s="55"/>
    </row>
    <row r="17" spans="2:18" ht="30" customHeight="1" x14ac:dyDescent="0.25">
      <c r="B17" s="57" t="s">
        <v>56</v>
      </c>
      <c r="C17" s="81">
        <f>SUMIFS(AUXILIAR!$G$6:$G$941,AUXILIAR!$I$6:$I$941,"DESPESAS",AUXILIAR!$P$6:$P$941,"NAO PAGO",AUXILIAR!$L$6:$L$941,'FLUXO DE CAIXA (2)'!C$15)</f>
        <v>0</v>
      </c>
      <c r="D17" s="81">
        <f>SUMIFS(AUXILIAR!$G$6:$G$941,AUXILIAR!$I$6:$I$941,"DESPESAS",AUXILIAR!$P$6:$P$941,"NAO PAGO",AUXILIAR!$L$6:$L$941,'FLUXO DE CAIXA (2)'!D$15)</f>
        <v>0</v>
      </c>
      <c r="E17" s="81">
        <f>SUMIFS(AUXILIAR!$G$6:$G$941,AUXILIAR!$I$6:$I$941,"DESPESAS",AUXILIAR!$P$6:$P$941,"NAO PAGO",AUXILIAR!$L$6:$L$941,'FLUXO DE CAIXA (2)'!E$15)</f>
        <v>0</v>
      </c>
      <c r="F17" s="81">
        <f>SUMIFS(AUXILIAR!$G$6:$G$941,AUXILIAR!$I$6:$I$941,"DESPESAS",AUXILIAR!$P$6:$P$941,"NAO PAGO",AUXILIAR!$L$6:$L$941,'FLUXO DE CAIXA (2)'!F$15)</f>
        <v>0</v>
      </c>
      <c r="G17" s="81">
        <f>SUMIFS(AUXILIAR!$G$6:$G$941,AUXILIAR!$I$6:$I$941,"DESPESAS",AUXILIAR!$P$6:$P$941,"NAO PAGO",AUXILIAR!$L$6:$L$941,'FLUXO DE CAIXA (2)'!G$15)</f>
        <v>0</v>
      </c>
      <c r="H17" s="81">
        <f>SUMIFS(AUXILIAR!$G$6:$G$941,AUXILIAR!$I$6:$I$941,"DESPESAS",AUXILIAR!$P$6:$P$941,"NAO PAGO",AUXILIAR!$L$6:$L$941,'FLUXO DE CAIXA (2)'!H$15)</f>
        <v>0</v>
      </c>
      <c r="I17" s="81">
        <f>SUMIFS(AUXILIAR!$G$6:$G$941,AUXILIAR!$I$6:$I$941,"DESPESAS",AUXILIAR!$P$6:$P$941,"NAO PAGO",AUXILIAR!$L$6:$L$941,'FLUXO DE CAIXA (2)'!I$15)</f>
        <v>0</v>
      </c>
      <c r="J17" s="81">
        <f>SUMIFS(AUXILIAR!$G$6:$G$941,AUXILIAR!$I$6:$I$941,"DESPESAS",AUXILIAR!$P$6:$P$941,"NAO PAGO",AUXILIAR!$L$6:$L$941,'FLUXO DE CAIXA (2)'!J$15)</f>
        <v>26</v>
      </c>
      <c r="K17" s="81">
        <f>SUMIFS(AUXILIAR!$G$6:$G$941,AUXILIAR!$I$6:$I$941,"DESPESAS",AUXILIAR!$P$6:$P$941,"NAO PAGO",AUXILIAR!$L$6:$L$941,'FLUXO DE CAIXA (2)'!K$15)</f>
        <v>0</v>
      </c>
      <c r="L17" s="81">
        <f>SUMIFS(AUXILIAR!$G$6:$G$941,AUXILIAR!$I$6:$I$941,"DESPESAS",AUXILIAR!$P$6:$P$941,"NAO PAGO",AUXILIAR!$L$6:$L$941,'FLUXO DE CAIXA (2)'!L$15)</f>
        <v>19</v>
      </c>
      <c r="M17" s="81">
        <f>SUMIFS(AUXILIAR!$G$6:$G$941,AUXILIAR!$I$6:$I$941,"DESPESAS",AUXILIAR!$P$6:$P$941,"NAO PAGO",AUXILIAR!$L$6:$L$941,'FLUXO DE CAIXA (2)'!M$15)</f>
        <v>0</v>
      </c>
      <c r="N17" s="81">
        <f>SUMIFS(AUXILIAR!$G$6:$G$941,AUXILIAR!$I$6:$I$941,"DESPESAS",AUXILIAR!$P$6:$P$941,"NAO PAGO",AUXILIAR!$L$6:$L$941,'FLUXO DE CAIXA (2)'!N$15)</f>
        <v>0</v>
      </c>
      <c r="O17" s="53">
        <f>SUM(C17:N17)</f>
        <v>45</v>
      </c>
      <c r="P17" s="55"/>
      <c r="Q17" s="55"/>
      <c r="R17" s="55"/>
    </row>
    <row r="18" spans="2:18" ht="46.5" x14ac:dyDescent="0.25">
      <c r="B18" s="57" t="s">
        <v>106</v>
      </c>
      <c r="C18" s="81">
        <f>C16-C17</f>
        <v>18</v>
      </c>
      <c r="D18" s="81">
        <f t="shared" ref="D18:O18" si="3">D16-D17</f>
        <v>0</v>
      </c>
      <c r="E18" s="81">
        <f t="shared" si="3"/>
        <v>0</v>
      </c>
      <c r="F18" s="81">
        <f t="shared" si="3"/>
        <v>0</v>
      </c>
      <c r="G18" s="81">
        <f t="shared" si="3"/>
        <v>0</v>
      </c>
      <c r="H18" s="81">
        <f t="shared" si="3"/>
        <v>0</v>
      </c>
      <c r="I18" s="81">
        <f t="shared" si="3"/>
        <v>0</v>
      </c>
      <c r="J18" s="81">
        <f t="shared" si="3"/>
        <v>-25</v>
      </c>
      <c r="K18" s="81">
        <f t="shared" si="3"/>
        <v>0</v>
      </c>
      <c r="L18" s="81">
        <f t="shared" si="3"/>
        <v>-19</v>
      </c>
      <c r="M18" s="81">
        <f t="shared" si="3"/>
        <v>0</v>
      </c>
      <c r="N18" s="81">
        <f t="shared" si="3"/>
        <v>0</v>
      </c>
      <c r="O18" s="81">
        <f t="shared" si="3"/>
        <v>-26</v>
      </c>
      <c r="P18" s="55"/>
      <c r="Q18" s="55"/>
      <c r="R18" s="55"/>
    </row>
    <row r="19" spans="2:18" ht="30" customHeight="1" x14ac:dyDescent="0.25"/>
    <row r="20" spans="2:18" ht="30" customHeight="1" x14ac:dyDescent="0.25"/>
    <row r="21" spans="2:18" ht="30" customHeight="1" x14ac:dyDescent="0.25"/>
    <row r="22" spans="2:18" ht="30" customHeight="1" x14ac:dyDescent="0.25"/>
    <row r="23" spans="2:18" ht="30" customHeight="1" x14ac:dyDescent="0.25"/>
    <row r="24" spans="2:18" ht="30" customHeight="1" x14ac:dyDescent="0.25"/>
    <row r="25" spans="2:18" ht="30" customHeight="1" x14ac:dyDescent="0.25"/>
    <row r="26" spans="2:18" ht="30" customHeight="1" x14ac:dyDescent="0.25"/>
    <row r="27" spans="2:18" ht="30" customHeight="1" x14ac:dyDescent="0.25"/>
    <row r="28" spans="2:18" ht="30" customHeight="1" x14ac:dyDescent="0.25">
      <c r="L28" t="s">
        <v>107</v>
      </c>
    </row>
    <row r="29" spans="2:18" ht="30" customHeight="1" x14ac:dyDescent="0.25"/>
    <row r="30" spans="2:18" ht="30" customHeight="1" x14ac:dyDescent="0.25"/>
    <row r="31" spans="2:18" ht="30" customHeight="1" x14ac:dyDescent="0.25"/>
    <row r="32" spans="2:18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146" priority="11" operator="equal">
      <formula>"RECEITA"</formula>
    </cfRule>
    <cfRule type="cellIs" dxfId="145" priority="12" operator="equal">
      <formula>"DESPESA"</formula>
    </cfRule>
    <cfRule type="cellIs" dxfId="144" priority="13" operator="equal">
      <formula>"RECEITA"</formula>
    </cfRule>
    <cfRule type="cellIs" dxfId="143" priority="14" operator="equal">
      <formula>"DESPESA"</formula>
    </cfRule>
    <cfRule type="cellIs" dxfId="142" priority="15" operator="equal">
      <formula>"RECEITA"</formula>
    </cfRule>
    <cfRule type="cellIs" dxfId="141" priority="16" operator="equal">
      <formula>"DESPESA"</formula>
    </cfRule>
  </conditionalFormatting>
  <conditionalFormatting sqref="B9">
    <cfRule type="cellIs" dxfId="140" priority="5" operator="equal">
      <formula>"RECEITA"</formula>
    </cfRule>
    <cfRule type="cellIs" dxfId="139" priority="6" operator="equal">
      <formula>"DESPESA"</formula>
    </cfRule>
    <cfRule type="cellIs" dxfId="138" priority="7" operator="equal">
      <formula>"RECEITA"</formula>
    </cfRule>
    <cfRule type="cellIs" dxfId="137" priority="8" operator="equal">
      <formula>"DESPESA"</formula>
    </cfRule>
    <cfRule type="cellIs" dxfId="136" priority="9" operator="equal">
      <formula>"RECEITA"</formula>
    </cfRule>
    <cfRule type="cellIs" dxfId="135" priority="10" operator="equal">
      <formula>"DESPESA"</formula>
    </cfRule>
  </conditionalFormatting>
  <conditionalFormatting sqref="C11:O11">
    <cfRule type="cellIs" dxfId="134" priority="3" operator="lessThan">
      <formula>0</formula>
    </cfRule>
    <cfRule type="cellIs" dxfId="133" priority="4" operator="greaterThan">
      <formula>0</formula>
    </cfRule>
  </conditionalFormatting>
  <conditionalFormatting sqref="C12:P12">
    <cfRule type="cellIs" dxfId="132" priority="1" operator="lessThan">
      <formula>0</formula>
    </cfRule>
    <cfRule type="cellIs" dxfId="13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>
      <selection activeCell="H9" sqref="H9"/>
    </sheetView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60" customFormat="1" ht="31.5" customHeight="1" x14ac:dyDescent="0.25">
      <c r="A1" s="60" t="s">
        <v>79</v>
      </c>
    </row>
    <row r="2" spans="1:16" s="60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-100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1007.2666666666667</v>
      </c>
    </row>
    <row r="12" spans="1:16" ht="23.25" x14ac:dyDescent="0.25"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14</v>
      </c>
    </row>
    <row r="15" spans="1:16" ht="53.25" customHeight="1" x14ac:dyDescent="0.25"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-13</v>
      </c>
    </row>
    <row r="16" spans="1:16" ht="42" customHeight="1" x14ac:dyDescent="0.25"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2:15" ht="30" customHeight="1" x14ac:dyDescent="0.25"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-5</v>
      </c>
    </row>
    <row r="18" spans="2:15" ht="29.25" customHeight="1" x14ac:dyDescent="0.25"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 t="str">
        <f t="shared" si="0"/>
        <v/>
      </c>
    </row>
    <row r="19" spans="2:15" ht="30" customHeight="1" x14ac:dyDescent="0.25"/>
    <row r="20" spans="2:15" ht="30" customHeight="1" x14ac:dyDescent="0.25"/>
    <row r="21" spans="2:15" ht="30" customHeight="1" x14ac:dyDescent="0.25">
      <c r="G21" t="s">
        <v>79</v>
      </c>
    </row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>
      <c r="L28" t="s">
        <v>107</v>
      </c>
    </row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130" priority="13" operator="equal">
      <formula>"RECEITA"</formula>
    </cfRule>
    <cfRule type="cellIs" dxfId="129" priority="14" operator="equal">
      <formula>"DESPESA"</formula>
    </cfRule>
    <cfRule type="cellIs" dxfId="128" priority="15" operator="equal">
      <formula>"RECEITA"</formula>
    </cfRule>
    <cfRule type="cellIs" dxfId="127" priority="16" operator="equal">
      <formula>"DESPESA"</formula>
    </cfRule>
    <cfRule type="cellIs" dxfId="126" priority="17" operator="equal">
      <formula>"RECEITA"</formula>
    </cfRule>
    <cfRule type="cellIs" dxfId="125" priority="18" operator="equal">
      <formula>"DESPESA"</formula>
    </cfRule>
  </conditionalFormatting>
  <conditionalFormatting sqref="C11:O11 O18">
    <cfRule type="cellIs" dxfId="124" priority="5" operator="lessThan">
      <formula>0</formula>
    </cfRule>
    <cfRule type="cellIs" dxfId="123" priority="6" operator="greaterThan">
      <formula>0</formula>
    </cfRule>
  </conditionalFormatting>
  <conditionalFormatting sqref="C12:O12">
    <cfRule type="cellIs" dxfId="122" priority="3" operator="lessThan">
      <formula>0</formula>
    </cfRule>
    <cfRule type="cellIs" dxfId="121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topLeftCell="A4" zoomScale="70" zoomScaleNormal="70" workbookViewId="0">
      <selection activeCell="C7" sqref="C7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60" customFormat="1" ht="31.5" customHeight="1" x14ac:dyDescent="0.25"/>
    <row r="2" spans="2:16" s="60" customFormat="1" ht="36" customHeight="1" x14ac:dyDescent="0.25"/>
    <row r="7" spans="2:16" ht="45.75" customHeight="1" x14ac:dyDescent="0.25">
      <c r="B7" s="69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125</v>
      </c>
      <c r="K10" s="47">
        <f t="shared" si="0"/>
        <v>125</v>
      </c>
      <c r="L10" s="47">
        <f t="shared" si="0"/>
        <v>125</v>
      </c>
      <c r="M10" s="47">
        <f t="shared" si="0"/>
        <v>125</v>
      </c>
      <c r="N10" s="47">
        <f t="shared" si="0"/>
        <v>125</v>
      </c>
      <c r="O10" s="47">
        <f>SUM(C10:N10)</f>
        <v>1486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>SUM(C11:N11)</f>
        <v>14</v>
      </c>
      <c r="P11" s="47">
        <f>SUM(C11:N11)</f>
        <v>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>SUM(C12:N12)</f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1">D11-D12</f>
        <v>0</v>
      </c>
      <c r="E13" s="47">
        <f t="shared" si="1"/>
        <v>0</v>
      </c>
      <c r="F13" s="47">
        <f t="shared" si="1"/>
        <v>0</v>
      </c>
      <c r="G13" s="47">
        <f t="shared" si="1"/>
        <v>0</v>
      </c>
      <c r="H13" s="47">
        <f t="shared" si="1"/>
        <v>0</v>
      </c>
      <c r="I13" s="47">
        <f t="shared" si="1"/>
        <v>0</v>
      </c>
      <c r="J13" s="47">
        <f t="shared" si="1"/>
        <v>0</v>
      </c>
      <c r="K13" s="47">
        <f t="shared" si="1"/>
        <v>0</v>
      </c>
      <c r="L13" s="47">
        <f t="shared" si="1"/>
        <v>0</v>
      </c>
      <c r="M13" s="47">
        <f t="shared" si="1"/>
        <v>0</v>
      </c>
      <c r="N13" s="47">
        <f t="shared" si="1"/>
        <v>0</v>
      </c>
      <c r="O13" s="47">
        <f>SUM(C13:N13)</f>
        <v>14</v>
      </c>
      <c r="P13" s="47">
        <f>P11-P12</f>
        <v>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2">D10+D13</f>
        <v>125</v>
      </c>
      <c r="E14" s="47">
        <f t="shared" si="2"/>
        <v>125</v>
      </c>
      <c r="F14" s="47">
        <f t="shared" si="2"/>
        <v>125</v>
      </c>
      <c r="G14" s="47">
        <f t="shared" si="2"/>
        <v>125</v>
      </c>
      <c r="H14" s="47">
        <f t="shared" si="2"/>
        <v>125</v>
      </c>
      <c r="I14" s="47">
        <f t="shared" si="2"/>
        <v>125</v>
      </c>
      <c r="J14" s="47">
        <f t="shared" si="2"/>
        <v>125</v>
      </c>
      <c r="K14" s="47">
        <f t="shared" si="2"/>
        <v>125</v>
      </c>
      <c r="L14" s="47">
        <f t="shared" si="2"/>
        <v>125</v>
      </c>
      <c r="M14" s="47">
        <f t="shared" si="2"/>
        <v>125</v>
      </c>
      <c r="N14" s="47">
        <f t="shared" si="2"/>
        <v>125</v>
      </c>
      <c r="O14" s="47">
        <f>SUM(C14:N14)</f>
        <v>1500</v>
      </c>
      <c r="P14" s="47">
        <f>N14</f>
        <v>125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7" t="s">
        <v>104</v>
      </c>
      <c r="C17" s="59" t="s">
        <v>20</v>
      </c>
      <c r="D17" s="59" t="s">
        <v>21</v>
      </c>
      <c r="E17" s="59" t="s">
        <v>22</v>
      </c>
      <c r="F17" s="59" t="s">
        <v>23</v>
      </c>
      <c r="G17" s="59" t="s">
        <v>24</v>
      </c>
      <c r="H17" s="59" t="s">
        <v>25</v>
      </c>
      <c r="I17" s="59" t="s">
        <v>26</v>
      </c>
      <c r="J17" s="59" t="s">
        <v>27</v>
      </c>
      <c r="K17" s="59" t="s">
        <v>28</v>
      </c>
      <c r="L17" s="59" t="s">
        <v>29</v>
      </c>
      <c r="M17" s="59" t="s">
        <v>30</v>
      </c>
      <c r="N17" s="59" t="s">
        <v>31</v>
      </c>
      <c r="O17" s="59" t="s">
        <v>32</v>
      </c>
    </row>
    <row r="18" spans="2:15" ht="30" customHeight="1" x14ac:dyDescent="0.25">
      <c r="B18" s="57" t="s">
        <v>105</v>
      </c>
      <c r="C18" s="58">
        <f>SUMIFS(AUXILIAR!$G$6:$G$941,AUXILIAR!$I$6:$I$941,"RECEITAS",AUXILIAR!$P$6:$P$941,"NAO PAGO",AUXILIAR!$L$6:$L$941,'FLUXO DE CAIXA CENTROS'!C$17,AUXILIAR!$F$6:$F$941,'FLUXO DE CAIXA CENTROS'!$C$7)</f>
        <v>0</v>
      </c>
      <c r="D18" s="58">
        <f>SUMIFS(AUXILIAR!$G$6:$G$941,AUXILIAR!$I$6:$I$941,"RECEITAS",AUXILIAR!$P$6:$P$941,"NAO PAGO",AUXILIAR!$L$6:$L$941,'FLUXO DE CAIXA CENTROS'!D$17,AUXILIAR!$F$6:$F$941,'FLUXO DE CAIXA CENTROS'!$C$7)</f>
        <v>0</v>
      </c>
      <c r="E18" s="58">
        <f>SUMIFS(AUXILIAR!$G$6:$G$941,AUXILIAR!$I$6:$I$941,"RECEITAS",AUXILIAR!$P$6:$P$941,"NAO PAGO",AUXILIAR!$L$6:$L$941,'FLUXO DE CAIXA CENTROS'!E$17,AUXILIAR!$F$6:$F$941,'FLUXO DE CAIXA CENTROS'!$C$7)</f>
        <v>0</v>
      </c>
      <c r="F18" s="58">
        <f>SUMIFS(AUXILIAR!$G$6:$G$941,AUXILIAR!$I$6:$I$941,"RECEITAS",AUXILIAR!$P$6:$P$941,"NAO PAGO",AUXILIAR!$L$6:$L$941,'FLUXO DE CAIXA CENTROS'!F$17,AUXILIAR!$F$6:$F$941,'FLUXO DE CAIXA CENTROS'!$C$7)</f>
        <v>0</v>
      </c>
      <c r="G18" s="58">
        <f>SUMIFS(AUXILIAR!$G$6:$G$941,AUXILIAR!$I$6:$I$941,"RECEITAS",AUXILIAR!$P$6:$P$941,"NAO PAGO",AUXILIAR!$L$6:$L$941,'FLUXO DE CAIXA CENTROS'!G$17,AUXILIAR!$F$6:$F$941,'FLUXO DE CAIXA CENTROS'!$C$7)</f>
        <v>0</v>
      </c>
      <c r="H18" s="58">
        <f>SUMIFS(AUXILIAR!$G$6:$G$941,AUXILIAR!$I$6:$I$941,"RECEITAS",AUXILIAR!$P$6:$P$941,"NAO PAGO",AUXILIAR!$L$6:$L$941,'FLUXO DE CAIXA CENTROS'!H$17,AUXILIAR!$F$6:$F$941,'FLUXO DE CAIXA CENTROS'!$C$7)</f>
        <v>0</v>
      </c>
      <c r="I18" s="58">
        <f>SUMIFS(AUXILIAR!$G$6:$G$941,AUXILIAR!$I$6:$I$941,"RECEITAS",AUXILIAR!$P$6:$P$941,"NAO PAGO",AUXILIAR!$L$6:$L$941,'FLUXO DE CAIXA CENTROS'!I$17,AUXILIAR!$F$6:$F$941,'FLUXO DE CAIXA CENTROS'!$C$7)</f>
        <v>0</v>
      </c>
      <c r="J18" s="58">
        <f>SUMIFS(AUXILIAR!$G$6:$G$941,AUXILIAR!$I$6:$I$941,"RECEITAS",AUXILIAR!$P$6:$P$941,"NAO PAGO",AUXILIAR!$L$6:$L$941,'FLUXO DE CAIXA CENTROS'!J$17,AUXILIAR!$F$6:$F$941,'FLUXO DE CAIXA CENTROS'!$C$7)</f>
        <v>0</v>
      </c>
      <c r="K18" s="58">
        <f>SUMIFS(AUXILIAR!$G$6:$G$941,AUXILIAR!$I$6:$I$941,"RECEITAS",AUXILIAR!$P$6:$P$941,"NAO PAGO",AUXILIAR!$L$6:$L$941,'FLUXO DE CAIXA CENTROS'!K$17,AUXILIAR!$F$6:$F$941,'FLUXO DE CAIXA CENTROS'!$C$7)</f>
        <v>0</v>
      </c>
      <c r="L18" s="58">
        <f>SUMIFS(AUXILIAR!$G$6:$G$941,AUXILIAR!$I$6:$I$941,"RECEITAS",AUXILIAR!$P$6:$P$941,"NAO PAGO",AUXILIAR!$L$6:$L$941,'FLUXO DE CAIXA CENTROS'!L$17,AUXILIAR!$F$6:$F$941,'FLUXO DE CAIXA CENTROS'!$C$7)</f>
        <v>0</v>
      </c>
      <c r="M18" s="58">
        <f>SUMIFS(AUXILIAR!$G$6:$G$941,AUXILIAR!$I$6:$I$941,"RECEITAS",AUXILIAR!$P$6:$P$941,"NAO PAGO",AUXILIAR!$L$6:$L$941,'FLUXO DE CAIXA CENTROS'!M$17,AUXILIAR!$F$6:$F$941,'FLUXO DE CAIXA CENTROS'!$C$7)</f>
        <v>0</v>
      </c>
      <c r="N18" s="58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7" t="s">
        <v>56</v>
      </c>
      <c r="C19" s="58">
        <f>SUMIFS(AUXILIAR!$G$6:$G$941,AUXILIAR!$I$6:$I$941,"DESPESAS",AUXILIAR!$P$6:$P$941,"NAO PAGO",AUXILIAR!$L$6:$L$941,'FLUXO DE CAIXA CENTROS'!C$17,AUXILIAR!$F$6:$F$941,'FLUXO DE CAIXA CENTROS'!$C$7)</f>
        <v>0</v>
      </c>
      <c r="D19" s="58">
        <f>SUMIFS(AUXILIAR!$G$6:$G$941,AUXILIAR!$I$6:$I$941,"DESPESAS",AUXILIAR!$P$6:$P$941,"NAO PAGO",AUXILIAR!$L$6:$L$941,'FLUXO DE CAIXA CENTROS'!D$17,AUXILIAR!$F$6:$F$941,'FLUXO DE CAIXA CENTROS'!$C$7)</f>
        <v>0</v>
      </c>
      <c r="E19" s="58">
        <f>SUMIFS(AUXILIAR!$G$6:$G$941,AUXILIAR!$I$6:$I$941,"DESPESAS",AUXILIAR!$P$6:$P$941,"NAO PAGO",AUXILIAR!$L$6:$L$941,'FLUXO DE CAIXA CENTROS'!E$17,AUXILIAR!$F$6:$F$941,'FLUXO DE CAIXA CENTROS'!$C$7)</f>
        <v>0</v>
      </c>
      <c r="F19" s="58">
        <f>SUMIFS(AUXILIAR!$G$6:$G$941,AUXILIAR!$I$6:$I$941,"DESPESAS",AUXILIAR!$P$6:$P$941,"NAO PAGO",AUXILIAR!$L$6:$L$941,'FLUXO DE CAIXA CENTROS'!F$17,AUXILIAR!$F$6:$F$941,'FLUXO DE CAIXA CENTROS'!$C$7)</f>
        <v>0</v>
      </c>
      <c r="G19" s="58">
        <f>SUMIFS(AUXILIAR!$G$6:$G$941,AUXILIAR!$I$6:$I$941,"DESPESAS",AUXILIAR!$P$6:$P$941,"NAO PAGO",AUXILIAR!$L$6:$L$941,'FLUXO DE CAIXA CENTROS'!G$17,AUXILIAR!$F$6:$F$941,'FLUXO DE CAIXA CENTROS'!$C$7)</f>
        <v>0</v>
      </c>
      <c r="H19" s="58">
        <f>SUMIFS(AUXILIAR!$G$6:$G$941,AUXILIAR!$I$6:$I$941,"DESPESAS",AUXILIAR!$P$6:$P$941,"NAO PAGO",AUXILIAR!$L$6:$L$941,'FLUXO DE CAIXA CENTROS'!H$17,AUXILIAR!$F$6:$F$941,'FLUXO DE CAIXA CENTROS'!$C$7)</f>
        <v>0</v>
      </c>
      <c r="I19" s="58">
        <f>SUMIFS(AUXILIAR!$G$6:$G$941,AUXILIAR!$I$6:$I$941,"DESPESAS",AUXILIAR!$P$6:$P$941,"NAO PAGO",AUXILIAR!$L$6:$L$941,'FLUXO DE CAIXA CENTROS'!I$17,AUXILIAR!$F$6:$F$941,'FLUXO DE CAIXA CENTROS'!$C$7)</f>
        <v>0</v>
      </c>
      <c r="J19" s="58">
        <f>SUMIFS(AUXILIAR!$G$6:$G$941,AUXILIAR!$I$6:$I$941,"DESPESAS",AUXILIAR!$P$6:$P$941,"NAO PAGO",AUXILIAR!$L$6:$L$941,'FLUXO DE CAIXA CENTROS'!J$17,AUXILIAR!$F$6:$F$941,'FLUXO DE CAIXA CENTROS'!$C$7)</f>
        <v>0</v>
      </c>
      <c r="K19" s="58">
        <f>SUMIFS(AUXILIAR!$G$6:$G$941,AUXILIAR!$I$6:$I$941,"DESPESAS",AUXILIAR!$P$6:$P$941,"NAO PAGO",AUXILIAR!$L$6:$L$941,'FLUXO DE CAIXA CENTROS'!K$17,AUXILIAR!$F$6:$F$941,'FLUXO DE CAIXA CENTROS'!$C$7)</f>
        <v>0</v>
      </c>
      <c r="L19" s="58">
        <f>SUMIFS(AUXILIAR!$G$6:$G$941,AUXILIAR!$I$6:$I$941,"DESPESAS",AUXILIAR!$P$6:$P$941,"NAO PAGO",AUXILIAR!$L$6:$L$941,'FLUXO DE CAIXA CENTROS'!L$17,AUXILIAR!$F$6:$F$941,'FLUXO DE CAIXA CENTROS'!$C$7)</f>
        <v>0</v>
      </c>
      <c r="M19" s="58">
        <f>SUMIFS(AUXILIAR!$G$6:$G$941,AUXILIAR!$I$6:$I$941,"DESPESAS",AUXILIAR!$P$6:$P$941,"NAO PAGO",AUXILIAR!$L$6:$L$941,'FLUXO DE CAIXA CENTROS'!M$17,AUXILIAR!$F$6:$F$941,'FLUXO DE CAIXA CENTROS'!$C$7)</f>
        <v>0</v>
      </c>
      <c r="N19" s="58">
        <f>SUMIFS(AUXILIAR!$G$6:$G$941,AUXILIAR!$I$6:$I$941,"DESPESAS",AUXILIAR!$P$6:$P$941,"NAO PAGO",AUXILIAR!$L$6:$L$941,'FLUXO DE CAIXA CENTROS'!N$17,AUXILIAR!$F$6:$F$941,'FLUXO DE CAIXA CENTROS'!$C$7)</f>
        <v>0</v>
      </c>
      <c r="O19" s="50">
        <f>SUM(C19:N19)</f>
        <v>0</v>
      </c>
    </row>
    <row r="20" spans="2:15" ht="46.5" x14ac:dyDescent="0.25">
      <c r="B20" s="57" t="s">
        <v>106</v>
      </c>
      <c r="C20" s="58">
        <f>C18-C19</f>
        <v>0</v>
      </c>
      <c r="D20" s="58">
        <f t="shared" ref="D20:O20" si="3">D18-D19</f>
        <v>0</v>
      </c>
      <c r="E20" s="58">
        <f t="shared" si="3"/>
        <v>0</v>
      </c>
      <c r="F20" s="58">
        <f t="shared" si="3"/>
        <v>0</v>
      </c>
      <c r="G20" s="58">
        <f t="shared" si="3"/>
        <v>0</v>
      </c>
      <c r="H20" s="58">
        <f t="shared" si="3"/>
        <v>0</v>
      </c>
      <c r="I20" s="58">
        <f t="shared" si="3"/>
        <v>0</v>
      </c>
      <c r="J20" s="58">
        <f t="shared" si="3"/>
        <v>0</v>
      </c>
      <c r="K20" s="58">
        <f t="shared" si="3"/>
        <v>0</v>
      </c>
      <c r="L20" s="58">
        <f t="shared" si="3"/>
        <v>0</v>
      </c>
      <c r="M20" s="58">
        <f t="shared" si="3"/>
        <v>0</v>
      </c>
      <c r="N20" s="58">
        <f t="shared" si="3"/>
        <v>0</v>
      </c>
      <c r="O20" s="58">
        <f t="shared" si="3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120" priority="11" operator="equal">
      <formula>"RECEITA"</formula>
    </cfRule>
    <cfRule type="cellIs" dxfId="119" priority="12" operator="equal">
      <formula>"DESPESA"</formula>
    </cfRule>
    <cfRule type="cellIs" dxfId="118" priority="13" operator="equal">
      <formula>"RECEITA"</formula>
    </cfRule>
    <cfRule type="cellIs" dxfId="117" priority="14" operator="equal">
      <formula>"DESPESA"</formula>
    </cfRule>
    <cfRule type="cellIs" dxfId="116" priority="15" operator="equal">
      <formula>"RECEITA"</formula>
    </cfRule>
    <cfRule type="cellIs" dxfId="115" priority="16" operator="equal">
      <formula>"DESPESA"</formula>
    </cfRule>
  </conditionalFormatting>
  <conditionalFormatting sqref="B11">
    <cfRule type="cellIs" dxfId="114" priority="5" operator="equal">
      <formula>"RECEITA"</formula>
    </cfRule>
    <cfRule type="cellIs" dxfId="113" priority="6" operator="equal">
      <formula>"DESPESA"</formula>
    </cfRule>
    <cfRule type="cellIs" dxfId="112" priority="7" operator="equal">
      <formula>"RECEITA"</formula>
    </cfRule>
    <cfRule type="cellIs" dxfId="111" priority="8" operator="equal">
      <formula>"DESPESA"</formula>
    </cfRule>
    <cfRule type="cellIs" dxfId="110" priority="9" operator="equal">
      <formula>"RECEITA"</formula>
    </cfRule>
    <cfRule type="cellIs" dxfId="109" priority="10" operator="equal">
      <formula>"DESPESA"</formula>
    </cfRule>
  </conditionalFormatting>
  <conditionalFormatting sqref="C13:O13">
    <cfRule type="cellIs" dxfId="108" priority="3" operator="lessThan">
      <formula>0</formula>
    </cfRule>
    <cfRule type="cellIs" dxfId="107" priority="4" operator="greaterThan">
      <formula>0</formula>
    </cfRule>
  </conditionalFormatting>
  <conditionalFormatting sqref="C14:P14">
    <cfRule type="cellIs" dxfId="106" priority="1" operator="lessThan">
      <formula>0</formula>
    </cfRule>
    <cfRule type="cellIs" dxfId="10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60" zoomScaleNormal="60" workbookViewId="0"/>
  </sheetViews>
  <sheetFormatPr defaultRowHeight="15" x14ac:dyDescent="0.25"/>
  <cols>
    <col min="2" max="2" width="31.710937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92" t="s">
        <v>60</v>
      </c>
      <c r="P7" s="92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/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60" customFormat="1" ht="31.5" customHeight="1" x14ac:dyDescent="0.25"/>
    <row r="2" spans="2:2" s="60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5" t="s">
        <v>110</v>
      </c>
    </row>
    <row r="9" spans="2:2" ht="30" customHeight="1" x14ac:dyDescent="0.25">
      <c r="B9" s="65" t="s">
        <v>111</v>
      </c>
    </row>
    <row r="10" spans="2:2" ht="30" customHeight="1" x14ac:dyDescent="0.25">
      <c r="B10" s="65" t="s">
        <v>112</v>
      </c>
    </row>
    <row r="11" spans="2:2" ht="30" customHeight="1" x14ac:dyDescent="0.25">
      <c r="B11" s="65" t="s">
        <v>113</v>
      </c>
    </row>
    <row r="12" spans="2:2" ht="30" customHeight="1" x14ac:dyDescent="0.25">
      <c r="B12" s="65" t="s">
        <v>114</v>
      </c>
    </row>
    <row r="13" spans="2:2" ht="30" customHeight="1" x14ac:dyDescent="0.25">
      <c r="B13" s="65" t="s">
        <v>115</v>
      </c>
    </row>
    <row r="14" spans="2:2" ht="30" customHeight="1" x14ac:dyDescent="0.25">
      <c r="B14" s="65" t="s">
        <v>116</v>
      </c>
    </row>
    <row r="15" spans="2:2" ht="30" customHeight="1" x14ac:dyDescent="0.25">
      <c r="B15" s="65" t="s">
        <v>117</v>
      </c>
    </row>
    <row r="16" spans="2:2" ht="30" customHeight="1" x14ac:dyDescent="0.25">
      <c r="B16" s="65" t="s">
        <v>118</v>
      </c>
    </row>
    <row r="17" spans="2:2" ht="30" customHeight="1" x14ac:dyDescent="0.25">
      <c r="B17" s="65" t="s">
        <v>119</v>
      </c>
    </row>
    <row r="18" spans="2:2" ht="30" customHeight="1" x14ac:dyDescent="0.25">
      <c r="B18" s="65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selection activeCell="H2" sqref="H2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2">SUM(D12:D15)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21">
        <f t="shared" si="2"/>
        <v>0</v>
      </c>
      <c r="O11" s="20">
        <f>SUM(C11:N11)</f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3">C8-C11</f>
        <v>0</v>
      </c>
      <c r="D16" s="20">
        <f t="shared" si="3"/>
        <v>0</v>
      </c>
      <c r="E16" s="20">
        <f t="shared" si="3"/>
        <v>0</v>
      </c>
      <c r="F16" s="20">
        <f t="shared" si="3"/>
        <v>0</v>
      </c>
      <c r="G16" s="20">
        <f t="shared" si="3"/>
        <v>0</v>
      </c>
      <c r="H16" s="20">
        <f t="shared" si="3"/>
        <v>0</v>
      </c>
      <c r="I16" s="20">
        <f t="shared" si="3"/>
        <v>0</v>
      </c>
      <c r="J16" s="20">
        <f t="shared" si="3"/>
        <v>0</v>
      </c>
      <c r="K16" s="20">
        <f t="shared" si="3"/>
        <v>0</v>
      </c>
      <c r="L16" s="20">
        <f t="shared" si="3"/>
        <v>0</v>
      </c>
      <c r="M16" s="20">
        <f t="shared" si="3"/>
        <v>0</v>
      </c>
      <c r="N16" s="20">
        <f t="shared" si="3"/>
        <v>0</v>
      </c>
      <c r="O16" s="20">
        <f>SUM(C16:N16)</f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4">C7+C16</f>
        <v>0</v>
      </c>
      <c r="D17" s="20">
        <f t="shared" si="4"/>
        <v>0</v>
      </c>
      <c r="E17" s="20">
        <f t="shared" si="4"/>
        <v>0</v>
      </c>
      <c r="F17" s="20">
        <f t="shared" si="4"/>
        <v>0</v>
      </c>
      <c r="G17" s="20">
        <f t="shared" si="4"/>
        <v>0</v>
      </c>
      <c r="H17" s="20">
        <f t="shared" si="4"/>
        <v>0</v>
      </c>
      <c r="I17" s="20">
        <f t="shared" si="4"/>
        <v>0</v>
      </c>
      <c r="J17" s="20">
        <f t="shared" si="4"/>
        <v>0</v>
      </c>
      <c r="K17" s="20">
        <f t="shared" si="4"/>
        <v>0</v>
      </c>
      <c r="L17" s="20">
        <f t="shared" si="4"/>
        <v>0</v>
      </c>
      <c r="M17" s="20">
        <f t="shared" si="4"/>
        <v>0</v>
      </c>
      <c r="N17" s="20">
        <f t="shared" si="4"/>
        <v>0</v>
      </c>
      <c r="O17" s="20">
        <f>SUM(C17:N17)</f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104" priority="11" operator="equal">
      <formula>"RECEITA"</formula>
    </cfRule>
    <cfRule type="cellIs" dxfId="103" priority="12" operator="equal">
      <formula>"DESPESA"</formula>
    </cfRule>
    <cfRule type="cellIs" dxfId="102" priority="13" operator="equal">
      <formula>"RECEITA"</formula>
    </cfRule>
    <cfRule type="cellIs" dxfId="101" priority="14" operator="equal">
      <formula>"DESPESA"</formula>
    </cfRule>
    <cfRule type="cellIs" dxfId="100" priority="15" operator="equal">
      <formula>"RECEITA"</formula>
    </cfRule>
    <cfRule type="cellIs" dxfId="99" priority="16" operator="equal">
      <formula>"DESPESA"</formula>
    </cfRule>
  </conditionalFormatting>
  <conditionalFormatting sqref="B8:B10">
    <cfRule type="cellIs" dxfId="98" priority="5" operator="equal">
      <formula>"RECEITA"</formula>
    </cfRule>
    <cfRule type="cellIs" dxfId="97" priority="6" operator="equal">
      <formula>"DESPESA"</formula>
    </cfRule>
    <cfRule type="cellIs" dxfId="96" priority="7" operator="equal">
      <formula>"RECEITA"</formula>
    </cfRule>
    <cfRule type="cellIs" dxfId="95" priority="8" operator="equal">
      <formula>"DESPESA"</formula>
    </cfRule>
    <cfRule type="cellIs" dxfId="94" priority="9" operator="equal">
      <formula>"RECEITA"</formula>
    </cfRule>
    <cfRule type="cellIs" dxfId="93" priority="10" operator="equal">
      <formula>"DESPESA"</formula>
    </cfRule>
  </conditionalFormatting>
  <conditionalFormatting sqref="C16:O16">
    <cfRule type="cellIs" dxfId="92" priority="3" operator="lessThan">
      <formula>0</formula>
    </cfRule>
    <cfRule type="cellIs" dxfId="91" priority="4" operator="greaterThan">
      <formula>0</formula>
    </cfRule>
  </conditionalFormatting>
  <conditionalFormatting sqref="C17:P17">
    <cfRule type="cellIs" dxfId="90" priority="1" operator="lessThan">
      <formula>0</formula>
    </cfRule>
    <cfRule type="cellIs" dxfId="8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>
      <selection activeCell="F5" sqref="F5"/>
    </sheetView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60" customFormat="1" ht="31.5" customHeight="1" x14ac:dyDescent="0.25"/>
    <row r="2" spans="2:15" s="60" customFormat="1" ht="36" customHeight="1" x14ac:dyDescent="0.25"/>
    <row r="5" spans="2:15" ht="31.5" customHeight="1" x14ac:dyDescent="0.45">
      <c r="D5" s="95"/>
      <c r="E5" s="95"/>
      <c r="F5" s="56" t="s">
        <v>29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53">
        <f>SUMIFS(AUXILIAR!$G$6:$G$941,AUXILIAR!$M$6:$M$941,'FC-DIARIO'!$B8,AUXILIAR!$I$6:$I$941,'FC-DIARIO'!C$7,AUXILIAR!$O$6:$O$941,'FC-DIARIO'!$F$5)</f>
        <v>0</v>
      </c>
      <c r="D8" s="53">
        <f>SUMIFS(AUXILIAR!$G$6:$G$941,AUXILIAR!$M$6:$M$941,'FC-DIARIO'!$B8,AUXILIAR!$I$6:$I$941,'FC-DIARIO'!D$7,AUXILIAR!$O$6:$O$941,'FC-DIARIO'!$F$5)</f>
        <v>34</v>
      </c>
      <c r="E8" s="54">
        <f>C8-D8</f>
        <v>-34</v>
      </c>
      <c r="F8" s="53"/>
      <c r="G8" s="52">
        <v>12</v>
      </c>
      <c r="H8" s="53">
        <f>SUMIFS(AUXILIAR!$G$6:$G$941,AUXILIAR!$M$6:$M$941,'FC-DIARIO'!$G8,AUXILIAR!$I$6:$I$941,'FC-DIARIO'!H$7,AUXILIAR!$O$6:$O$941,'FC-DIARIO'!$F$5)</f>
        <v>15</v>
      </c>
      <c r="I8" s="53">
        <f>SUMIFS(AUXILIAR!$G$6:$G$941,AUXILIAR!$M$6:$M$941,'FC-DIARIO'!$G8,AUXILIAR!$I$6:$I$941,'FC-DIARIO'!I$7,AUXILIAR!$O$6:$O$941,'FC-DIARIO'!$F$5)</f>
        <v>56</v>
      </c>
      <c r="J8" s="54">
        <f>H8-I8</f>
        <v>-41</v>
      </c>
      <c r="K8" s="53"/>
      <c r="L8" s="52">
        <v>23</v>
      </c>
      <c r="M8" s="53">
        <f>SUMIFS(AUXILIAR!$G$6:$G$941,AUXILIAR!$M$6:$M$941,'FC-DIARIO'!$L8,AUXILIAR!$I$6:$I$941,'FC-DIARIO'!M$7,AUXILIAR!$O$6:$O$941,'FC-DIARIO'!$F$5)</f>
        <v>1</v>
      </c>
      <c r="N8" s="53">
        <f>SUMIFS(AUXILIAR!$G$6:$G$941,AUXILIAR!$M$6:$M$941,'FC-DIARIO'!$L8,AUXILIAR!$I$6:$I$941,'FC-DIARIO'!N$7,AUXILIAR!$O$6:$O$941,'FC-DIARIO'!$F$5)</f>
        <v>42.3333333333333</v>
      </c>
      <c r="O8" s="54">
        <f>M8-N8</f>
        <v>-41.3333333333333</v>
      </c>
    </row>
    <row r="9" spans="2:15" ht="23.25" x14ac:dyDescent="0.25">
      <c r="B9" s="52">
        <v>2</v>
      </c>
      <c r="C9" s="53">
        <f>SUMIFS(AUXILIAR!$G$6:$G$941,AUXILIAR!$M$6:$M$941,'FC-DIARIO'!$B9,AUXILIAR!$I$6:$I$941,'FC-DIARIO'!C$7,AUXILIAR!$O$6:$O$941,'FC-DIARIO'!$F$5)</f>
        <v>0</v>
      </c>
      <c r="D9" s="53">
        <f>SUMIFS(AUXILIAR!$G$6:$G$941,AUXILIAR!$M$6:$M$941,'FC-DIARIO'!$B9,AUXILIAR!$I$6:$I$941,'FC-DIARIO'!D$7,AUXILIAR!$O$6:$O$941,'FC-DIARIO'!$F$5)</f>
        <v>36</v>
      </c>
      <c r="E9" s="54">
        <f t="shared" ref="E9:E18" si="0">C9-D9</f>
        <v>-36</v>
      </c>
      <c r="F9" s="53"/>
      <c r="G9" s="52">
        <v>13</v>
      </c>
      <c r="H9" s="53">
        <f>SUMIFS(AUXILIAR!$G$6:$G$941,AUXILIAR!$M$6:$M$941,'FC-DIARIO'!$G9,AUXILIAR!$I$6:$I$941,'FC-DIARIO'!H$7,AUXILIAR!$O$6:$O$941,'FC-DIARIO'!$F$5)</f>
        <v>0</v>
      </c>
      <c r="I9" s="53">
        <f>SUMIFS(AUXILIAR!$G$6:$G$941,AUXILIAR!$M$6:$M$941,'FC-DIARIO'!$G9,AUXILIAR!$I$6:$I$941,'FC-DIARIO'!I$7,AUXILIAR!$O$6:$O$941,'FC-DIARIO'!$F$5)</f>
        <v>62</v>
      </c>
      <c r="J9" s="54">
        <f t="shared" ref="J9:J18" si="1">H9-I9</f>
        <v>-62</v>
      </c>
      <c r="K9" s="53"/>
      <c r="L9" s="52">
        <v>24</v>
      </c>
      <c r="M9" s="53">
        <f>SUMIFS(AUXILIAR!$G$6:$G$941,AUXILIAR!$M$6:$M$941,'FC-DIARIO'!$L9,AUXILIAR!$I$6:$I$941,'FC-DIARIO'!M$7,AUXILIAR!$O$6:$O$941,'FC-DIARIO'!$F$5)</f>
        <v>1</v>
      </c>
      <c r="N9" s="53">
        <f>SUMIFS(AUXILIAR!$G$6:$G$941,AUXILIAR!$M$6:$M$941,'FC-DIARIO'!$L9,AUXILIAR!$I$6:$I$941,'FC-DIARIO'!N$7,AUXILIAR!$O$6:$O$941,'FC-DIARIO'!$F$5)</f>
        <v>19.8333333333333</v>
      </c>
      <c r="O9" s="54">
        <f t="shared" ref="O9:O16" si="2">M9-N9</f>
        <v>-18.8333333333333</v>
      </c>
    </row>
    <row r="10" spans="2:15" ht="23.25" x14ac:dyDescent="0.25">
      <c r="B10" s="52">
        <v>3</v>
      </c>
      <c r="C10" s="53">
        <f>SUMIFS(AUXILIAR!$G$6:$G$941,AUXILIAR!$M$6:$M$941,'FC-DIARIO'!$B10,AUXILIAR!$I$6:$I$941,'FC-DIARIO'!C$7,AUXILIAR!$O$6:$O$941,'FC-DIARIO'!$F$5)</f>
        <v>0</v>
      </c>
      <c r="D10" s="53">
        <f>SUMIFS(AUXILIAR!$G$6:$G$941,AUXILIAR!$M$6:$M$941,'FC-DIARIO'!$B10,AUXILIAR!$I$6:$I$941,'FC-DIARIO'!D$7,AUXILIAR!$O$6:$O$941,'FC-DIARIO'!$F$5)</f>
        <v>38</v>
      </c>
      <c r="E10" s="54">
        <f t="shared" si="0"/>
        <v>-38</v>
      </c>
      <c r="F10" s="53"/>
      <c r="G10" s="52">
        <v>14</v>
      </c>
      <c r="H10" s="53">
        <f>SUMIFS(AUXILIAR!$G$6:$G$941,AUXILIAR!$M$6:$M$941,'FC-DIARIO'!$G10,AUXILIAR!$I$6:$I$941,'FC-DIARIO'!H$7,AUXILIAR!$O$6:$O$941,'FC-DIARIO'!$F$5)</f>
        <v>0</v>
      </c>
      <c r="I10" s="53">
        <f>SUMIFS(AUXILIAR!$G$6:$G$941,AUXILIAR!$M$6:$M$941,'FC-DIARIO'!$G10,AUXILIAR!$I$6:$I$941,'FC-DIARIO'!I$7,AUXILIAR!$O$6:$O$941,'FC-DIARIO'!$F$5)</f>
        <v>67</v>
      </c>
      <c r="J10" s="54">
        <f t="shared" si="1"/>
        <v>-67</v>
      </c>
      <c r="K10" s="53"/>
      <c r="L10" s="52">
        <v>25</v>
      </c>
      <c r="M10" s="53">
        <f>SUMIFS(AUXILIAR!$G$6:$G$941,AUXILIAR!$M$6:$M$941,'FC-DIARIO'!$L10,AUXILIAR!$I$6:$I$941,'FC-DIARIO'!M$7,AUXILIAR!$O$6:$O$941,'FC-DIARIO'!$F$5)</f>
        <v>1</v>
      </c>
      <c r="N10" s="53">
        <f>SUMIFS(AUXILIAR!$G$6:$G$941,AUXILIAR!$M$6:$M$941,'FC-DIARIO'!$L10,AUXILIAR!$I$6:$I$941,'FC-DIARIO'!N$7,AUXILIAR!$O$6:$O$941,'FC-DIARIO'!$F$5)</f>
        <v>21.3333333333333</v>
      </c>
      <c r="O10" s="54">
        <f t="shared" si="2"/>
        <v>-20.3333333333333</v>
      </c>
    </row>
    <row r="11" spans="2:15" ht="23.25" x14ac:dyDescent="0.25">
      <c r="B11" s="52">
        <v>4</v>
      </c>
      <c r="C11" s="53">
        <f>SUMIFS(AUXILIAR!$G$6:$G$941,AUXILIAR!$M$6:$M$941,'FC-DIARIO'!$B11,AUXILIAR!$I$6:$I$941,'FC-DIARIO'!C$7,AUXILIAR!$O$6:$O$941,'FC-DIARIO'!$F$5)</f>
        <v>0</v>
      </c>
      <c r="D11" s="53">
        <f>SUMIFS(AUXILIAR!$G$6:$G$941,AUXILIAR!$M$6:$M$941,'FC-DIARIO'!$B11,AUXILIAR!$I$6:$I$941,'FC-DIARIO'!D$7,AUXILIAR!$O$6:$O$941,'FC-DIARIO'!$F$5)</f>
        <v>40</v>
      </c>
      <c r="E11" s="54">
        <f t="shared" si="0"/>
        <v>-40</v>
      </c>
      <c r="F11" s="53"/>
      <c r="G11" s="52">
        <v>15</v>
      </c>
      <c r="H11" s="53">
        <f>SUMIFS(AUXILIAR!$G$6:$G$941,AUXILIAR!$M$6:$M$941,'FC-DIARIO'!$G11,AUXILIAR!$I$6:$I$941,'FC-DIARIO'!H$7,AUXILIAR!$O$6:$O$941,'FC-DIARIO'!$F$5)</f>
        <v>0</v>
      </c>
      <c r="I11" s="53">
        <f>SUMIFS(AUXILIAR!$G$6:$G$941,AUXILIAR!$M$6:$M$941,'FC-DIARIO'!$G11,AUXILIAR!$I$6:$I$941,'FC-DIARIO'!I$7,AUXILIAR!$O$6:$O$941,'FC-DIARIO'!$F$5)</f>
        <v>71.333333333333329</v>
      </c>
      <c r="J11" s="54">
        <f t="shared" si="1"/>
        <v>-71.333333333333329</v>
      </c>
      <c r="K11" s="53"/>
      <c r="L11" s="52">
        <v>26</v>
      </c>
      <c r="M11" s="53">
        <f>SUMIFS(AUXILIAR!$G$6:$G$941,AUXILIAR!$M$6:$M$941,'FC-DIARIO'!$L11,AUXILIAR!$I$6:$I$941,'FC-DIARIO'!M$7,AUXILIAR!$O$6:$O$941,'FC-DIARIO'!$F$5)</f>
        <v>1</v>
      </c>
      <c r="N11" s="53">
        <f>SUMIFS(AUXILIAR!$G$6:$G$941,AUXILIAR!$M$6:$M$941,'FC-DIARIO'!$L11,AUXILIAR!$I$6:$I$941,'FC-DIARIO'!N$7,AUXILIAR!$O$6:$O$941,'FC-DIARIO'!$F$5)</f>
        <v>48.8333333333333</v>
      </c>
      <c r="O11" s="54">
        <f t="shared" si="2"/>
        <v>-47.8333333333333</v>
      </c>
    </row>
    <row r="12" spans="2:15" ht="23.25" x14ac:dyDescent="0.25">
      <c r="B12" s="52">
        <v>5</v>
      </c>
      <c r="C12" s="53">
        <f>SUMIFS(AUXILIAR!$G$6:$G$941,AUXILIAR!$M$6:$M$941,'FC-DIARIO'!$B12,AUXILIAR!$I$6:$I$941,'FC-DIARIO'!C$7,AUXILIAR!$O$6:$O$941,'FC-DIARIO'!$F$5)</f>
        <v>0</v>
      </c>
      <c r="D12" s="53">
        <f>SUMIFS(AUXILIAR!$G$6:$G$941,AUXILIAR!$M$6:$M$941,'FC-DIARIO'!$B12,AUXILIAR!$I$6:$I$941,'FC-DIARIO'!D$7,AUXILIAR!$O$6:$O$941,'FC-DIARIO'!$F$5)</f>
        <v>42</v>
      </c>
      <c r="E12" s="54">
        <f t="shared" si="0"/>
        <v>-42</v>
      </c>
      <c r="F12" s="53"/>
      <c r="G12" s="52">
        <v>16</v>
      </c>
      <c r="H12" s="53">
        <f>SUMIFS(AUXILIAR!$G$6:$G$941,AUXILIAR!$M$6:$M$941,'FC-DIARIO'!$G12,AUXILIAR!$I$6:$I$941,'FC-DIARIO'!H$7,AUXILIAR!$O$6:$O$941,'FC-DIARIO'!$F$5)</f>
        <v>0</v>
      </c>
      <c r="I12" s="53">
        <f>SUMIFS(AUXILIAR!$G$6:$G$941,AUXILIAR!$M$6:$M$941,'FC-DIARIO'!$G12,AUXILIAR!$I$6:$I$941,'FC-DIARIO'!I$7,AUXILIAR!$O$6:$O$941,'FC-DIARIO'!$F$5)</f>
        <v>69.833333333333329</v>
      </c>
      <c r="J12" s="54">
        <f t="shared" si="1"/>
        <v>-69.833333333333329</v>
      </c>
      <c r="K12" s="53"/>
      <c r="L12" s="52">
        <v>27</v>
      </c>
      <c r="M12" s="53">
        <f>SUMIFS(AUXILIAR!$G$6:$G$941,AUXILIAR!$M$6:$M$941,'FC-DIARIO'!$L12,AUXILIAR!$I$6:$I$941,'FC-DIARIO'!M$7,AUXILIAR!$O$6:$O$941,'FC-DIARIO'!$F$5)</f>
        <v>1</v>
      </c>
      <c r="N12" s="53">
        <f>SUMIFS(AUXILIAR!$G$6:$G$941,AUXILIAR!$M$6:$M$941,'FC-DIARIO'!$L12,AUXILIAR!$I$6:$I$941,'FC-DIARIO'!N$7,AUXILIAR!$O$6:$O$941,'FC-DIARIO'!$F$5)</f>
        <v>51.3333333333333</v>
      </c>
      <c r="O12" s="54">
        <f t="shared" si="2"/>
        <v>-50.3333333333333</v>
      </c>
    </row>
    <row r="13" spans="2:15" ht="23.25" x14ac:dyDescent="0.25">
      <c r="B13" s="52">
        <v>6</v>
      </c>
      <c r="C13" s="53">
        <f>SUMIFS(AUXILIAR!$G$6:$G$941,AUXILIAR!$M$6:$M$941,'FC-DIARIO'!$B13,AUXILIAR!$I$6:$I$941,'FC-DIARIO'!C$7,AUXILIAR!$O$6:$O$941,'FC-DIARIO'!$F$5)</f>
        <v>0</v>
      </c>
      <c r="D13" s="53">
        <f>SUMIFS(AUXILIAR!$G$6:$G$941,AUXILIAR!$M$6:$M$941,'FC-DIARIO'!$B13,AUXILIAR!$I$6:$I$941,'FC-DIARIO'!D$7,AUXILIAR!$O$6:$O$941,'FC-DIARIO'!$F$5)</f>
        <v>44</v>
      </c>
      <c r="E13" s="54">
        <f t="shared" si="0"/>
        <v>-44</v>
      </c>
      <c r="F13" s="55"/>
      <c r="G13" s="52">
        <v>17</v>
      </c>
      <c r="H13" s="53">
        <f>SUMIFS(AUXILIAR!$G$6:$G$941,AUXILIAR!$M$6:$M$941,'FC-DIARIO'!$G13,AUXILIAR!$I$6:$I$941,'FC-DIARIO'!H$7,AUXILIAR!$O$6:$O$941,'FC-DIARIO'!$F$5)</f>
        <v>0</v>
      </c>
      <c r="I13" s="53">
        <f>SUMIFS(AUXILIAR!$G$6:$G$941,AUXILIAR!$M$6:$M$941,'FC-DIARIO'!$G13,AUXILIAR!$I$6:$I$941,'FC-DIARIO'!I$7,AUXILIAR!$O$6:$O$941,'FC-DIARIO'!$F$5)</f>
        <v>70.733333333333334</v>
      </c>
      <c r="J13" s="54">
        <f t="shared" si="1"/>
        <v>-70.733333333333334</v>
      </c>
      <c r="K13" s="55"/>
      <c r="L13" s="52">
        <v>28</v>
      </c>
      <c r="M13" s="53">
        <f>SUMIFS(AUXILIAR!$G$6:$G$941,AUXILIAR!$M$6:$M$941,'FC-DIARIO'!$L13,AUXILIAR!$I$6:$I$941,'FC-DIARIO'!M$7,AUXILIAR!$O$6:$O$941,'FC-DIARIO'!$F$5)</f>
        <v>1</v>
      </c>
      <c r="N13" s="53">
        <f>SUMIFS(AUXILIAR!$G$6:$G$941,AUXILIAR!$M$6:$M$941,'FC-DIARIO'!$L13,AUXILIAR!$I$6:$I$941,'FC-DIARIO'!N$7,AUXILIAR!$O$6:$O$941,'FC-DIARIO'!$F$5)</f>
        <v>53.8333333333333</v>
      </c>
      <c r="O13" s="54">
        <f t="shared" si="2"/>
        <v>-52.8333333333333</v>
      </c>
    </row>
    <row r="14" spans="2:15" ht="30" customHeight="1" x14ac:dyDescent="0.25">
      <c r="B14" s="52">
        <v>7</v>
      </c>
      <c r="C14" s="53">
        <f>SUMIFS(AUXILIAR!$G$6:$G$941,AUXILIAR!$M$6:$M$941,'FC-DIARIO'!$B14,AUXILIAR!$I$6:$I$941,'FC-DIARIO'!C$7,AUXILIAR!$O$6:$O$941,'FC-DIARIO'!$F$5)</f>
        <v>0</v>
      </c>
      <c r="D14" s="53">
        <f>SUMIFS(AUXILIAR!$G$6:$G$941,AUXILIAR!$M$6:$M$941,'FC-DIARIO'!$B14,AUXILIAR!$I$6:$I$941,'FC-DIARIO'!D$7,AUXILIAR!$O$6:$O$941,'FC-DIARIO'!$F$5)</f>
        <v>46</v>
      </c>
      <c r="E14" s="54">
        <f t="shared" si="0"/>
        <v>-46</v>
      </c>
      <c r="F14" s="55"/>
      <c r="G14" s="52">
        <v>18</v>
      </c>
      <c r="H14" s="53">
        <f>SUMIFS(AUXILIAR!$G$6:$G$941,AUXILIAR!$M$6:$M$941,'FC-DIARIO'!$G14,AUXILIAR!$I$6:$I$941,'FC-DIARIO'!H$7,AUXILIAR!$O$6:$O$941,'FC-DIARIO'!$F$5)</f>
        <v>0</v>
      </c>
      <c r="I14" s="53">
        <f>SUMIFS(AUXILIAR!$G$6:$G$941,AUXILIAR!$M$6:$M$941,'FC-DIARIO'!$G14,AUXILIAR!$I$6:$I$941,'FC-DIARIO'!I$7,AUXILIAR!$O$6:$O$941,'FC-DIARIO'!$F$5)</f>
        <v>71.633333333333297</v>
      </c>
      <c r="J14" s="54">
        <f t="shared" si="1"/>
        <v>-71.633333333333297</v>
      </c>
      <c r="K14" s="55"/>
      <c r="L14" s="52">
        <v>29</v>
      </c>
      <c r="M14" s="53">
        <f>SUMIFS(AUXILIAR!$G$6:$G$941,AUXILIAR!$M$6:$M$941,'FC-DIARIO'!$L14,AUXILIAR!$I$6:$I$941,'FC-DIARIO'!M$7,AUXILIAR!$O$6:$O$941,'FC-DIARIO'!$F$5)</f>
        <v>1</v>
      </c>
      <c r="N14" s="53">
        <f>SUMIFS(AUXILIAR!$G$6:$G$941,AUXILIAR!$M$6:$M$941,'FC-DIARIO'!$L14,AUXILIAR!$I$6:$I$941,'FC-DIARIO'!N$7,AUXILIAR!$O$6:$O$941,'FC-DIARIO'!$F$5)</f>
        <v>56.3333333333333</v>
      </c>
      <c r="O14" s="54">
        <f t="shared" si="2"/>
        <v>-55.3333333333333</v>
      </c>
    </row>
    <row r="15" spans="2:15" ht="30" customHeight="1" x14ac:dyDescent="0.25">
      <c r="B15" s="52">
        <v>8</v>
      </c>
      <c r="C15" s="53">
        <f>SUMIFS(AUXILIAR!$G$6:$G$941,AUXILIAR!$M$6:$M$941,'FC-DIARIO'!$B15,AUXILIAR!$I$6:$I$941,'FC-DIARIO'!C$7,AUXILIAR!$O$6:$O$941,'FC-DIARIO'!$F$5)</f>
        <v>0</v>
      </c>
      <c r="D15" s="53">
        <f>SUMIFS(AUXILIAR!$G$6:$G$941,AUXILIAR!$M$6:$M$941,'FC-DIARIO'!$B15,AUXILIAR!$I$6:$I$941,'FC-DIARIO'!D$7,AUXILIAR!$O$6:$O$941,'FC-DIARIO'!$F$5)</f>
        <v>48</v>
      </c>
      <c r="E15" s="54">
        <f t="shared" si="0"/>
        <v>-48</v>
      </c>
      <c r="F15" s="55"/>
      <c r="G15" s="52">
        <v>19</v>
      </c>
      <c r="H15" s="53">
        <f>SUMIFS(AUXILIAR!$G$6:$G$941,AUXILIAR!$M$6:$M$941,'FC-DIARIO'!$G15,AUXILIAR!$I$6:$I$941,'FC-DIARIO'!H$7,AUXILIAR!$O$6:$O$941,'FC-DIARIO'!$F$5)</f>
        <v>0</v>
      </c>
      <c r="I15" s="53">
        <f>SUMIFS(AUXILIAR!$G$6:$G$941,AUXILIAR!$M$6:$M$941,'FC-DIARIO'!$G15,AUXILIAR!$I$6:$I$941,'FC-DIARIO'!I$7,AUXILIAR!$O$6:$O$941,'FC-DIARIO'!$F$5)</f>
        <v>22.533333333333299</v>
      </c>
      <c r="J15" s="54">
        <f t="shared" si="1"/>
        <v>-22.533333333333299</v>
      </c>
      <c r="K15" s="55"/>
      <c r="L15" s="52">
        <v>30</v>
      </c>
      <c r="M15" s="53">
        <f>SUMIFS(AUXILIAR!$G$6:$G$941,AUXILIAR!$M$6:$M$941,'FC-DIARIO'!$L15,AUXILIAR!$I$6:$I$941,'FC-DIARIO'!M$7,AUXILIAR!$O$6:$O$941,'FC-DIARIO'!$F$5)</f>
        <v>1</v>
      </c>
      <c r="N15" s="53">
        <f>SUMIFS(AUXILIAR!$G$6:$G$941,AUXILIAR!$M$6:$M$941,'FC-DIARIO'!$L15,AUXILIAR!$I$6:$I$941,'FC-DIARIO'!N$7,AUXILIAR!$O$6:$O$941,'FC-DIARIO'!$F$5)</f>
        <v>58.8333333333333</v>
      </c>
      <c r="O15" s="54">
        <f t="shared" si="2"/>
        <v>-57.8333333333333</v>
      </c>
    </row>
    <row r="16" spans="2:15" ht="30" customHeight="1" x14ac:dyDescent="0.25">
      <c r="B16" s="52">
        <v>9</v>
      </c>
      <c r="C16" s="53">
        <f>SUMIFS(AUXILIAR!$G$6:$G$941,AUXILIAR!$M$6:$M$941,'FC-DIARIO'!$B16,AUXILIAR!$I$6:$I$941,'FC-DIARIO'!C$7,AUXILIAR!$O$6:$O$941,'FC-DIARIO'!$F$5)</f>
        <v>0</v>
      </c>
      <c r="D16" s="53">
        <f>SUMIFS(AUXILIAR!$G$6:$G$941,AUXILIAR!$M$6:$M$941,'FC-DIARIO'!$B16,AUXILIAR!$I$6:$I$941,'FC-DIARIO'!D$7,AUXILIAR!$O$6:$O$941,'FC-DIARIO'!$F$5)</f>
        <v>50</v>
      </c>
      <c r="E16" s="54">
        <f t="shared" si="0"/>
        <v>-50</v>
      </c>
      <c r="F16" s="55"/>
      <c r="G16" s="52">
        <v>20</v>
      </c>
      <c r="H16" s="53">
        <f>SUMIFS(AUXILIAR!$G$6:$G$941,AUXILIAR!$M$6:$M$941,'FC-DIARIO'!$G16,AUXILIAR!$I$6:$I$941,'FC-DIARIO'!H$7,AUXILIAR!$O$6:$O$941,'FC-DIARIO'!$F$5)</f>
        <v>14.8333333333333</v>
      </c>
      <c r="I16" s="53">
        <f>SUMIFS(AUXILIAR!$G$6:$G$941,AUXILIAR!$M$6:$M$941,'FC-DIARIO'!$G16,AUXILIAR!$I$6:$I$941,'FC-DIARIO'!I$7,AUXILIAR!$O$6:$O$941,'FC-DIARIO'!$F$5)</f>
        <v>21</v>
      </c>
      <c r="J16" s="54">
        <f t="shared" si="1"/>
        <v>-6.1666666666666998</v>
      </c>
      <c r="K16" s="55"/>
      <c r="L16" s="52">
        <v>31</v>
      </c>
      <c r="M16" s="53">
        <f>SUMIFS(AUXILIAR!$G$6:$G$941,AUXILIAR!$M$6:$M$941,'FC-DIARIO'!$L16,AUXILIAR!$I$6:$I$941,'FC-DIARIO'!M$7,AUXILIAR!$O$6:$O$941,'FC-DIARIO'!$F$5)</f>
        <v>1</v>
      </c>
      <c r="N16" s="53">
        <f>SUMIFS(AUXILIAR!$G$6:$G$941,AUXILIAR!$M$6:$M$941,'FC-DIARIO'!$L16,AUXILIAR!$I$6:$I$941,'FC-DIARIO'!N$7,AUXILIAR!$O$6:$O$941,'FC-DIARIO'!$F$5)</f>
        <v>61.3333333333333</v>
      </c>
      <c r="O16" s="54">
        <f t="shared" si="2"/>
        <v>-60.3333333333333</v>
      </c>
    </row>
    <row r="17" spans="2:15" ht="30" customHeight="1" x14ac:dyDescent="0.25">
      <c r="B17" s="52">
        <v>10</v>
      </c>
      <c r="C17" s="53">
        <f>SUMIFS(AUXILIAR!$G$6:$G$941,AUXILIAR!$M$6:$M$941,'FC-DIARIO'!$B17,AUXILIAR!$I$6:$I$941,'FC-DIARIO'!C$7,AUXILIAR!$O$6:$O$941,'FC-DIARIO'!$F$5)</f>
        <v>0</v>
      </c>
      <c r="D17" s="53">
        <f>SUMIFS(AUXILIAR!$G$6:$G$941,AUXILIAR!$M$6:$M$941,'FC-DIARIO'!$B17,AUXILIAR!$I$6:$I$941,'FC-DIARIO'!D$7,AUXILIAR!$O$6:$O$941,'FC-DIARIO'!$F$5)</f>
        <v>52</v>
      </c>
      <c r="E17" s="54">
        <f t="shared" si="0"/>
        <v>-52</v>
      </c>
      <c r="F17" s="55"/>
      <c r="G17" s="52">
        <v>21</v>
      </c>
      <c r="H17" s="53">
        <f>SUMIFS(AUXILIAR!$G$6:$G$941,AUXILIAR!$M$6:$M$941,'FC-DIARIO'!$G17,AUXILIAR!$I$6:$I$941,'FC-DIARIO'!H$7,AUXILIAR!$O$6:$O$941,'FC-DIARIO'!$F$5)</f>
        <v>1</v>
      </c>
      <c r="I17" s="53">
        <f>SUMIFS(AUXILIAR!$G$6:$G$941,AUXILIAR!$M$6:$M$941,'FC-DIARIO'!$G17,AUXILIAR!$I$6:$I$941,'FC-DIARIO'!I$7,AUXILIAR!$O$6:$O$941,'FC-DIARIO'!$F$5)</f>
        <v>37.3333333333333</v>
      </c>
      <c r="J17" s="54">
        <f t="shared" si="1"/>
        <v>-36.3333333333333</v>
      </c>
      <c r="K17" s="55"/>
      <c r="L17" s="93" t="s">
        <v>32</v>
      </c>
      <c r="M17" s="94">
        <f>SUM(M8:M16,H8:H18,C8:C18)</f>
        <v>40.8333333333333</v>
      </c>
      <c r="N17" s="94">
        <f>SUM(N8:N16,I8:I18,D8:D18)</f>
        <v>1487.2333333333331</v>
      </c>
      <c r="O17" s="94">
        <f>M17-N17</f>
        <v>-1446.3999999999999</v>
      </c>
    </row>
    <row r="18" spans="2:15" ht="30" customHeight="1" x14ac:dyDescent="0.25">
      <c r="B18" s="52">
        <v>11</v>
      </c>
      <c r="C18" s="53">
        <f>SUMIFS(AUXILIAR!$G$6:$G$941,AUXILIAR!$M$6:$M$941,'FC-DIARIO'!$B18,AUXILIAR!$I$6:$I$941,'FC-DIARIO'!C$7,AUXILIAR!$O$6:$O$941,'FC-DIARIO'!$F$5)</f>
        <v>0</v>
      </c>
      <c r="D18" s="53">
        <f>SUMIFS(AUXILIAR!$G$6:$G$941,AUXILIAR!$M$6:$M$941,'FC-DIARIO'!$B18,AUXILIAR!$I$6:$I$941,'FC-DIARIO'!D$7,AUXILIAR!$O$6:$O$941,'FC-DIARIO'!$F$5)</f>
        <v>54</v>
      </c>
      <c r="E18" s="54">
        <f t="shared" si="0"/>
        <v>-54</v>
      </c>
      <c r="F18" s="55"/>
      <c r="G18" s="52">
        <v>22</v>
      </c>
      <c r="H18" s="53">
        <f>SUMIFS(AUXILIAR!$G$6:$G$941,AUXILIAR!$M$6:$M$941,'FC-DIARIO'!$G18,AUXILIAR!$I$6:$I$941,'FC-DIARIO'!H$7,AUXILIAR!$O$6:$O$941,'FC-DIARIO'!$F$5)</f>
        <v>1</v>
      </c>
      <c r="I18" s="53">
        <f>SUMIFS(AUXILIAR!$G$6:$G$941,AUXILIAR!$M$6:$M$941,'FC-DIARIO'!$G18,AUXILIAR!$I$6:$I$941,'FC-DIARIO'!I$7,AUXILIAR!$O$6:$O$941,'FC-DIARIO'!$F$5)</f>
        <v>39.8333333333333</v>
      </c>
      <c r="J18" s="54">
        <f t="shared" si="1"/>
        <v>-38.8333333333333</v>
      </c>
      <c r="K18" s="55"/>
      <c r="L18" s="94"/>
      <c r="M18" s="94"/>
      <c r="N18" s="94"/>
      <c r="O18" s="94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88" priority="53" operator="lessThan">
      <formula>0</formula>
    </cfRule>
    <cfRule type="cellIs" dxfId="87" priority="54" operator="greaterThan">
      <formula>0</formula>
    </cfRule>
  </conditionalFormatting>
  <conditionalFormatting sqref="F12 K12">
    <cfRule type="cellIs" dxfId="86" priority="51" operator="lessThan">
      <formula>0</formula>
    </cfRule>
    <cfRule type="cellIs" dxfId="85" priority="52" operator="greaterThan">
      <formula>0</formula>
    </cfRule>
  </conditionalFormatting>
  <conditionalFormatting sqref="E8:E18">
    <cfRule type="cellIs" dxfId="84" priority="20" operator="lessThan">
      <formula>0</formula>
    </cfRule>
    <cfRule type="cellIs" dxfId="83" priority="21" operator="greaterThan">
      <formula>0</formula>
    </cfRule>
  </conditionalFormatting>
  <conditionalFormatting sqref="E8:E18">
    <cfRule type="cellIs" dxfId="82" priority="19" operator="equal">
      <formula>0</formula>
    </cfRule>
  </conditionalFormatting>
  <conditionalFormatting sqref="J8:J18">
    <cfRule type="cellIs" dxfId="81" priority="11" operator="lessThan">
      <formula>0</formula>
    </cfRule>
    <cfRule type="cellIs" dxfId="80" priority="12" operator="greaterThan">
      <formula>0</formula>
    </cfRule>
  </conditionalFormatting>
  <conditionalFormatting sqref="J8:J18">
    <cfRule type="cellIs" dxfId="79" priority="10" operator="equal">
      <formula>0</formula>
    </cfRule>
  </conditionalFormatting>
  <conditionalFormatting sqref="O8:O16">
    <cfRule type="cellIs" dxfId="78" priority="8" operator="lessThan">
      <formula>0</formula>
    </cfRule>
    <cfRule type="cellIs" dxfId="77" priority="9" operator="greaterThan">
      <formula>0</formula>
    </cfRule>
  </conditionalFormatting>
  <conditionalFormatting sqref="O8:O16">
    <cfRule type="cellIs" dxfId="76" priority="7" operator="equal">
      <formula>0</formula>
    </cfRule>
  </conditionalFormatting>
  <conditionalFormatting sqref="L17:M17">
    <cfRule type="cellIs" dxfId="75" priority="5" operator="lessThan">
      <formula>0</formula>
    </cfRule>
    <cfRule type="cellIs" dxfId="74" priority="6" operator="greaterThan">
      <formula>0</formula>
    </cfRule>
  </conditionalFormatting>
  <conditionalFormatting sqref="L17:M17">
    <cfRule type="cellIs" dxfId="73" priority="4" operator="equal">
      <formula>0</formula>
    </cfRule>
  </conditionalFormatting>
  <conditionalFormatting sqref="N17:O17">
    <cfRule type="cellIs" dxfId="72" priority="2" operator="lessThan">
      <formula>0</formula>
    </cfRule>
    <cfRule type="cellIs" dxfId="71" priority="3" operator="greaterThan">
      <formula>0</formula>
    </cfRule>
  </conditionalFormatting>
  <conditionalFormatting sqref="N17:O17">
    <cfRule type="cellIs" dxfId="7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1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2" customFormat="1" ht="31.5" customHeight="1" x14ac:dyDescent="0.25"/>
    <row r="2" spans="2:16" s="62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-7142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-27712.866666666654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3276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75846.566666666666</v>
      </c>
      <c r="P9" s="28">
        <f t="shared" si="1"/>
        <v>75846.566666666666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3744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81731.933333333334</v>
      </c>
      <c r="P10" s="28">
        <f t="shared" si="2"/>
        <v>81731.933333333334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7020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>SUM(C11:N11)</f>
        <v>157578.5</v>
      </c>
      <c r="P11" s="27">
        <f>SUM(C11:N11)</f>
        <v>157578.5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4">D49</f>
        <v>4056</v>
      </c>
      <c r="E12" s="28">
        <f t="shared" si="4"/>
        <v>0</v>
      </c>
      <c r="F12" s="28">
        <f t="shared" si="4"/>
        <v>194.59999999999997</v>
      </c>
      <c r="G12" s="28">
        <f t="shared" si="4"/>
        <v>9232</v>
      </c>
      <c r="H12" s="28">
        <f t="shared" si="4"/>
        <v>5778.1666666666606</v>
      </c>
      <c r="I12" s="28">
        <f t="shared" si="4"/>
        <v>3755</v>
      </c>
      <c r="J12" s="28">
        <f t="shared" si="4"/>
        <v>272</v>
      </c>
      <c r="K12" s="28">
        <f t="shared" si="4"/>
        <v>13115</v>
      </c>
      <c r="L12" s="28">
        <f t="shared" si="4"/>
        <v>3867</v>
      </c>
      <c r="M12" s="28">
        <f t="shared" si="4"/>
        <v>3731</v>
      </c>
      <c r="N12" s="28">
        <f t="shared" si="4"/>
        <v>12226</v>
      </c>
      <c r="O12" s="28">
        <f t="shared" si="4"/>
        <v>80770.766666666663</v>
      </c>
      <c r="P12" s="28">
        <f t="shared" si="4"/>
        <v>80770.766666666663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5">D62</f>
        <v>4067</v>
      </c>
      <c r="E13" s="28">
        <f t="shared" si="5"/>
        <v>0</v>
      </c>
      <c r="F13" s="28">
        <f t="shared" si="5"/>
        <v>195.59999999999997</v>
      </c>
      <c r="G13" s="28">
        <f t="shared" si="5"/>
        <v>9237</v>
      </c>
      <c r="H13" s="28">
        <f t="shared" si="5"/>
        <v>5766.3333333333276</v>
      </c>
      <c r="I13" s="28">
        <f t="shared" si="5"/>
        <v>3747</v>
      </c>
      <c r="J13" s="28">
        <f t="shared" si="5"/>
        <v>275</v>
      </c>
      <c r="K13" s="28">
        <f t="shared" si="5"/>
        <v>13107</v>
      </c>
      <c r="L13" s="28">
        <f t="shared" si="5"/>
        <v>3859</v>
      </c>
      <c r="M13" s="28">
        <f t="shared" si="5"/>
        <v>3723</v>
      </c>
      <c r="N13" s="28">
        <f t="shared" si="5"/>
        <v>12216</v>
      </c>
      <c r="O13" s="28">
        <f t="shared" si="5"/>
        <v>79811.933333333334</v>
      </c>
      <c r="P13" s="28">
        <f t="shared" si="5"/>
        <v>79811.933333333334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6">D75</f>
        <v>3547</v>
      </c>
      <c r="E14" s="28">
        <f t="shared" si="6"/>
        <v>0</v>
      </c>
      <c r="F14" s="28">
        <f t="shared" si="6"/>
        <v>159.6</v>
      </c>
      <c r="G14" s="28">
        <f t="shared" si="6"/>
        <v>8093</v>
      </c>
      <c r="H14" s="28">
        <f t="shared" si="6"/>
        <v>5053.4999999999945</v>
      </c>
      <c r="I14" s="28">
        <f t="shared" si="6"/>
        <v>3384</v>
      </c>
      <c r="J14" s="28">
        <f t="shared" si="6"/>
        <v>246</v>
      </c>
      <c r="K14" s="28">
        <f t="shared" si="6"/>
        <v>11474</v>
      </c>
      <c r="L14" s="28">
        <f t="shared" si="6"/>
        <v>3382</v>
      </c>
      <c r="M14" s="28">
        <f t="shared" si="6"/>
        <v>3263</v>
      </c>
      <c r="N14" s="28">
        <f t="shared" si="6"/>
        <v>20696</v>
      </c>
      <c r="O14" s="28">
        <f t="shared" si="6"/>
        <v>79907.100000000006</v>
      </c>
      <c r="P14" s="28">
        <f t="shared" si="6"/>
        <v>79907.100000000006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7">D88</f>
        <v>3535</v>
      </c>
      <c r="E15" s="28">
        <f t="shared" si="7"/>
        <v>0</v>
      </c>
      <c r="F15" s="28">
        <f t="shared" si="7"/>
        <v>169.39999999999998</v>
      </c>
      <c r="G15" s="28">
        <f t="shared" si="7"/>
        <v>8078</v>
      </c>
      <c r="H15" s="28">
        <f t="shared" si="7"/>
        <v>5041.1666666666615</v>
      </c>
      <c r="I15" s="28">
        <f t="shared" si="7"/>
        <v>3276</v>
      </c>
      <c r="J15" s="28">
        <f t="shared" si="7"/>
        <v>238</v>
      </c>
      <c r="K15" s="28">
        <f t="shared" si="7"/>
        <v>11466</v>
      </c>
      <c r="L15" s="28">
        <f t="shared" si="7"/>
        <v>3374</v>
      </c>
      <c r="M15" s="28">
        <f t="shared" si="7"/>
        <v>3255</v>
      </c>
      <c r="N15" s="28">
        <f t="shared" si="7"/>
        <v>10697</v>
      </c>
      <c r="O15" s="28">
        <f t="shared" si="7"/>
        <v>69730.566666666666</v>
      </c>
      <c r="P15" s="28">
        <f t="shared" si="7"/>
        <v>69730.566666666666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8">SUM(D12:D15)</f>
        <v>15205</v>
      </c>
      <c r="E16" s="27">
        <f t="shared" si="8"/>
        <v>0</v>
      </c>
      <c r="F16" s="27">
        <f t="shared" si="8"/>
        <v>719.19999999999993</v>
      </c>
      <c r="G16" s="27">
        <f t="shared" si="8"/>
        <v>34640</v>
      </c>
      <c r="H16" s="27">
        <f t="shared" si="8"/>
        <v>21639.166666666646</v>
      </c>
      <c r="I16" s="27">
        <f t="shared" si="8"/>
        <v>14162</v>
      </c>
      <c r="J16" s="27">
        <f t="shared" si="8"/>
        <v>1031</v>
      </c>
      <c r="K16" s="27">
        <f t="shared" si="8"/>
        <v>49162</v>
      </c>
      <c r="L16" s="27">
        <f t="shared" si="8"/>
        <v>14482</v>
      </c>
      <c r="M16" s="27">
        <f t="shared" si="8"/>
        <v>13972</v>
      </c>
      <c r="N16" s="27">
        <f t="shared" si="8"/>
        <v>55835</v>
      </c>
      <c r="O16" s="27">
        <f t="shared" si="8"/>
        <v>310220.3666666667</v>
      </c>
      <c r="P16" s="27">
        <f t="shared" si="8"/>
        <v>310220.3666666667</v>
      </c>
    </row>
    <row r="17" spans="2:16" x14ac:dyDescent="0.25">
      <c r="B17" s="24" t="s">
        <v>15</v>
      </c>
      <c r="C17" s="28">
        <f t="shared" ref="C17:N17" si="9">C11-C16</f>
        <v>-45069</v>
      </c>
      <c r="D17" s="28">
        <f t="shared" si="9"/>
        <v>-7630</v>
      </c>
      <c r="E17" s="28">
        <f t="shared" si="9"/>
        <v>0</v>
      </c>
      <c r="F17" s="28">
        <f t="shared" si="9"/>
        <v>-356.2</v>
      </c>
      <c r="G17" s="28">
        <f t="shared" si="9"/>
        <v>-17330</v>
      </c>
      <c r="H17" s="28">
        <f t="shared" si="9"/>
        <v>-10836.666666666657</v>
      </c>
      <c r="I17" s="28">
        <f t="shared" si="9"/>
        <v>-7142</v>
      </c>
      <c r="J17" s="28">
        <f t="shared" si="9"/>
        <v>-521</v>
      </c>
      <c r="K17" s="28">
        <f t="shared" si="9"/>
        <v>-24592</v>
      </c>
      <c r="L17" s="28">
        <f t="shared" si="9"/>
        <v>-7248</v>
      </c>
      <c r="M17" s="28">
        <f t="shared" si="9"/>
        <v>-6988</v>
      </c>
      <c r="N17" s="28">
        <f t="shared" si="9"/>
        <v>-24929</v>
      </c>
      <c r="O17" s="28">
        <f>SUM(C17:N17)</f>
        <v>-152641.86666666664</v>
      </c>
      <c r="P17" s="28">
        <f>P11-P16</f>
        <v>-152641.8666666667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0">D17</f>
        <v>-7630</v>
      </c>
      <c r="E18" s="28">
        <f t="shared" si="10"/>
        <v>0</v>
      </c>
      <c r="F18" s="28">
        <f t="shared" si="10"/>
        <v>-356.2</v>
      </c>
      <c r="G18" s="28">
        <f t="shared" si="10"/>
        <v>-17330</v>
      </c>
      <c r="H18" s="28">
        <f t="shared" si="10"/>
        <v>-10836.666666666657</v>
      </c>
      <c r="I18" s="28">
        <f t="shared" si="10"/>
        <v>-7142</v>
      </c>
      <c r="J18" s="28">
        <f t="shared" si="10"/>
        <v>-521</v>
      </c>
      <c r="K18" s="28">
        <f t="shared" si="10"/>
        <v>-24592</v>
      </c>
      <c r="L18" s="28">
        <f t="shared" si="10"/>
        <v>-7248</v>
      </c>
      <c r="M18" s="28">
        <f t="shared" si="10"/>
        <v>-6988</v>
      </c>
      <c r="N18" s="28">
        <f t="shared" si="10"/>
        <v>-24929</v>
      </c>
      <c r="O18" s="28">
        <f>SUM(C18:N18)</f>
        <v>-152641.86666666664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1">SUM(D23:D33)</f>
        <v>3535</v>
      </c>
      <c r="E22" s="27">
        <f t="shared" si="11"/>
        <v>0</v>
      </c>
      <c r="F22" s="27">
        <f t="shared" si="11"/>
        <v>169.39999999999998</v>
      </c>
      <c r="G22" s="27">
        <f t="shared" si="11"/>
        <v>8078</v>
      </c>
      <c r="H22" s="27">
        <f t="shared" si="11"/>
        <v>5041.1666666666615</v>
      </c>
      <c r="I22" s="27">
        <f t="shared" si="11"/>
        <v>3276</v>
      </c>
      <c r="J22" s="27">
        <f t="shared" si="11"/>
        <v>238</v>
      </c>
      <c r="K22" s="27">
        <f t="shared" si="11"/>
        <v>11466</v>
      </c>
      <c r="L22" s="27">
        <f t="shared" si="11"/>
        <v>3378</v>
      </c>
      <c r="M22" s="27">
        <f t="shared" si="11"/>
        <v>3255</v>
      </c>
      <c r="N22" s="27">
        <f t="shared" si="11"/>
        <v>16690</v>
      </c>
      <c r="O22" s="27">
        <f t="shared" si="11"/>
        <v>75846.566666666666</v>
      </c>
      <c r="P22" s="27">
        <f t="shared" si="11"/>
        <v>75846.566666666666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2">SUM(C24:N24)</f>
        <v>100</v>
      </c>
      <c r="P24" s="26">
        <f t="shared" ref="P24:P33" si="13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2"/>
        <v>4</v>
      </c>
      <c r="P25" s="26">
        <f t="shared" si="13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468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2"/>
        <v>9960.366666666665</v>
      </c>
      <c r="P26" s="26">
        <f t="shared" si="13"/>
        <v>9960.366666666665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468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2"/>
        <v>9960.366666666665</v>
      </c>
      <c r="P27" s="26">
        <f t="shared" si="13"/>
        <v>9960.366666666665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468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2"/>
        <v>9960.366666666665</v>
      </c>
      <c r="P28" s="26">
        <f t="shared" si="13"/>
        <v>9960.366666666665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468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2"/>
        <v>9960.366666666665</v>
      </c>
      <c r="P29" s="26">
        <f t="shared" si="13"/>
        <v>9960.366666666665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468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2"/>
        <v>9960.366666666665</v>
      </c>
      <c r="P30" s="26">
        <f t="shared" si="13"/>
        <v>9960.366666666665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468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2"/>
        <v>9960.366666666665</v>
      </c>
      <c r="P31" s="26">
        <f t="shared" si="13"/>
        <v>9960.366666666665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468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2"/>
        <v>9960.366666666665</v>
      </c>
      <c r="P32" s="26">
        <f t="shared" si="13"/>
        <v>9960.366666666665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2"/>
        <v>6001</v>
      </c>
      <c r="P33" s="26">
        <f t="shared" si="13"/>
        <v>6001</v>
      </c>
    </row>
    <row r="36" spans="2:16" x14ac:dyDescent="0.25">
      <c r="B36" s="24" t="str">
        <f>'plano de contas'!D7</f>
        <v>RECEITAS COM SERVIÇOS</v>
      </c>
      <c r="C36" s="27">
        <f t="shared" ref="C36:P36" si="14">SUM(C37:C47)</f>
        <v>23584</v>
      </c>
      <c r="D36" s="27">
        <f t="shared" si="14"/>
        <v>4040</v>
      </c>
      <c r="E36" s="27">
        <f t="shared" si="14"/>
        <v>0</v>
      </c>
      <c r="F36" s="27">
        <f t="shared" si="14"/>
        <v>193.59999999999997</v>
      </c>
      <c r="G36" s="27">
        <f t="shared" si="14"/>
        <v>9232</v>
      </c>
      <c r="H36" s="27">
        <f t="shared" si="14"/>
        <v>5761.3333333333276</v>
      </c>
      <c r="I36" s="27">
        <f t="shared" si="14"/>
        <v>3744</v>
      </c>
      <c r="J36" s="27">
        <f t="shared" si="14"/>
        <v>272</v>
      </c>
      <c r="K36" s="27">
        <f t="shared" si="14"/>
        <v>13104</v>
      </c>
      <c r="L36" s="27">
        <f t="shared" si="14"/>
        <v>3856</v>
      </c>
      <c r="M36" s="27">
        <f t="shared" si="14"/>
        <v>3729</v>
      </c>
      <c r="N36" s="27">
        <f t="shared" si="14"/>
        <v>14216</v>
      </c>
      <c r="O36" s="27">
        <f t="shared" si="14"/>
        <v>81731.933333333334</v>
      </c>
      <c r="P36" s="27">
        <f t="shared" si="14"/>
        <v>81731.933333333334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15">SUM(C38:N38)</f>
        <v>33</v>
      </c>
      <c r="P38" s="26">
        <f t="shared" ref="P38:P47" si="16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468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15"/>
        <v>9960.366666666665</v>
      </c>
      <c r="P39" s="26">
        <f t="shared" si="16"/>
        <v>9960.366666666665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468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15"/>
        <v>9960.366666666665</v>
      </c>
      <c r="P40" s="26">
        <f t="shared" si="16"/>
        <v>9960.366666666665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468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15"/>
        <v>9960.366666666665</v>
      </c>
      <c r="P41" s="26">
        <f t="shared" si="16"/>
        <v>9960.366666666665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468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15"/>
        <v>9960.366666666665</v>
      </c>
      <c r="P42" s="26">
        <f t="shared" si="16"/>
        <v>9960.366666666665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468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15"/>
        <v>9960.366666666665</v>
      </c>
      <c r="P43" s="26">
        <f t="shared" si="16"/>
        <v>9960.366666666665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468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15"/>
        <v>9960.366666666665</v>
      </c>
      <c r="P44" s="26">
        <f t="shared" si="16"/>
        <v>9960.366666666665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468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15"/>
        <v>9960.366666666665</v>
      </c>
      <c r="P45" s="26">
        <f t="shared" si="16"/>
        <v>9960.366666666665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468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15"/>
        <v>9960.366666666665</v>
      </c>
      <c r="P46" s="26">
        <f t="shared" si="16"/>
        <v>9960.366666666665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15"/>
        <v>0</v>
      </c>
      <c r="P47" s="26">
        <f t="shared" si="16"/>
        <v>0</v>
      </c>
    </row>
    <row r="49" spans="2:16" x14ac:dyDescent="0.25">
      <c r="B49" s="24" t="str">
        <f>'plano de contas'!F7</f>
        <v>DESPESAS COM PRODUTOS</v>
      </c>
      <c r="C49" s="27">
        <f t="shared" ref="C49:P49" si="17">SUM(C50:C60)</f>
        <v>24544</v>
      </c>
      <c r="D49" s="27">
        <f t="shared" si="17"/>
        <v>4056</v>
      </c>
      <c r="E49" s="27">
        <f t="shared" si="17"/>
        <v>0</v>
      </c>
      <c r="F49" s="27">
        <f t="shared" si="17"/>
        <v>194.59999999999997</v>
      </c>
      <c r="G49" s="27">
        <f t="shared" si="17"/>
        <v>9232</v>
      </c>
      <c r="H49" s="27">
        <f t="shared" si="17"/>
        <v>5778.1666666666606</v>
      </c>
      <c r="I49" s="27">
        <f t="shared" si="17"/>
        <v>3755</v>
      </c>
      <c r="J49" s="27">
        <f t="shared" si="17"/>
        <v>272</v>
      </c>
      <c r="K49" s="27">
        <f t="shared" si="17"/>
        <v>13115</v>
      </c>
      <c r="L49" s="27">
        <f t="shared" si="17"/>
        <v>3867</v>
      </c>
      <c r="M49" s="27">
        <f t="shared" si="17"/>
        <v>3731</v>
      </c>
      <c r="N49" s="27">
        <f t="shared" si="17"/>
        <v>12226</v>
      </c>
      <c r="O49" s="27">
        <f t="shared" si="17"/>
        <v>80770.766666666663</v>
      </c>
      <c r="P49" s="27">
        <f t="shared" si="17"/>
        <v>80770.766666666663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11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18">SUM(C51:N51)</f>
        <v>1082.8333333333333</v>
      </c>
      <c r="P51" s="26">
        <f t="shared" ref="P51:P60" si="19">SUM(C51:N51)</f>
        <v>1082.8333333333333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468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18"/>
        <v>9960.366666666665</v>
      </c>
      <c r="P52" s="26">
        <f t="shared" si="19"/>
        <v>9960.366666666665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468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18"/>
        <v>9960.366666666665</v>
      </c>
      <c r="P53" s="26">
        <f t="shared" si="19"/>
        <v>9960.366666666665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468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18"/>
        <v>9960.366666666665</v>
      </c>
      <c r="P54" s="26">
        <f t="shared" si="19"/>
        <v>9960.366666666665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468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18"/>
        <v>9960.366666666665</v>
      </c>
      <c r="P55" s="26">
        <f t="shared" si="19"/>
        <v>9960.366666666665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468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18"/>
        <v>9960.366666666665</v>
      </c>
      <c r="P56" s="26">
        <f t="shared" si="19"/>
        <v>9960.366666666665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468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18"/>
        <v>9960.366666666665</v>
      </c>
      <c r="P57" s="26">
        <f t="shared" si="19"/>
        <v>9960.366666666665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468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18"/>
        <v>9960.366666666665</v>
      </c>
      <c r="P58" s="26">
        <f t="shared" si="19"/>
        <v>9960.366666666665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468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18"/>
        <v>9960.366666666665</v>
      </c>
      <c r="P59" s="26">
        <f t="shared" si="19"/>
        <v>9960.366666666665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18"/>
        <v>0</v>
      </c>
      <c r="P60" s="26">
        <f t="shared" si="19"/>
        <v>0</v>
      </c>
    </row>
    <row r="62" spans="2:16" x14ac:dyDescent="0.25">
      <c r="B62" s="24" t="str">
        <f>'plano de contas'!H7</f>
        <v>DESPESAS COM MARKETING</v>
      </c>
      <c r="C62" s="27">
        <f t="shared" ref="C62:P62" si="20">SUM(C63:C73)</f>
        <v>23619</v>
      </c>
      <c r="D62" s="27">
        <f t="shared" si="20"/>
        <v>4067</v>
      </c>
      <c r="E62" s="27">
        <f t="shared" si="20"/>
        <v>0</v>
      </c>
      <c r="F62" s="27">
        <f t="shared" si="20"/>
        <v>195.59999999999997</v>
      </c>
      <c r="G62" s="27">
        <f t="shared" si="20"/>
        <v>9237</v>
      </c>
      <c r="H62" s="27">
        <f t="shared" si="20"/>
        <v>5766.3333333333276</v>
      </c>
      <c r="I62" s="27">
        <f t="shared" si="20"/>
        <v>3747</v>
      </c>
      <c r="J62" s="27">
        <f t="shared" si="20"/>
        <v>275</v>
      </c>
      <c r="K62" s="27">
        <f t="shared" si="20"/>
        <v>13107</v>
      </c>
      <c r="L62" s="27">
        <f t="shared" si="20"/>
        <v>3859</v>
      </c>
      <c r="M62" s="27">
        <f t="shared" si="20"/>
        <v>3723</v>
      </c>
      <c r="N62" s="27">
        <f t="shared" si="20"/>
        <v>12216</v>
      </c>
      <c r="O62" s="27">
        <f t="shared" si="20"/>
        <v>79811.933333333334</v>
      </c>
      <c r="P62" s="27">
        <f t="shared" si="20"/>
        <v>79811.933333333334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21">SUM(C64:N64)</f>
        <v>54</v>
      </c>
      <c r="P64" s="26">
        <f t="shared" ref="P64:P73" si="22">SUM(C64:N64)</f>
        <v>54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468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21"/>
        <v>9960.366666666665</v>
      </c>
      <c r="P65" s="26">
        <f t="shared" si="22"/>
        <v>9960.366666666665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468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21"/>
        <v>9960.366666666665</v>
      </c>
      <c r="P66" s="26">
        <f t="shared" si="22"/>
        <v>9960.366666666665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468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21"/>
        <v>9960.366666666665</v>
      </c>
      <c r="P67" s="26">
        <f t="shared" si="22"/>
        <v>9960.366666666665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468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21"/>
        <v>9960.366666666665</v>
      </c>
      <c r="P68" s="26">
        <f t="shared" si="22"/>
        <v>9960.366666666665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468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21"/>
        <v>9960.366666666665</v>
      </c>
      <c r="P69" s="26">
        <f t="shared" si="22"/>
        <v>9960.366666666665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468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21"/>
        <v>9960.366666666665</v>
      </c>
      <c r="P70" s="26">
        <f t="shared" si="22"/>
        <v>9960.366666666665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468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21"/>
        <v>9960.366666666665</v>
      </c>
      <c r="P71" s="26">
        <f t="shared" si="22"/>
        <v>9960.366666666665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468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21"/>
        <v>9960.366666666665</v>
      </c>
      <c r="P72" s="26">
        <f t="shared" si="22"/>
        <v>9960.366666666665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21"/>
        <v>0</v>
      </c>
      <c r="P73" s="26">
        <f t="shared" si="22"/>
        <v>0</v>
      </c>
    </row>
    <row r="75" spans="2:16" x14ac:dyDescent="0.25">
      <c r="B75" s="24" t="str">
        <f>'plano de contas'!J7</f>
        <v>DESPESAS COM RH</v>
      </c>
      <c r="C75" s="27">
        <f t="shared" ref="C75:P75" si="23">SUM(C76:C86)</f>
        <v>20609</v>
      </c>
      <c r="D75" s="27">
        <f t="shared" si="23"/>
        <v>3547</v>
      </c>
      <c r="E75" s="27">
        <f t="shared" si="23"/>
        <v>0</v>
      </c>
      <c r="F75" s="27">
        <f t="shared" si="23"/>
        <v>159.6</v>
      </c>
      <c r="G75" s="27">
        <f t="shared" si="23"/>
        <v>8093</v>
      </c>
      <c r="H75" s="27">
        <f t="shared" si="23"/>
        <v>5053.4999999999945</v>
      </c>
      <c r="I75" s="27">
        <f t="shared" si="23"/>
        <v>3384</v>
      </c>
      <c r="J75" s="27">
        <f t="shared" si="23"/>
        <v>246</v>
      </c>
      <c r="K75" s="27">
        <f t="shared" si="23"/>
        <v>11474</v>
      </c>
      <c r="L75" s="27">
        <f t="shared" si="23"/>
        <v>3382</v>
      </c>
      <c r="M75" s="27">
        <f t="shared" si="23"/>
        <v>3263</v>
      </c>
      <c r="N75" s="27">
        <f t="shared" si="23"/>
        <v>20696</v>
      </c>
      <c r="O75" s="27">
        <f t="shared" si="23"/>
        <v>79907.100000000006</v>
      </c>
      <c r="P75" s="27">
        <f t="shared" si="23"/>
        <v>79907.100000000006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24">SUM(C77:N77)</f>
        <v>0</v>
      </c>
      <c r="P77" s="26">
        <f t="shared" ref="P77:P86" si="25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24"/>
        <v>72.533333333333303</v>
      </c>
      <c r="P78" s="26">
        <f t="shared" si="25"/>
        <v>72.533333333333303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468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24"/>
        <v>9960.366666666665</v>
      </c>
      <c r="P79" s="26">
        <f t="shared" si="25"/>
        <v>9960.366666666665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468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24"/>
        <v>9960.366666666665</v>
      </c>
      <c r="P80" s="26">
        <f t="shared" si="25"/>
        <v>9960.366666666665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468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24"/>
        <v>9960.366666666665</v>
      </c>
      <c r="P81" s="26">
        <f t="shared" si="25"/>
        <v>9960.366666666665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468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24"/>
        <v>9960.366666666665</v>
      </c>
      <c r="P82" s="26">
        <f t="shared" si="25"/>
        <v>9960.366666666665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468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24"/>
        <v>9960.366666666665</v>
      </c>
      <c r="P83" s="26">
        <f t="shared" si="25"/>
        <v>9960.366666666665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468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24"/>
        <v>9960.366666666665</v>
      </c>
      <c r="P84" s="26">
        <f t="shared" si="25"/>
        <v>9960.366666666665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468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24"/>
        <v>9960.366666666665</v>
      </c>
      <c r="P85" s="26">
        <f t="shared" si="25"/>
        <v>9960.366666666665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100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24"/>
        <v>100</v>
      </c>
      <c r="P86" s="26">
        <f t="shared" si="25"/>
        <v>100</v>
      </c>
    </row>
    <row r="88" spans="2:16" x14ac:dyDescent="0.25">
      <c r="B88" s="24" t="str">
        <f>'plano de contas'!L7</f>
        <v>DESPESAS OPERACIONAIS</v>
      </c>
      <c r="C88" s="22">
        <f t="shared" ref="C88:P88" si="26">SUM(C89:C99)</f>
        <v>20601</v>
      </c>
      <c r="D88" s="22">
        <f t="shared" si="26"/>
        <v>3535</v>
      </c>
      <c r="E88" s="22">
        <f t="shared" si="26"/>
        <v>0</v>
      </c>
      <c r="F88" s="22">
        <f t="shared" si="26"/>
        <v>169.39999999999998</v>
      </c>
      <c r="G88" s="22">
        <f t="shared" si="26"/>
        <v>8078</v>
      </c>
      <c r="H88" s="22">
        <f t="shared" si="26"/>
        <v>5041.1666666666615</v>
      </c>
      <c r="I88" s="22">
        <f t="shared" si="26"/>
        <v>3276</v>
      </c>
      <c r="J88" s="22">
        <f t="shared" si="26"/>
        <v>238</v>
      </c>
      <c r="K88" s="22">
        <f t="shared" si="26"/>
        <v>11466</v>
      </c>
      <c r="L88" s="22">
        <f t="shared" si="26"/>
        <v>3374</v>
      </c>
      <c r="M88" s="22">
        <f t="shared" si="26"/>
        <v>3255</v>
      </c>
      <c r="N88" s="22">
        <f t="shared" si="26"/>
        <v>10697</v>
      </c>
      <c r="O88" s="22">
        <f t="shared" si="26"/>
        <v>69730.566666666666</v>
      </c>
      <c r="P88" s="22">
        <f t="shared" si="26"/>
        <v>69730.566666666666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27">SUM(C90:N90)</f>
        <v>0</v>
      </c>
      <c r="P90" s="23">
        <f t="shared" ref="P90:P99" si="28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27"/>
        <v>0</v>
      </c>
      <c r="P91" s="23">
        <f t="shared" si="28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468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27"/>
        <v>9960.366666666665</v>
      </c>
      <c r="P92" s="23">
        <f t="shared" si="28"/>
        <v>9960.366666666665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468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27"/>
        <v>9960.366666666665</v>
      </c>
      <c r="P93" s="23">
        <f t="shared" si="28"/>
        <v>9960.366666666665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468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27"/>
        <v>9960.366666666665</v>
      </c>
      <c r="P94" s="23">
        <f t="shared" si="28"/>
        <v>9960.366666666665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468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27"/>
        <v>9960.366666666665</v>
      </c>
      <c r="P95" s="23">
        <f t="shared" si="28"/>
        <v>9960.366666666665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468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27"/>
        <v>9960.366666666665</v>
      </c>
      <c r="P96" s="23">
        <f t="shared" si="28"/>
        <v>9960.366666666665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468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27"/>
        <v>9960.366666666665</v>
      </c>
      <c r="P97" s="23">
        <f t="shared" si="28"/>
        <v>9960.366666666665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468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27"/>
        <v>9960.366666666665</v>
      </c>
      <c r="P98" s="23">
        <f t="shared" si="28"/>
        <v>9960.366666666665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27"/>
        <v>0</v>
      </c>
      <c r="P99" s="23">
        <f t="shared" si="28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69" priority="92" operator="equal">
      <formula>"RECEITA"</formula>
    </cfRule>
    <cfRule type="cellIs" dxfId="68" priority="93" operator="equal">
      <formula>"DESPESA"</formula>
    </cfRule>
    <cfRule type="cellIs" dxfId="67" priority="94" operator="equal">
      <formula>"RECEITA"</formula>
    </cfRule>
    <cfRule type="cellIs" dxfId="66" priority="95" operator="equal">
      <formula>"DESPESA"</formula>
    </cfRule>
    <cfRule type="cellIs" dxfId="65" priority="96" operator="equal">
      <formula>"RECEITA"</formula>
    </cfRule>
    <cfRule type="cellIs" dxfId="64" priority="97" operator="equal">
      <formula>"DESPESA"</formula>
    </cfRule>
  </conditionalFormatting>
  <conditionalFormatting sqref="B11:B15">
    <cfRule type="cellIs" dxfId="63" priority="86" operator="equal">
      <formula>"RECEITA"</formula>
    </cfRule>
    <cfRule type="cellIs" dxfId="62" priority="87" operator="equal">
      <formula>"DESPESA"</formula>
    </cfRule>
    <cfRule type="cellIs" dxfId="61" priority="88" operator="equal">
      <formula>"RECEITA"</formula>
    </cfRule>
    <cfRule type="cellIs" dxfId="60" priority="89" operator="equal">
      <formula>"DESPESA"</formula>
    </cfRule>
    <cfRule type="cellIs" dxfId="59" priority="90" operator="equal">
      <formula>"RECEITA"</formula>
    </cfRule>
    <cfRule type="cellIs" dxfId="58" priority="91" operator="equal">
      <formula>"DESPESA"</formula>
    </cfRule>
  </conditionalFormatting>
  <conditionalFormatting sqref="C17:E18">
    <cfRule type="cellIs" dxfId="57" priority="84" operator="lessThan">
      <formula>0</formula>
    </cfRule>
    <cfRule type="cellIs" dxfId="56" priority="85" operator="greaterThan">
      <formula>0</formula>
    </cfRule>
  </conditionalFormatting>
  <conditionalFormatting sqref="C18:E18">
    <cfRule type="cellIs" dxfId="55" priority="82" operator="lessThan">
      <formula>0</formula>
    </cfRule>
    <cfRule type="cellIs" dxfId="54" priority="83" operator="greaterThan">
      <formula>0</formula>
    </cfRule>
  </conditionalFormatting>
  <conditionalFormatting sqref="B21">
    <cfRule type="cellIs" dxfId="53" priority="60" operator="equal">
      <formula>"RECEITA"</formula>
    </cfRule>
    <cfRule type="cellIs" dxfId="52" priority="61" operator="equal">
      <formula>"DESPESA"</formula>
    </cfRule>
    <cfRule type="cellIs" dxfId="51" priority="62" operator="equal">
      <formula>"RECEITA"</formula>
    </cfRule>
    <cfRule type="cellIs" dxfId="50" priority="63" operator="equal">
      <formula>"DESPESA"</formula>
    </cfRule>
    <cfRule type="cellIs" dxfId="49" priority="64" operator="equal">
      <formula>"RECEITA"</formula>
    </cfRule>
    <cfRule type="cellIs" dxfId="48" priority="65" operator="equal">
      <formula>"DESPESA"</formula>
    </cfRule>
  </conditionalFormatting>
  <conditionalFormatting sqref="B22:B33">
    <cfRule type="cellIs" dxfId="47" priority="54" operator="equal">
      <formula>"RECEITA"</formula>
    </cfRule>
    <cfRule type="cellIs" dxfId="46" priority="55" operator="equal">
      <formula>"DESPESA"</formula>
    </cfRule>
    <cfRule type="cellIs" dxfId="45" priority="56" operator="equal">
      <formula>"RECEITA"</formula>
    </cfRule>
    <cfRule type="cellIs" dxfId="44" priority="57" operator="equal">
      <formula>"DESPESA"</formula>
    </cfRule>
    <cfRule type="cellIs" dxfId="43" priority="58" operator="equal">
      <formula>"RECEITA"</formula>
    </cfRule>
    <cfRule type="cellIs" dxfId="42" priority="59" operator="equal">
      <formula>"DESPESA"</formula>
    </cfRule>
  </conditionalFormatting>
  <conditionalFormatting sqref="B36">
    <cfRule type="cellIs" dxfId="41" priority="48" operator="equal">
      <formula>"RECEITA"</formula>
    </cfRule>
    <cfRule type="cellIs" dxfId="40" priority="49" operator="equal">
      <formula>"DESPESA"</formula>
    </cfRule>
    <cfRule type="cellIs" dxfId="39" priority="50" operator="equal">
      <formula>"RECEITA"</formula>
    </cfRule>
    <cfRule type="cellIs" dxfId="38" priority="51" operator="equal">
      <formula>"DESPESA"</formula>
    </cfRule>
    <cfRule type="cellIs" dxfId="37" priority="52" operator="equal">
      <formula>"RECEITA"</formula>
    </cfRule>
    <cfRule type="cellIs" dxfId="36" priority="53" operator="equal">
      <formula>"DESPESA"</formula>
    </cfRule>
  </conditionalFormatting>
  <conditionalFormatting sqref="B37:B47">
    <cfRule type="cellIs" dxfId="35" priority="42" operator="equal">
      <formula>"RECEITA"</formula>
    </cfRule>
    <cfRule type="cellIs" dxfId="34" priority="43" operator="equal">
      <formula>"DESPESA"</formula>
    </cfRule>
    <cfRule type="cellIs" dxfId="33" priority="44" operator="equal">
      <formula>"RECEITA"</formula>
    </cfRule>
    <cfRule type="cellIs" dxfId="32" priority="45" operator="equal">
      <formula>"DESPESA"</formula>
    </cfRule>
    <cfRule type="cellIs" dxfId="31" priority="46" operator="equal">
      <formula>"RECEITA"</formula>
    </cfRule>
    <cfRule type="cellIs" dxfId="30" priority="47" operator="equal">
      <formula>"DESPESA"</formula>
    </cfRule>
  </conditionalFormatting>
  <conditionalFormatting sqref="B49:B60">
    <cfRule type="cellIs" dxfId="29" priority="36" operator="equal">
      <formula>"RECEITA"</formula>
    </cfRule>
    <cfRule type="cellIs" dxfId="28" priority="37" operator="equal">
      <formula>"DESPESA"</formula>
    </cfRule>
    <cfRule type="cellIs" dxfId="27" priority="38" operator="equal">
      <formula>"RECEITA"</formula>
    </cfRule>
    <cfRule type="cellIs" dxfId="26" priority="39" operator="equal">
      <formula>"DESPESA"</formula>
    </cfRule>
    <cfRule type="cellIs" dxfId="25" priority="40" operator="equal">
      <formula>"RECEITA"</formula>
    </cfRule>
    <cfRule type="cellIs" dxfId="24" priority="41" operator="equal">
      <formula>"DESPESA"</formula>
    </cfRule>
  </conditionalFormatting>
  <conditionalFormatting sqref="B88:B99">
    <cfRule type="cellIs" dxfId="23" priority="12" operator="equal">
      <formula>"RECEITA"</formula>
    </cfRule>
    <cfRule type="cellIs" dxfId="22" priority="13" operator="equal">
      <formula>"DESPESA"</formula>
    </cfRule>
    <cfRule type="cellIs" dxfId="21" priority="14" operator="equal">
      <formula>"RECEITA"</formula>
    </cfRule>
    <cfRule type="cellIs" dxfId="20" priority="15" operator="equal">
      <formula>"DESPESA"</formula>
    </cfRule>
    <cfRule type="cellIs" dxfId="19" priority="16" operator="equal">
      <formula>"RECEITA"</formula>
    </cfRule>
    <cfRule type="cellIs" dxfId="18" priority="17" operator="equal">
      <formula>"DESPESA"</formula>
    </cfRule>
  </conditionalFormatting>
  <conditionalFormatting sqref="B62:B73">
    <cfRule type="cellIs" dxfId="17" priority="24" operator="equal">
      <formula>"RECEITA"</formula>
    </cfRule>
    <cfRule type="cellIs" dxfId="16" priority="25" operator="equal">
      <formula>"DESPESA"</formula>
    </cfRule>
    <cfRule type="cellIs" dxfId="15" priority="26" operator="equal">
      <formula>"RECEITA"</formula>
    </cfRule>
    <cfRule type="cellIs" dxfId="14" priority="27" operator="equal">
      <formula>"DESPESA"</formula>
    </cfRule>
    <cfRule type="cellIs" dxfId="13" priority="28" operator="equal">
      <formula>"RECEITA"</formula>
    </cfRule>
    <cfRule type="cellIs" dxfId="12" priority="29" operator="equal">
      <formula>"DESPESA"</formula>
    </cfRule>
  </conditionalFormatting>
  <conditionalFormatting sqref="B75:B86">
    <cfRule type="cellIs" dxfId="11" priority="18" operator="equal">
      <formula>"RECEITA"</formula>
    </cfRule>
    <cfRule type="cellIs" dxfId="10" priority="19" operator="equal">
      <formula>"DESPESA"</formula>
    </cfRule>
    <cfRule type="cellIs" dxfId="9" priority="20" operator="equal">
      <formula>"RECEITA"</formula>
    </cfRule>
    <cfRule type="cellIs" dxfId="8" priority="21" operator="equal">
      <formula>"DESPESA"</formula>
    </cfRule>
    <cfRule type="cellIs" dxfId="7" priority="22" operator="equal">
      <formula>"RECEITA"</formula>
    </cfRule>
    <cfRule type="cellIs" dxfId="6" priority="23" operator="equal">
      <formula>"DESPESA"</formula>
    </cfRule>
  </conditionalFormatting>
  <conditionalFormatting sqref="C17:E18">
    <cfRule type="cellIs" dxfId="5" priority="11" operator="equal">
      <formula>0</formula>
    </cfRule>
  </conditionalFormatting>
  <conditionalFormatting sqref="F17:P18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F17:P18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F17:P18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/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60" customFormat="1" ht="31.5" customHeight="1" x14ac:dyDescent="0.25">
      <c r="H1" s="61"/>
    </row>
    <row r="2" spans="2:19" s="60" customFormat="1" ht="36" customHeight="1" x14ac:dyDescent="0.25">
      <c r="H2" s="61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96" t="s">
        <v>101</v>
      </c>
      <c r="S5" s="96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7" t="str">
        <f>JANEIRO!G7</f>
        <v>CALEMBA 2</v>
      </c>
      <c r="G6" s="68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7">
        <f>JANEIRO!G8</f>
        <v>0</v>
      </c>
      <c r="G7" s="68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7" t="str">
        <f>JANEIRO!G9</f>
        <v>CALEMBA 2</v>
      </c>
      <c r="G8" s="68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7">
        <f>JANEIRO!G10</f>
        <v>0</v>
      </c>
      <c r="G9" s="68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7">
        <f>JANEIRO!G11</f>
        <v>0</v>
      </c>
      <c r="G10" s="68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7" t="str">
        <f>JANEIRO!G12</f>
        <v>BENFICA</v>
      </c>
      <c r="G11" s="68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7">
        <f>JANEIRO!G13</f>
        <v>0</v>
      </c>
      <c r="G12" s="68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7">
        <f>JANEIRO!G14</f>
        <v>0</v>
      </c>
      <c r="G13" s="68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7">
        <f>JANEIRO!G15</f>
        <v>0</v>
      </c>
      <c r="G14" s="68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ht="30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7" t="str">
        <f>JANEIRO!G16</f>
        <v>CACUACO</v>
      </c>
      <c r="G15" s="68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7" t="str">
        <f>JANEIRO!G17</f>
        <v>CACUACO</v>
      </c>
      <c r="G16" s="68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ht="30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7" t="str">
        <f>JANEIRO!G18</f>
        <v>CACUACO</v>
      </c>
      <c r="G17" s="68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7">
        <f>JANEIRO!G19</f>
        <v>0</v>
      </c>
      <c r="G18" s="68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7" t="str">
        <f>JANEIRO!G20</f>
        <v>VILA ALICE</v>
      </c>
      <c r="G19" s="68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7">
        <f>JANEIRO!G21</f>
        <v>0</v>
      </c>
      <c r="G20" s="68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7">
        <f>JANEIRO!G22</f>
        <v>0</v>
      </c>
      <c r="G21" s="68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7">
        <f>JANEIRO!G23</f>
        <v>0</v>
      </c>
      <c r="G22" s="68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7">
        <f>JANEIRO!G24</f>
        <v>0</v>
      </c>
      <c r="G23" s="68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7">
        <f>JANEIRO!G25</f>
        <v>0</v>
      </c>
      <c r="G24" s="68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7">
        <f>JANEIRO!G26</f>
        <v>0</v>
      </c>
      <c r="G25" s="68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7">
        <f>JANEIRO!G27</f>
        <v>0</v>
      </c>
      <c r="G26" s="68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7">
        <f>JANEIRO!G28</f>
        <v>0</v>
      </c>
      <c r="G27" s="68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7">
        <f>JANEIRO!G29</f>
        <v>0</v>
      </c>
      <c r="G28" s="68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7">
        <f>JANEIRO!G30</f>
        <v>0</v>
      </c>
      <c r="G29" s="68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7">
        <f>JANEIRO!G31</f>
        <v>0</v>
      </c>
      <c r="G30" s="68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7">
        <f>JANEIRO!G32</f>
        <v>0</v>
      </c>
      <c r="G31" s="68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7">
        <f>JANEIRO!G33</f>
        <v>0</v>
      </c>
      <c r="G32" s="68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7">
        <f>JANEIRO!G34</f>
        <v>0</v>
      </c>
      <c r="G33" s="68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7">
        <f>JANEIRO!G35</f>
        <v>0</v>
      </c>
      <c r="G34" s="68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7">
        <f>JANEIRO!G36</f>
        <v>0</v>
      </c>
      <c r="G35" s="68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7">
        <f>JANEIRO!G37</f>
        <v>0</v>
      </c>
      <c r="G36" s="68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7">
        <f>JANEIRO!G38</f>
        <v>0</v>
      </c>
      <c r="G37" s="68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7">
        <f>JANEIRO!G39</f>
        <v>0</v>
      </c>
      <c r="G38" s="68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7">
        <f>JANEIRO!G40</f>
        <v>0</v>
      </c>
      <c r="G39" s="68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7">
        <f>JANEIRO!G41</f>
        <v>0</v>
      </c>
      <c r="G40" s="68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7">
        <f>JANEIRO!G42</f>
        <v>0</v>
      </c>
      <c r="G41" s="68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7">
        <f>JANEIRO!G43</f>
        <v>0</v>
      </c>
      <c r="G42" s="68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7">
        <f>JANEIRO!G44</f>
        <v>0</v>
      </c>
      <c r="G43" s="68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7">
        <f>JANEIRO!G45</f>
        <v>0</v>
      </c>
      <c r="G44" s="68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7">
        <f>JANEIRO!G46</f>
        <v>0</v>
      </c>
      <c r="G45" s="68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7">
        <f>JANEIRO!G47</f>
        <v>0</v>
      </c>
      <c r="G46" s="68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7">
        <f>JANEIRO!G48</f>
        <v>0</v>
      </c>
      <c r="G47" s="68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7">
        <f>JANEIRO!G49</f>
        <v>0</v>
      </c>
      <c r="G48" s="68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7">
        <f>JANEIRO!G50</f>
        <v>0</v>
      </c>
      <c r="G49" s="68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7">
        <f>JANEIRO!G51</f>
        <v>0</v>
      </c>
      <c r="G50" s="68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7">
        <f>JANEIRO!G52</f>
        <v>0</v>
      </c>
      <c r="G51" s="68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7">
        <f>JANEIRO!G53</f>
        <v>0</v>
      </c>
      <c r="G52" s="68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7">
        <f>JANEIRO!G54</f>
        <v>0</v>
      </c>
      <c r="G53" s="68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7">
        <f>JANEIRO!G55</f>
        <v>0</v>
      </c>
      <c r="G54" s="68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7">
        <f>JANEIRO!G56</f>
        <v>0</v>
      </c>
      <c r="G55" s="68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7">
        <f>JANEIRO!G57</f>
        <v>0</v>
      </c>
      <c r="G56" s="68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7">
        <f>JANEIRO!G58</f>
        <v>0</v>
      </c>
      <c r="G57" s="68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7">
        <f>JANEIRO!G59</f>
        <v>0</v>
      </c>
      <c r="G58" s="68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7">
        <f>JANEIRO!G60</f>
        <v>0</v>
      </c>
      <c r="G59" s="68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7">
        <f>JANEIRO!G61</f>
        <v>0</v>
      </c>
      <c r="G60" s="68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7">
        <f>JANEIRO!G62</f>
        <v>0</v>
      </c>
      <c r="G61" s="68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7">
        <f>JANEIRO!G63</f>
        <v>0</v>
      </c>
      <c r="G62" s="68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7">
        <f>JANEIRO!G64</f>
        <v>0</v>
      </c>
      <c r="G63" s="68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7">
        <f>JANEIRO!G65</f>
        <v>0</v>
      </c>
      <c r="G64" s="68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7">
        <f>JANEIRO!G66</f>
        <v>0</v>
      </c>
      <c r="G65" s="68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7">
        <f>JANEIRO!G67</f>
        <v>0</v>
      </c>
      <c r="G66" s="68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7">
        <f>JANEIRO!G68</f>
        <v>0</v>
      </c>
      <c r="G67" s="68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7">
        <f>JANEIRO!G69</f>
        <v>0</v>
      </c>
      <c r="G68" s="68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7">
        <f>JANEIRO!G70</f>
        <v>0</v>
      </c>
      <c r="G69" s="68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7">
        <f>JANEIRO!G71</f>
        <v>0</v>
      </c>
      <c r="G70" s="68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7">
        <f>JANEIRO!G72</f>
        <v>0</v>
      </c>
      <c r="G71" s="68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7">
        <f>JANEIRO!G73</f>
        <v>0</v>
      </c>
      <c r="G72" s="68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7">
        <f>JANEIRO!G74</f>
        <v>0</v>
      </c>
      <c r="G73" s="68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7">
        <f>JANEIRO!G75</f>
        <v>0</v>
      </c>
      <c r="G74" s="68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7">
        <f>JANEIRO!G76</f>
        <v>0</v>
      </c>
      <c r="G75" s="68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7">
        <f>JANEIRO!G77</f>
        <v>0</v>
      </c>
      <c r="G76" s="68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7">
        <f>JANEIRO!G78</f>
        <v>0</v>
      </c>
      <c r="G77" s="68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7">
        <f>JANEIRO!G79</f>
        <v>0</v>
      </c>
      <c r="G78" s="68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7" t="str">
        <f>JANEIRO!G80</f>
        <v>BENFICA</v>
      </c>
      <c r="G79" s="68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7">
        <f>JANEIRO!G81</f>
        <v>0</v>
      </c>
      <c r="G80" s="68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7">
        <f>JANEIRO!G82</f>
        <v>0</v>
      </c>
      <c r="G81" s="68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7">
        <f>JANEIRO!G83</f>
        <v>0</v>
      </c>
      <c r="G82" s="68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7" t="str">
        <f>JANEIRO!G84</f>
        <v>CALEMBA 2</v>
      </c>
      <c r="G83" s="68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7">
        <f>FEVEREIRO!G7</f>
        <v>0</v>
      </c>
      <c r="G84" s="68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7">
        <f>FEVEREIRO!G8</f>
        <v>0</v>
      </c>
      <c r="G85" s="68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7">
        <f>FEVEREIRO!G9</f>
        <v>0</v>
      </c>
      <c r="G86" s="68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7">
        <f>FEVEREIRO!G10</f>
        <v>0</v>
      </c>
      <c r="G87" s="68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7">
        <f>FEVEREIRO!G11</f>
        <v>0</v>
      </c>
      <c r="G88" s="68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7" t="str">
        <f>FEVEREIRO!G12</f>
        <v>BENFICA</v>
      </c>
      <c r="G89" s="68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7">
        <f>FEVEREIRO!G13</f>
        <v>0</v>
      </c>
      <c r="G90" s="68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7">
        <f>FEVEREIRO!G14</f>
        <v>0</v>
      </c>
      <c r="G91" s="68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7">
        <f>FEVEREIRO!G15</f>
        <v>0</v>
      </c>
      <c r="G92" s="68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7">
        <f>FEVEREIRO!G16</f>
        <v>0</v>
      </c>
      <c r="G93" s="68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7">
        <f>FEVEREIRO!G17</f>
        <v>0</v>
      </c>
      <c r="G94" s="68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7" t="str">
        <f>FEVEREIRO!G18</f>
        <v>CALEMBA 2</v>
      </c>
      <c r="G95" s="68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7">
        <f>FEVEREIRO!G19</f>
        <v>0</v>
      </c>
      <c r="G96" s="68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7">
        <f>FEVEREIRO!G20</f>
        <v>0</v>
      </c>
      <c r="G97" s="68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7">
        <f>FEVEREIRO!G21</f>
        <v>0</v>
      </c>
      <c r="G98" s="68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7">
        <f>FEVEREIRO!G22</f>
        <v>0</v>
      </c>
      <c r="G99" s="68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7">
        <f>FEVEREIRO!G23</f>
        <v>0</v>
      </c>
      <c r="G100" s="68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7">
        <f>FEVEREIRO!G24</f>
        <v>0</v>
      </c>
      <c r="G101" s="68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7">
        <f>FEVEREIRO!G25</f>
        <v>0</v>
      </c>
      <c r="G102" s="68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7">
        <f>FEVEREIRO!G26</f>
        <v>0</v>
      </c>
      <c r="G103" s="68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7">
        <f>FEVEREIRO!G27</f>
        <v>0</v>
      </c>
      <c r="G104" s="68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7">
        <f>FEVEREIRO!G28</f>
        <v>0</v>
      </c>
      <c r="G105" s="68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7">
        <f>FEVEREIRO!G29</f>
        <v>0</v>
      </c>
      <c r="G106" s="68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7">
        <f>FEVEREIRO!G30</f>
        <v>0</v>
      </c>
      <c r="G107" s="68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7">
        <f>FEVEREIRO!G31</f>
        <v>0</v>
      </c>
      <c r="G108" s="68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7">
        <f>FEVEREIRO!G32</f>
        <v>0</v>
      </c>
      <c r="G109" s="68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7">
        <f>FEVEREIRO!G33</f>
        <v>0</v>
      </c>
      <c r="G110" s="68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7">
        <f>FEVEREIRO!G34</f>
        <v>0</v>
      </c>
      <c r="G111" s="68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7">
        <f>FEVEREIRO!G35</f>
        <v>0</v>
      </c>
      <c r="G112" s="68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7">
        <f>FEVEREIRO!G36</f>
        <v>0</v>
      </c>
      <c r="G113" s="68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7">
        <f>FEVEREIRO!G37</f>
        <v>0</v>
      </c>
      <c r="G114" s="68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7">
        <f>FEVEREIRO!G38</f>
        <v>0</v>
      </c>
      <c r="G115" s="68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7">
        <f>FEVEREIRO!G39</f>
        <v>0</v>
      </c>
      <c r="G116" s="68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7">
        <f>FEVEREIRO!G40</f>
        <v>0</v>
      </c>
      <c r="G117" s="68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7">
        <f>FEVEREIRO!G41</f>
        <v>0</v>
      </c>
      <c r="G118" s="68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7">
        <f>FEVEREIRO!G42</f>
        <v>0</v>
      </c>
      <c r="G119" s="68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7">
        <f>FEVEREIRO!G43</f>
        <v>0</v>
      </c>
      <c r="G120" s="68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7">
        <f>FEVEREIRO!G44</f>
        <v>0</v>
      </c>
      <c r="G121" s="68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7">
        <f>FEVEREIRO!G45</f>
        <v>0</v>
      </c>
      <c r="G122" s="68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7">
        <f>FEVEREIRO!G46</f>
        <v>0</v>
      </c>
      <c r="G123" s="68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7">
        <f>FEVEREIRO!G47</f>
        <v>0</v>
      </c>
      <c r="G124" s="68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7">
        <f>FEVEREIRO!G48</f>
        <v>0</v>
      </c>
      <c r="G125" s="68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7">
        <f>FEVEREIRO!G49</f>
        <v>0</v>
      </c>
      <c r="G126" s="68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7">
        <f>FEVEREIRO!G50</f>
        <v>0</v>
      </c>
      <c r="G127" s="68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7">
        <f>FEVEREIRO!G51</f>
        <v>0</v>
      </c>
      <c r="G128" s="68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7">
        <f>FEVEREIRO!G52</f>
        <v>0</v>
      </c>
      <c r="G129" s="68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7">
        <f>FEVEREIRO!G53</f>
        <v>0</v>
      </c>
      <c r="G130" s="68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7">
        <f>FEVEREIRO!G54</f>
        <v>0</v>
      </c>
      <c r="G131" s="68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7">
        <f>FEVEREIRO!G55</f>
        <v>0</v>
      </c>
      <c r="G132" s="68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7">
        <f>FEVEREIRO!G56</f>
        <v>0</v>
      </c>
      <c r="G133" s="68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7">
        <f>FEVEREIRO!G57</f>
        <v>0</v>
      </c>
      <c r="G134" s="68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7">
        <f>FEVEREIRO!G58</f>
        <v>0</v>
      </c>
      <c r="G135" s="68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7">
        <f>FEVEREIRO!G59</f>
        <v>0</v>
      </c>
      <c r="G136" s="68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7">
        <f>FEVEREIRO!G60</f>
        <v>0</v>
      </c>
      <c r="G137" s="68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7">
        <f>FEVEREIRO!G61</f>
        <v>0</v>
      </c>
      <c r="G138" s="68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7">
        <f>FEVEREIRO!G62</f>
        <v>0</v>
      </c>
      <c r="G139" s="68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7">
        <f>FEVEREIRO!G63</f>
        <v>0</v>
      </c>
      <c r="G140" s="68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7">
        <f>FEVEREIRO!G64</f>
        <v>0</v>
      </c>
      <c r="G141" s="68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7">
        <f>FEVEREIRO!G65</f>
        <v>0</v>
      </c>
      <c r="G142" s="68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7">
        <f>FEVEREIRO!G66</f>
        <v>0</v>
      </c>
      <c r="G143" s="68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7">
        <f>FEVEREIRO!G67</f>
        <v>0</v>
      </c>
      <c r="G144" s="68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7">
        <f>FEVEREIRO!G68</f>
        <v>0</v>
      </c>
      <c r="G145" s="68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7">
        <f>FEVEREIRO!G69</f>
        <v>0</v>
      </c>
      <c r="G146" s="68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7">
        <f>FEVEREIRO!G70</f>
        <v>0</v>
      </c>
      <c r="G147" s="68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7">
        <f>FEVEREIRO!G71</f>
        <v>0</v>
      </c>
      <c r="G148" s="68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7">
        <f>FEVEREIRO!G72</f>
        <v>0</v>
      </c>
      <c r="G149" s="68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7">
        <f>FEVEREIRO!G73</f>
        <v>0</v>
      </c>
      <c r="G150" s="68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7">
        <f>FEVEREIRO!G74</f>
        <v>0</v>
      </c>
      <c r="G151" s="68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7">
        <f>FEVEREIRO!G75</f>
        <v>0</v>
      </c>
      <c r="G152" s="68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7">
        <f>FEVEREIRO!G76</f>
        <v>0</v>
      </c>
      <c r="G153" s="68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7">
        <f>FEVEREIRO!G77</f>
        <v>0</v>
      </c>
      <c r="G154" s="68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7">
        <f>FEVEREIRO!G78</f>
        <v>0</v>
      </c>
      <c r="G155" s="68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7">
        <f>FEVEREIRO!G79</f>
        <v>0</v>
      </c>
      <c r="G156" s="68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7" t="str">
        <f>FEVEREIRO!G80</f>
        <v>BENFICA</v>
      </c>
      <c r="G157" s="68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7">
        <f>FEVEREIRO!G81</f>
        <v>0</v>
      </c>
      <c r="G158" s="68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7">
        <f>FEVEREIRO!G82</f>
        <v>0</v>
      </c>
      <c r="G159" s="68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7">
        <f>FEVEREIRO!G83</f>
        <v>0</v>
      </c>
      <c r="G160" s="68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7">
        <f>FEVEREIRO!G84</f>
        <v>0</v>
      </c>
      <c r="G161" s="68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7">
        <f>MARÇO!G7</f>
        <v>0</v>
      </c>
      <c r="G162" s="68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7">
        <f>MARÇO!G8</f>
        <v>0</v>
      </c>
      <c r="G163" s="68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7">
        <f>MARÇO!G9</f>
        <v>0</v>
      </c>
      <c r="G164" s="68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7">
        <f>MARÇO!G10</f>
        <v>0</v>
      </c>
      <c r="G165" s="68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7">
        <f>MARÇO!G11</f>
        <v>0</v>
      </c>
      <c r="G166" s="68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7" t="str">
        <f>MARÇO!G12</f>
        <v>BENFICA</v>
      </c>
      <c r="G167" s="68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7">
        <f>MARÇO!G13</f>
        <v>0</v>
      </c>
      <c r="G168" s="68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7">
        <f>MARÇO!G14</f>
        <v>0</v>
      </c>
      <c r="G169" s="68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7">
        <f>MARÇO!G15</f>
        <v>0</v>
      </c>
      <c r="G170" s="68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7">
        <f>MARÇO!G16</f>
        <v>0</v>
      </c>
      <c r="G171" s="68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7">
        <f>MARÇO!G17</f>
        <v>0</v>
      </c>
      <c r="G172" s="68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7" t="str">
        <f>MARÇO!G18</f>
        <v>CALEMBA 2</v>
      </c>
      <c r="G173" s="68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7">
        <f>MARÇO!G19</f>
        <v>0</v>
      </c>
      <c r="G174" s="68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7">
        <f>MARÇO!G20</f>
        <v>0</v>
      </c>
      <c r="G175" s="68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7">
        <f>MARÇO!G21</f>
        <v>0</v>
      </c>
      <c r="G176" s="68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7">
        <f>MARÇO!G22</f>
        <v>0</v>
      </c>
      <c r="G177" s="68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7">
        <f>MARÇO!G23</f>
        <v>0</v>
      </c>
      <c r="G178" s="68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7">
        <f>MARÇO!G24</f>
        <v>0</v>
      </c>
      <c r="G179" s="68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7">
        <f>MARÇO!G25</f>
        <v>0</v>
      </c>
      <c r="G180" s="68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7">
        <f>MARÇO!G26</f>
        <v>0</v>
      </c>
      <c r="G181" s="68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7">
        <f>MARÇO!G27</f>
        <v>0</v>
      </c>
      <c r="G182" s="68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7">
        <f>MARÇO!G28</f>
        <v>0</v>
      </c>
      <c r="G183" s="68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7">
        <f>MARÇO!G29</f>
        <v>0</v>
      </c>
      <c r="G184" s="68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7">
        <f>MARÇO!G30</f>
        <v>0</v>
      </c>
      <c r="G185" s="68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7">
        <f>MARÇO!G31</f>
        <v>0</v>
      </c>
      <c r="G186" s="68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7">
        <f>MARÇO!G32</f>
        <v>0</v>
      </c>
      <c r="G187" s="68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7">
        <f>MARÇO!G33</f>
        <v>0</v>
      </c>
      <c r="G188" s="68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7">
        <f>MARÇO!G34</f>
        <v>0</v>
      </c>
      <c r="G189" s="68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7">
        <f>MARÇO!G35</f>
        <v>0</v>
      </c>
      <c r="G190" s="68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7">
        <f>MARÇO!G36</f>
        <v>0</v>
      </c>
      <c r="G191" s="68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7">
        <f>MARÇO!G37</f>
        <v>0</v>
      </c>
      <c r="G192" s="68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7">
        <f>MARÇO!G38</f>
        <v>0</v>
      </c>
      <c r="G193" s="68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7">
        <f>MARÇO!G39</f>
        <v>0</v>
      </c>
      <c r="G194" s="68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7">
        <f>MARÇO!G40</f>
        <v>0</v>
      </c>
      <c r="G195" s="68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7">
        <f>MARÇO!G41</f>
        <v>0</v>
      </c>
      <c r="G196" s="68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7">
        <f>MARÇO!G42</f>
        <v>0</v>
      </c>
      <c r="G197" s="68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7">
        <f>MARÇO!G43</f>
        <v>0</v>
      </c>
      <c r="G198" s="68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7">
        <f>MARÇO!G44</f>
        <v>0</v>
      </c>
      <c r="G199" s="68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7">
        <f>MARÇO!G45</f>
        <v>0</v>
      </c>
      <c r="G200" s="68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7">
        <f>MARÇO!G46</f>
        <v>0</v>
      </c>
      <c r="G201" s="68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7">
        <f>MARÇO!G47</f>
        <v>0</v>
      </c>
      <c r="G202" s="68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7">
        <f>MARÇO!G48</f>
        <v>0</v>
      </c>
      <c r="G203" s="68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7">
        <f>MARÇO!G49</f>
        <v>0</v>
      </c>
      <c r="G204" s="68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7">
        <f>MARÇO!G50</f>
        <v>0</v>
      </c>
      <c r="G205" s="68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7">
        <f>MARÇO!G51</f>
        <v>0</v>
      </c>
      <c r="G206" s="68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7">
        <f>MARÇO!G52</f>
        <v>0</v>
      </c>
      <c r="G207" s="68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7">
        <f>MARÇO!G53</f>
        <v>0</v>
      </c>
      <c r="G208" s="68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7">
        <f>MARÇO!G54</f>
        <v>0</v>
      </c>
      <c r="G209" s="68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7">
        <f>MARÇO!G55</f>
        <v>0</v>
      </c>
      <c r="G210" s="68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7">
        <f>MARÇO!G56</f>
        <v>0</v>
      </c>
      <c r="G211" s="68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7">
        <f>MARÇO!G57</f>
        <v>0</v>
      </c>
      <c r="G212" s="68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7">
        <f>MARÇO!G58</f>
        <v>0</v>
      </c>
      <c r="G213" s="68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7">
        <f>MARÇO!G59</f>
        <v>0</v>
      </c>
      <c r="G214" s="68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7">
        <f>MARÇO!G60</f>
        <v>0</v>
      </c>
      <c r="G215" s="68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7">
        <f>MARÇO!G61</f>
        <v>0</v>
      </c>
      <c r="G216" s="68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7">
        <f>MARÇO!G62</f>
        <v>0</v>
      </c>
      <c r="G217" s="68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7">
        <f>MARÇO!G63</f>
        <v>0</v>
      </c>
      <c r="G218" s="68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7">
        <f>MARÇO!G64</f>
        <v>0</v>
      </c>
      <c r="G219" s="68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7">
        <f>MARÇO!G65</f>
        <v>0</v>
      </c>
      <c r="G220" s="68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7">
        <f>MARÇO!G66</f>
        <v>0</v>
      </c>
      <c r="G221" s="68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7">
        <f>MARÇO!G67</f>
        <v>0</v>
      </c>
      <c r="G222" s="68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7">
        <f>MARÇO!G68</f>
        <v>0</v>
      </c>
      <c r="G223" s="68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7">
        <f>MARÇO!G69</f>
        <v>0</v>
      </c>
      <c r="G224" s="68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7">
        <f>MARÇO!G70</f>
        <v>0</v>
      </c>
      <c r="G225" s="68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7">
        <f>MARÇO!G71</f>
        <v>0</v>
      </c>
      <c r="G226" s="68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7">
        <f>MARÇO!G72</f>
        <v>0</v>
      </c>
      <c r="G227" s="68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7">
        <f>MARÇO!G73</f>
        <v>0</v>
      </c>
      <c r="G228" s="68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7">
        <f>MARÇO!G74</f>
        <v>0</v>
      </c>
      <c r="G229" s="68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7">
        <f>MARÇO!G75</f>
        <v>0</v>
      </c>
      <c r="G230" s="68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7">
        <f>MARÇO!G76</f>
        <v>0</v>
      </c>
      <c r="G231" s="68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7">
        <f>MARÇO!G77</f>
        <v>0</v>
      </c>
      <c r="G232" s="68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7">
        <f>MARÇO!G78</f>
        <v>0</v>
      </c>
      <c r="G233" s="68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7">
        <f>MARÇO!G79</f>
        <v>0</v>
      </c>
      <c r="G234" s="68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7" t="str">
        <f>MARÇO!G80</f>
        <v>BENFICA</v>
      </c>
      <c r="G235" s="68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7">
        <f>MARÇO!G81</f>
        <v>0</v>
      </c>
      <c r="G236" s="68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7">
        <f>MARÇO!G82</f>
        <v>0</v>
      </c>
      <c r="G237" s="68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7">
        <f>MARÇO!G83</f>
        <v>0</v>
      </c>
      <c r="G238" s="68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7">
        <f>MARÇO!G84</f>
        <v>0</v>
      </c>
      <c r="G239" s="68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7">
        <f>ABRIL!G7</f>
        <v>0</v>
      </c>
      <c r="G240" s="68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7">
        <f>ABRIL!G8</f>
        <v>0</v>
      </c>
      <c r="G241" s="68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7">
        <f>ABRIL!G9</f>
        <v>0</v>
      </c>
      <c r="G242" s="68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7">
        <f>ABRIL!G10</f>
        <v>0</v>
      </c>
      <c r="G243" s="68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7">
        <f>ABRIL!G11</f>
        <v>0</v>
      </c>
      <c r="G244" s="68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7" t="str">
        <f>ABRIL!G12</f>
        <v>BENFICA</v>
      </c>
      <c r="G245" s="68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7">
        <f>ABRIL!G13</f>
        <v>0</v>
      </c>
      <c r="G246" s="68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7">
        <f>ABRIL!G14</f>
        <v>0</v>
      </c>
      <c r="G247" s="68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7">
        <f>ABRIL!G15</f>
        <v>0</v>
      </c>
      <c r="G248" s="68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7">
        <f>ABRIL!G16</f>
        <v>0</v>
      </c>
      <c r="G249" s="68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7">
        <f>ABRIL!G17</f>
        <v>0</v>
      </c>
      <c r="G250" s="68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7" t="str">
        <f>ABRIL!G18</f>
        <v>CALEMBA 2</v>
      </c>
      <c r="G251" s="68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7">
        <f>ABRIL!G19</f>
        <v>0</v>
      </c>
      <c r="G252" s="68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7">
        <f>ABRIL!G20</f>
        <v>0</v>
      </c>
      <c r="G253" s="68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7">
        <f>ABRIL!G21</f>
        <v>0</v>
      </c>
      <c r="G254" s="68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7">
        <f>ABRIL!G22</f>
        <v>0</v>
      </c>
      <c r="G255" s="68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7">
        <f>ABRIL!G23</f>
        <v>0</v>
      </c>
      <c r="G256" s="68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7">
        <f>ABRIL!G24</f>
        <v>0</v>
      </c>
      <c r="G257" s="68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7">
        <f>ABRIL!G25</f>
        <v>0</v>
      </c>
      <c r="G258" s="68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7">
        <f>ABRIL!G26</f>
        <v>0</v>
      </c>
      <c r="G259" s="68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7">
        <f>ABRIL!G27</f>
        <v>0</v>
      </c>
      <c r="G260" s="68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7">
        <f>ABRIL!G28</f>
        <v>0</v>
      </c>
      <c r="G261" s="68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7">
        <f>ABRIL!G29</f>
        <v>0</v>
      </c>
      <c r="G262" s="68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7">
        <f>ABRIL!G30</f>
        <v>0</v>
      </c>
      <c r="G263" s="68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7">
        <f>ABRIL!G31</f>
        <v>0</v>
      </c>
      <c r="G264" s="68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7">
        <f>ABRIL!G32</f>
        <v>0</v>
      </c>
      <c r="G265" s="68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7">
        <f>ABRIL!G33</f>
        <v>0</v>
      </c>
      <c r="G266" s="68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7">
        <f>ABRIL!G34</f>
        <v>0</v>
      </c>
      <c r="G267" s="68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7">
        <f>ABRIL!G35</f>
        <v>0</v>
      </c>
      <c r="G268" s="68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7">
        <f>ABRIL!G36</f>
        <v>0</v>
      </c>
      <c r="G269" s="68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7">
        <f>ABRIL!G37</f>
        <v>0</v>
      </c>
      <c r="G270" s="68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7">
        <f>ABRIL!G38</f>
        <v>0</v>
      </c>
      <c r="G271" s="68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7">
        <f>ABRIL!G39</f>
        <v>0</v>
      </c>
      <c r="G272" s="68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7">
        <f>ABRIL!G40</f>
        <v>0</v>
      </c>
      <c r="G273" s="68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7">
        <f>ABRIL!G41</f>
        <v>0</v>
      </c>
      <c r="G274" s="68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7">
        <f>ABRIL!G42</f>
        <v>0</v>
      </c>
      <c r="G275" s="68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7">
        <f>ABRIL!G43</f>
        <v>0</v>
      </c>
      <c r="G276" s="68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7">
        <f>ABRIL!G44</f>
        <v>0</v>
      </c>
      <c r="G277" s="68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7">
        <f>ABRIL!G45</f>
        <v>0</v>
      </c>
      <c r="G278" s="68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7">
        <f>ABRIL!G46</f>
        <v>0</v>
      </c>
      <c r="G279" s="68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7">
        <f>ABRIL!G47</f>
        <v>0</v>
      </c>
      <c r="G280" s="68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7">
        <f>ABRIL!G48</f>
        <v>0</v>
      </c>
      <c r="G281" s="68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7">
        <f>ABRIL!G49</f>
        <v>0</v>
      </c>
      <c r="G282" s="68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7">
        <f>ABRIL!G50</f>
        <v>0</v>
      </c>
      <c r="G283" s="68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7">
        <f>ABRIL!G51</f>
        <v>0</v>
      </c>
      <c r="G284" s="68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7">
        <f>ABRIL!G52</f>
        <v>0</v>
      </c>
      <c r="G285" s="68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7">
        <f>ABRIL!G53</f>
        <v>0</v>
      </c>
      <c r="G286" s="68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7">
        <f>ABRIL!G54</f>
        <v>0</v>
      </c>
      <c r="G287" s="68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7">
        <f>ABRIL!G55</f>
        <v>0</v>
      </c>
      <c r="G288" s="68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7">
        <f>ABRIL!G56</f>
        <v>0</v>
      </c>
      <c r="G289" s="68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7">
        <f>ABRIL!G57</f>
        <v>0</v>
      </c>
      <c r="G290" s="68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7">
        <f>ABRIL!G58</f>
        <v>0</v>
      </c>
      <c r="G291" s="68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7">
        <f>ABRIL!G59</f>
        <v>0</v>
      </c>
      <c r="G292" s="68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7">
        <f>ABRIL!G60</f>
        <v>0</v>
      </c>
      <c r="G293" s="68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7">
        <f>ABRIL!G61</f>
        <v>0</v>
      </c>
      <c r="G294" s="68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7">
        <f>ABRIL!G62</f>
        <v>0</v>
      </c>
      <c r="G295" s="68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7">
        <f>ABRIL!G63</f>
        <v>0</v>
      </c>
      <c r="G296" s="68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7">
        <f>ABRIL!G64</f>
        <v>0</v>
      </c>
      <c r="G297" s="68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7">
        <f>ABRIL!G65</f>
        <v>0</v>
      </c>
      <c r="G298" s="68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7">
        <f>ABRIL!G66</f>
        <v>0</v>
      </c>
      <c r="G299" s="68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7">
        <f>ABRIL!G67</f>
        <v>0</v>
      </c>
      <c r="G300" s="68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7">
        <f>ABRIL!G68</f>
        <v>0</v>
      </c>
      <c r="G301" s="68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7">
        <f>ABRIL!G69</f>
        <v>0</v>
      </c>
      <c r="G302" s="68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7">
        <f>ABRIL!G70</f>
        <v>0</v>
      </c>
      <c r="G303" s="68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7">
        <f>ABRIL!G71</f>
        <v>0</v>
      </c>
      <c r="G304" s="68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7">
        <f>ABRIL!G72</f>
        <v>0</v>
      </c>
      <c r="G305" s="68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7">
        <f>ABRIL!G73</f>
        <v>0</v>
      </c>
      <c r="G306" s="68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7">
        <f>ABRIL!G74</f>
        <v>0</v>
      </c>
      <c r="G307" s="68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7">
        <f>ABRIL!G75</f>
        <v>0</v>
      </c>
      <c r="G308" s="68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7">
        <f>ABRIL!G76</f>
        <v>0</v>
      </c>
      <c r="G309" s="68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7">
        <f>ABRIL!G77</f>
        <v>0</v>
      </c>
      <c r="G310" s="68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7">
        <f>ABRIL!G78</f>
        <v>0</v>
      </c>
      <c r="G311" s="68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7">
        <f>ABRIL!G79</f>
        <v>0</v>
      </c>
      <c r="G312" s="68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7" t="str">
        <f>ABRIL!G80</f>
        <v>BENFICA</v>
      </c>
      <c r="G313" s="68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7">
        <f>ABRIL!G81</f>
        <v>0</v>
      </c>
      <c r="G314" s="68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7">
        <f>ABRIL!G82</f>
        <v>0</v>
      </c>
      <c r="G315" s="68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7">
        <f>ABRIL!G83</f>
        <v>0</v>
      </c>
      <c r="G316" s="68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7">
        <f>ABRIL!G84</f>
        <v>0</v>
      </c>
      <c r="G317" s="68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7">
        <f>MAIO!G7</f>
        <v>0</v>
      </c>
      <c r="G318" s="68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7">
        <f>MAIO!G8</f>
        <v>0</v>
      </c>
      <c r="G319" s="68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7">
        <f>MAIO!G9</f>
        <v>0</v>
      </c>
      <c r="G320" s="68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7" t="str">
        <f>MAIO!G10</f>
        <v>BENFICA</v>
      </c>
      <c r="G321" s="68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7">
        <f>MAIO!G11</f>
        <v>0</v>
      </c>
      <c r="G322" s="68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7" t="str">
        <f>MAIO!G12</f>
        <v>BENFICA</v>
      </c>
      <c r="G323" s="68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7">
        <f>MAIO!G13</f>
        <v>0</v>
      </c>
      <c r="G324" s="68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7">
        <f>MAIO!G14</f>
        <v>0</v>
      </c>
      <c r="G325" s="68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7">
        <f>MAIO!G15</f>
        <v>0</v>
      </c>
      <c r="G326" s="68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7">
        <f>MAIO!G16</f>
        <v>0</v>
      </c>
      <c r="G327" s="68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7">
        <f>MAIO!G17</f>
        <v>0</v>
      </c>
      <c r="G328" s="68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7" t="str">
        <f>MAIO!G18</f>
        <v>CALEMBA 2</v>
      </c>
      <c r="G329" s="68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7">
        <f>MAIO!G19</f>
        <v>0</v>
      </c>
      <c r="G330" s="68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7">
        <f>MAIO!G20</f>
        <v>0</v>
      </c>
      <c r="G331" s="68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7">
        <f>MAIO!G21</f>
        <v>0</v>
      </c>
      <c r="G332" s="68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7">
        <f>MAIO!G22</f>
        <v>0</v>
      </c>
      <c r="G333" s="68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7">
        <f>MAIO!G23</f>
        <v>0</v>
      </c>
      <c r="G334" s="68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7">
        <f>MAIO!G24</f>
        <v>0</v>
      </c>
      <c r="G335" s="68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7">
        <f>MAIO!G25</f>
        <v>0</v>
      </c>
      <c r="G336" s="68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7">
        <f>MAIO!G26</f>
        <v>0</v>
      </c>
      <c r="G337" s="68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7">
        <f>MAIO!G27</f>
        <v>0</v>
      </c>
      <c r="G338" s="68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7">
        <f>MAIO!G28</f>
        <v>0</v>
      </c>
      <c r="G339" s="68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7">
        <f>MAIO!G29</f>
        <v>0</v>
      </c>
      <c r="G340" s="68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7">
        <f>MAIO!G30</f>
        <v>0</v>
      </c>
      <c r="G341" s="68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7">
        <f>MAIO!G31</f>
        <v>0</v>
      </c>
      <c r="G342" s="68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7">
        <f>MAIO!G32</f>
        <v>0</v>
      </c>
      <c r="G343" s="68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7">
        <f>MAIO!G33</f>
        <v>0</v>
      </c>
      <c r="G344" s="68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7">
        <f>MAIO!G34</f>
        <v>0</v>
      </c>
      <c r="G345" s="68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7">
        <f>MAIO!G35</f>
        <v>0</v>
      </c>
      <c r="G346" s="68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7">
        <f>MAIO!G36</f>
        <v>0</v>
      </c>
      <c r="G347" s="68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7">
        <f>MAIO!G37</f>
        <v>0</v>
      </c>
      <c r="G348" s="68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7">
        <f>MAIO!G38</f>
        <v>0</v>
      </c>
      <c r="G349" s="68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7">
        <f>MAIO!G39</f>
        <v>0</v>
      </c>
      <c r="G350" s="68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7">
        <f>MAIO!G40</f>
        <v>0</v>
      </c>
      <c r="G351" s="68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7">
        <f>MAIO!G41</f>
        <v>0</v>
      </c>
      <c r="G352" s="68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7">
        <f>MAIO!G42</f>
        <v>0</v>
      </c>
      <c r="G353" s="68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7">
        <f>MAIO!G43</f>
        <v>0</v>
      </c>
      <c r="G354" s="68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7">
        <f>MAIO!G44</f>
        <v>0</v>
      </c>
      <c r="G355" s="68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7">
        <f>MAIO!G45</f>
        <v>0</v>
      </c>
      <c r="G356" s="68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7">
        <f>MAIO!G46</f>
        <v>0</v>
      </c>
      <c r="G357" s="68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7">
        <f>MAIO!G47</f>
        <v>0</v>
      </c>
      <c r="G358" s="68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7">
        <f>MAIO!G48</f>
        <v>0</v>
      </c>
      <c r="G359" s="68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7">
        <f>MAIO!G49</f>
        <v>0</v>
      </c>
      <c r="G360" s="68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7">
        <f>MAIO!G50</f>
        <v>0</v>
      </c>
      <c r="G361" s="68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7">
        <f>MAIO!G51</f>
        <v>0</v>
      </c>
      <c r="G362" s="68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7">
        <f>MAIO!G52</f>
        <v>0</v>
      </c>
      <c r="G363" s="68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7">
        <f>MAIO!G53</f>
        <v>0</v>
      </c>
      <c r="G364" s="68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7">
        <f>MAIO!G54</f>
        <v>0</v>
      </c>
      <c r="G365" s="68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7">
        <f>MAIO!G55</f>
        <v>0</v>
      </c>
      <c r="G366" s="68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7">
        <f>MAIO!G56</f>
        <v>0</v>
      </c>
      <c r="G367" s="68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7">
        <f>MAIO!G57</f>
        <v>0</v>
      </c>
      <c r="G368" s="68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7">
        <f>MAIO!G58</f>
        <v>0</v>
      </c>
      <c r="G369" s="68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7">
        <f>MAIO!G59</f>
        <v>0</v>
      </c>
      <c r="G370" s="68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7">
        <f>MAIO!G60</f>
        <v>0</v>
      </c>
      <c r="G371" s="68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7">
        <f>MAIO!G61</f>
        <v>0</v>
      </c>
      <c r="G372" s="68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7">
        <f>MAIO!G62</f>
        <v>0</v>
      </c>
      <c r="G373" s="68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7">
        <f>MAIO!G63</f>
        <v>0</v>
      </c>
      <c r="G374" s="68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7">
        <f>MAIO!G64</f>
        <v>0</v>
      </c>
      <c r="G375" s="68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7">
        <f>MAIO!G65</f>
        <v>0</v>
      </c>
      <c r="G376" s="68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7">
        <f>MAIO!G66</f>
        <v>0</v>
      </c>
      <c r="G377" s="68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7">
        <f>MAIO!G67</f>
        <v>0</v>
      </c>
      <c r="G378" s="68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7">
        <f>MAIO!G68</f>
        <v>0</v>
      </c>
      <c r="G379" s="68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7">
        <f>MAIO!G69</f>
        <v>0</v>
      </c>
      <c r="G380" s="68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7">
        <f>MAIO!G70</f>
        <v>0</v>
      </c>
      <c r="G381" s="68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7">
        <f>MAIO!G71</f>
        <v>0</v>
      </c>
      <c r="G382" s="68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7">
        <f>MAIO!G72</f>
        <v>0</v>
      </c>
      <c r="G383" s="68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7">
        <f>MAIO!G73</f>
        <v>0</v>
      </c>
      <c r="G384" s="68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7">
        <f>MAIO!G74</f>
        <v>0</v>
      </c>
      <c r="G385" s="68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7">
        <f>MAIO!G75</f>
        <v>0</v>
      </c>
      <c r="G386" s="68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7">
        <f>MAIO!G76</f>
        <v>0</v>
      </c>
      <c r="G387" s="68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7">
        <f>MAIO!G77</f>
        <v>0</v>
      </c>
      <c r="G388" s="68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7">
        <f>MAIO!G78</f>
        <v>0</v>
      </c>
      <c r="G389" s="68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7">
        <f>MAIO!G79</f>
        <v>0</v>
      </c>
      <c r="G390" s="68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7" t="str">
        <f>MAIO!G80</f>
        <v>BENFICA</v>
      </c>
      <c r="G391" s="68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7">
        <f>MAIO!G81</f>
        <v>0</v>
      </c>
      <c r="G392" s="68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7">
        <f>MAIO!G82</f>
        <v>0</v>
      </c>
      <c r="G393" s="68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7">
        <f>MAIO!G83</f>
        <v>0</v>
      </c>
      <c r="G394" s="68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7">
        <f>MAIO!G84</f>
        <v>0</v>
      </c>
      <c r="G395" s="68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7">
        <f>JUNHO!G7</f>
        <v>0</v>
      </c>
      <c r="G396" s="68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7">
        <f>JUNHO!G8</f>
        <v>0</v>
      </c>
      <c r="G397" s="68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7">
        <f>JUNHO!G9</f>
        <v>0</v>
      </c>
      <c r="G398" s="68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7">
        <f>JUNHO!G10</f>
        <v>0</v>
      </c>
      <c r="G399" s="68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7">
        <f>JUNHO!G11</f>
        <v>0</v>
      </c>
      <c r="G400" s="68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7" t="str">
        <f>JUNHO!G12</f>
        <v>BENFICA</v>
      </c>
      <c r="G401" s="68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7">
        <f>JUNHO!G13</f>
        <v>0</v>
      </c>
      <c r="G402" s="68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7">
        <f>JUNHO!G14</f>
        <v>0</v>
      </c>
      <c r="G403" s="68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7">
        <f>JUNHO!G15</f>
        <v>0</v>
      </c>
      <c r="G404" s="68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7">
        <f>JUNHO!G16</f>
        <v>0</v>
      </c>
      <c r="G405" s="68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7">
        <f>JUNHO!G17</f>
        <v>0</v>
      </c>
      <c r="G406" s="68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7" t="str">
        <f>JUNHO!G18</f>
        <v>CALEMBA 2</v>
      </c>
      <c r="G407" s="68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7">
        <f>JUNHO!G19</f>
        <v>0</v>
      </c>
      <c r="G408" s="68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7">
        <f>JUNHO!G20</f>
        <v>0</v>
      </c>
      <c r="G409" s="68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7">
        <f>JUNHO!G21</f>
        <v>0</v>
      </c>
      <c r="G410" s="68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7">
        <f>JUNHO!G22</f>
        <v>0</v>
      </c>
      <c r="G411" s="68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7">
        <f>JUNHO!G23</f>
        <v>0</v>
      </c>
      <c r="G412" s="68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7">
        <f>JUNHO!G24</f>
        <v>0</v>
      </c>
      <c r="G413" s="68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7">
        <f>JUNHO!G25</f>
        <v>0</v>
      </c>
      <c r="G414" s="68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7">
        <f>JUNHO!G26</f>
        <v>0</v>
      </c>
      <c r="G415" s="68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7">
        <f>JUNHO!G27</f>
        <v>0</v>
      </c>
      <c r="G416" s="68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7">
        <f>JUNHO!G28</f>
        <v>0</v>
      </c>
      <c r="G417" s="68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7">
        <f>JUNHO!G29</f>
        <v>0</v>
      </c>
      <c r="G418" s="68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7">
        <f>JUNHO!G30</f>
        <v>0</v>
      </c>
      <c r="G419" s="68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7">
        <f>JUNHO!G31</f>
        <v>0</v>
      </c>
      <c r="G420" s="68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7">
        <f>JUNHO!G32</f>
        <v>0</v>
      </c>
      <c r="G421" s="68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7">
        <f>JUNHO!G33</f>
        <v>0</v>
      </c>
      <c r="G422" s="68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7">
        <f>JUNHO!G34</f>
        <v>0</v>
      </c>
      <c r="G423" s="68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7">
        <f>JUNHO!G35</f>
        <v>0</v>
      </c>
      <c r="G424" s="68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7">
        <f>JUNHO!G36</f>
        <v>0</v>
      </c>
      <c r="G425" s="68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7">
        <f>JUNHO!G37</f>
        <v>0</v>
      </c>
      <c r="G426" s="68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7">
        <f>JUNHO!G38</f>
        <v>0</v>
      </c>
      <c r="G427" s="68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7">
        <f>JUNHO!G39</f>
        <v>0</v>
      </c>
      <c r="G428" s="68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7">
        <f>JUNHO!G40</f>
        <v>0</v>
      </c>
      <c r="G429" s="68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7">
        <f>JUNHO!G41</f>
        <v>0</v>
      </c>
      <c r="G430" s="68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7">
        <f>JUNHO!G42</f>
        <v>0</v>
      </c>
      <c r="G431" s="68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7">
        <f>JUNHO!G43</f>
        <v>0</v>
      </c>
      <c r="G432" s="68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7">
        <f>JUNHO!G44</f>
        <v>0</v>
      </c>
      <c r="G433" s="68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7">
        <f>JUNHO!G45</f>
        <v>0</v>
      </c>
      <c r="G434" s="68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7">
        <f>JUNHO!G46</f>
        <v>0</v>
      </c>
      <c r="G435" s="68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7">
        <f>JUNHO!G47</f>
        <v>0</v>
      </c>
      <c r="G436" s="68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7">
        <f>JUNHO!G48</f>
        <v>0</v>
      </c>
      <c r="G437" s="68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7">
        <f>JUNHO!G49</f>
        <v>0</v>
      </c>
      <c r="G438" s="68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7">
        <f>JUNHO!G50</f>
        <v>0</v>
      </c>
      <c r="G439" s="68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7">
        <f>JUNHO!G51</f>
        <v>0</v>
      </c>
      <c r="G440" s="68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7">
        <f>JUNHO!G52</f>
        <v>0</v>
      </c>
      <c r="G441" s="68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7">
        <f>JUNHO!G53</f>
        <v>0</v>
      </c>
      <c r="G442" s="68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7">
        <f>JUNHO!G54</f>
        <v>0</v>
      </c>
      <c r="G443" s="68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7">
        <f>JUNHO!G55</f>
        <v>0</v>
      </c>
      <c r="G444" s="68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7">
        <f>JUNHO!G56</f>
        <v>0</v>
      </c>
      <c r="G445" s="68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7">
        <f>JUNHO!G57</f>
        <v>0</v>
      </c>
      <c r="G446" s="68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7">
        <f>JUNHO!G58</f>
        <v>0</v>
      </c>
      <c r="G447" s="68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7">
        <f>JUNHO!G59</f>
        <v>0</v>
      </c>
      <c r="G448" s="68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7">
        <f>JUNHO!G60</f>
        <v>0</v>
      </c>
      <c r="G449" s="68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7">
        <f>JUNHO!G61</f>
        <v>0</v>
      </c>
      <c r="G450" s="68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7">
        <f>JUNHO!G62</f>
        <v>0</v>
      </c>
      <c r="G451" s="68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7">
        <f>JUNHO!G63</f>
        <v>0</v>
      </c>
      <c r="G452" s="68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7">
        <f>JUNHO!G64</f>
        <v>0</v>
      </c>
      <c r="G453" s="68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7">
        <f>JUNHO!G65</f>
        <v>0</v>
      </c>
      <c r="G454" s="68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7">
        <f>JUNHO!G66</f>
        <v>0</v>
      </c>
      <c r="G455" s="68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7">
        <f>JUNHO!G67</f>
        <v>0</v>
      </c>
      <c r="G456" s="68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7">
        <f>JUNHO!G68</f>
        <v>0</v>
      </c>
      <c r="G457" s="68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7">
        <f>JUNHO!G69</f>
        <v>0</v>
      </c>
      <c r="G458" s="68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7">
        <f>JUNHO!G70</f>
        <v>0</v>
      </c>
      <c r="G459" s="68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7">
        <f>JUNHO!G71</f>
        <v>0</v>
      </c>
      <c r="G460" s="68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7">
        <f>JUNHO!G72</f>
        <v>0</v>
      </c>
      <c r="G461" s="68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7">
        <f>JUNHO!G73</f>
        <v>0</v>
      </c>
      <c r="G462" s="68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7">
        <f>JUNHO!G74</f>
        <v>0</v>
      </c>
      <c r="G463" s="68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7">
        <f>JUNHO!G75</f>
        <v>0</v>
      </c>
      <c r="G464" s="68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7">
        <f>JUNHO!G76</f>
        <v>0</v>
      </c>
      <c r="G465" s="68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7">
        <f>JUNHO!G77</f>
        <v>0</v>
      </c>
      <c r="G466" s="68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7">
        <f>JUNHO!G78</f>
        <v>0</v>
      </c>
      <c r="G467" s="68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7">
        <f>JUNHO!G79</f>
        <v>0</v>
      </c>
      <c r="G468" s="68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7" t="str">
        <f>JUNHO!G80</f>
        <v>BENFICA</v>
      </c>
      <c r="G469" s="68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7">
        <f>JUNHO!G81</f>
        <v>0</v>
      </c>
      <c r="G470" s="68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7">
        <f>JUNHO!G82</f>
        <v>0</v>
      </c>
      <c r="G471" s="68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7">
        <f>JUNHO!G83</f>
        <v>0</v>
      </c>
      <c r="G472" s="68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7">
        <f>JUNHO!G84</f>
        <v>0</v>
      </c>
      <c r="G473" s="68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7">
        <f>JULHO!G7</f>
        <v>0</v>
      </c>
      <c r="G474" s="68">
        <f>JULHO!H7</f>
        <v>1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7">
        <f>JULHO!G8</f>
        <v>0</v>
      </c>
      <c r="G475" s="68">
        <f>JULHO!H8</f>
        <v>2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7">
        <f>JULHO!G9</f>
        <v>0</v>
      </c>
      <c r="G476" s="68">
        <f>JULHO!H9</f>
        <v>3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7">
        <f>JULHO!G10</f>
        <v>0</v>
      </c>
      <c r="G477" s="68">
        <f>JULHO!H10</f>
        <v>4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7">
        <f>JULHO!G11</f>
        <v>0</v>
      </c>
      <c r="G478" s="68">
        <f>JULHO!H11</f>
        <v>5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7" t="str">
        <f>JULHO!G12</f>
        <v>BENFICA</v>
      </c>
      <c r="G479" s="68">
        <f>JULHO!H12</f>
        <v>100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7">
        <f>JULHO!G13</f>
        <v>0</v>
      </c>
      <c r="G480" s="68">
        <f>JULHO!H13</f>
        <v>7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7">
        <f>JULHO!G14</f>
        <v>0</v>
      </c>
      <c r="G481" s="68">
        <f>JULHO!H14</f>
        <v>8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7">
        <f>JULHO!G15</f>
        <v>0</v>
      </c>
      <c r="G482" s="68">
        <f>JULHO!H15</f>
        <v>9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7">
        <f>JULHO!G16</f>
        <v>0</v>
      </c>
      <c r="G483" s="68">
        <f>JULHO!H16</f>
        <v>10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7">
        <f>JULHO!G17</f>
        <v>0</v>
      </c>
      <c r="G484" s="68">
        <f>JULHO!H17</f>
        <v>11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7" t="str">
        <f>JULHO!G18</f>
        <v>CALEMBA 2</v>
      </c>
      <c r="G485" s="68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7">
        <f>JULHO!G19</f>
        <v>0</v>
      </c>
      <c r="G486" s="68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7">
        <f>JULHO!G20</f>
        <v>0</v>
      </c>
      <c r="G487" s="68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7">
        <f>JULHO!G21</f>
        <v>0</v>
      </c>
      <c r="G488" s="68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7">
        <f>JULHO!G22</f>
        <v>0</v>
      </c>
      <c r="G489" s="68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7">
        <f>JULHO!G23</f>
        <v>0</v>
      </c>
      <c r="G490" s="68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7">
        <f>JULHO!G24</f>
        <v>0</v>
      </c>
      <c r="G491" s="68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7">
        <f>JULHO!G25</f>
        <v>0</v>
      </c>
      <c r="G492" s="68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7">
        <f>JULHO!G26</f>
        <v>0</v>
      </c>
      <c r="G493" s="68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7">
        <f>JULHO!G27</f>
        <v>0</v>
      </c>
      <c r="G494" s="68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7">
        <f>JULHO!G28</f>
        <v>0</v>
      </c>
      <c r="G495" s="68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7">
        <f>JULHO!G29</f>
        <v>0</v>
      </c>
      <c r="G496" s="68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7">
        <f>JULHO!G30</f>
        <v>0</v>
      </c>
      <c r="G497" s="68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7">
        <f>JULHO!G31</f>
        <v>0</v>
      </c>
      <c r="G498" s="68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7">
        <f>JULHO!G32</f>
        <v>0</v>
      </c>
      <c r="G499" s="68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7">
        <f>JULHO!G33</f>
        <v>0</v>
      </c>
      <c r="G500" s="68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7">
        <f>JULHO!G34</f>
        <v>0</v>
      </c>
      <c r="G501" s="68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7">
        <f>JULHO!G35</f>
        <v>0</v>
      </c>
      <c r="G502" s="68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7">
        <f>JULHO!G36</f>
        <v>0</v>
      </c>
      <c r="G503" s="68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7">
        <f>JULHO!G37</f>
        <v>0</v>
      </c>
      <c r="G504" s="68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7">
        <f>JULHO!G38</f>
        <v>0</v>
      </c>
      <c r="G505" s="68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7">
        <f>JULHO!G39</f>
        <v>0</v>
      </c>
      <c r="G506" s="68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7">
        <f>JULHO!G40</f>
        <v>0</v>
      </c>
      <c r="G507" s="68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7">
        <f>JULHO!G41</f>
        <v>0</v>
      </c>
      <c r="G508" s="68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7">
        <f>JULHO!G42</f>
        <v>0</v>
      </c>
      <c r="G509" s="68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7">
        <f>JULHO!G43</f>
        <v>0</v>
      </c>
      <c r="G510" s="68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7">
        <f>JULHO!G44</f>
        <v>0</v>
      </c>
      <c r="G511" s="68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7">
        <f>JULHO!G45</f>
        <v>0</v>
      </c>
      <c r="G512" s="68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7">
        <f>JULHO!G46</f>
        <v>0</v>
      </c>
      <c r="G513" s="68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7">
        <f>JULHO!G47</f>
        <v>0</v>
      </c>
      <c r="G514" s="68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7">
        <f>JULHO!G48</f>
        <v>0</v>
      </c>
      <c r="G515" s="68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7">
        <f>JULHO!G49</f>
        <v>0</v>
      </c>
      <c r="G516" s="68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7">
        <f>JULHO!G50</f>
        <v>0</v>
      </c>
      <c r="G517" s="68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7">
        <f>JULHO!G51</f>
        <v>0</v>
      </c>
      <c r="G518" s="68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7">
        <f>JULHO!G52</f>
        <v>0</v>
      </c>
      <c r="G519" s="68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7">
        <f>JULHO!G53</f>
        <v>0</v>
      </c>
      <c r="G520" s="68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7">
        <f>JULHO!G54</f>
        <v>0</v>
      </c>
      <c r="G521" s="68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7">
        <f>JULHO!G55</f>
        <v>0</v>
      </c>
      <c r="G522" s="68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7">
        <f>JULHO!G56</f>
        <v>0</v>
      </c>
      <c r="G523" s="68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7">
        <f>JULHO!G57</f>
        <v>0</v>
      </c>
      <c r="G524" s="68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7">
        <f>JULHO!G58</f>
        <v>0</v>
      </c>
      <c r="G525" s="68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7">
        <f>JULHO!G59</f>
        <v>0</v>
      </c>
      <c r="G526" s="68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7">
        <f>JULHO!G60</f>
        <v>0</v>
      </c>
      <c r="G527" s="68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7">
        <f>JULHO!G61</f>
        <v>0</v>
      </c>
      <c r="G528" s="68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7">
        <f>JULHO!G62</f>
        <v>0</v>
      </c>
      <c r="G529" s="68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7">
        <f>JULHO!G63</f>
        <v>0</v>
      </c>
      <c r="G530" s="68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7">
        <f>JULHO!G64</f>
        <v>0</v>
      </c>
      <c r="G531" s="68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7">
        <f>JULHO!G65</f>
        <v>0</v>
      </c>
      <c r="G532" s="68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7">
        <f>JULHO!G66</f>
        <v>0</v>
      </c>
      <c r="G533" s="68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7">
        <f>JULHO!G67</f>
        <v>0</v>
      </c>
      <c r="G534" s="68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7">
        <f>JULHO!G68</f>
        <v>0</v>
      </c>
      <c r="G535" s="68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7">
        <f>JULHO!G69</f>
        <v>0</v>
      </c>
      <c r="G536" s="68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7">
        <f>JULHO!G70</f>
        <v>0</v>
      </c>
      <c r="G537" s="68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7">
        <f>JULHO!G71</f>
        <v>0</v>
      </c>
      <c r="G538" s="68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7">
        <f>JULHO!G72</f>
        <v>0</v>
      </c>
      <c r="G539" s="68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7">
        <f>JULHO!G73</f>
        <v>0</v>
      </c>
      <c r="G540" s="68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7">
        <f>JULHO!G74</f>
        <v>0</v>
      </c>
      <c r="G541" s="68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7">
        <f>JULHO!G75</f>
        <v>0</v>
      </c>
      <c r="G542" s="68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7">
        <f>JULHO!G76</f>
        <v>0</v>
      </c>
      <c r="G543" s="68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7">
        <f>JULHO!G77</f>
        <v>0</v>
      </c>
      <c r="G544" s="68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7">
        <f>JULHO!G78</f>
        <v>0</v>
      </c>
      <c r="G545" s="68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7">
        <f>JULHO!G79</f>
        <v>0</v>
      </c>
      <c r="G546" s="68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7" t="str">
        <f>JULHO!G80</f>
        <v>BENFICA</v>
      </c>
      <c r="G547" s="68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7">
        <f>JULHO!G81</f>
        <v>0</v>
      </c>
      <c r="G548" s="68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7">
        <f>JULHO!G82</f>
        <v>0</v>
      </c>
      <c r="G549" s="68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7">
        <f>JULHO!G83</f>
        <v>0</v>
      </c>
      <c r="G550" s="68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7">
        <f>JULHO!G84</f>
        <v>0</v>
      </c>
      <c r="G551" s="68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7">
        <f>AGOSTO!G7</f>
        <v>0</v>
      </c>
      <c r="G552" s="68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7">
        <f>AGOSTO!G8</f>
        <v>0</v>
      </c>
      <c r="G553" s="68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7">
        <f>AGOSTO!G9</f>
        <v>0</v>
      </c>
      <c r="G554" s="68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7">
        <f>AGOSTO!G10</f>
        <v>0</v>
      </c>
      <c r="G555" s="68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7">
        <f>AGOSTO!G11</f>
        <v>0</v>
      </c>
      <c r="G556" s="68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7" t="str">
        <f>AGOSTO!G12</f>
        <v>BENFICA</v>
      </c>
      <c r="G557" s="68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7">
        <f>AGOSTO!G13</f>
        <v>0</v>
      </c>
      <c r="G558" s="68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7">
        <f>AGOSTO!G14</f>
        <v>0</v>
      </c>
      <c r="G559" s="68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7">
        <f>AGOSTO!G15</f>
        <v>0</v>
      </c>
      <c r="G560" s="68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7">
        <f>AGOSTO!G16</f>
        <v>0</v>
      </c>
      <c r="G561" s="68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7">
        <f>AGOSTO!G17</f>
        <v>0</v>
      </c>
      <c r="G562" s="68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7" t="str">
        <f>AGOSTO!G18</f>
        <v>CALEMBA 2</v>
      </c>
      <c r="G563" s="68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7">
        <f>AGOSTO!G19</f>
        <v>0</v>
      </c>
      <c r="G564" s="68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7">
        <f>AGOSTO!G20</f>
        <v>0</v>
      </c>
      <c r="G565" s="68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7">
        <f>AGOSTO!G21</f>
        <v>0</v>
      </c>
      <c r="G566" s="68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7">
        <f>AGOSTO!G22</f>
        <v>0</v>
      </c>
      <c r="G567" s="68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7">
        <f>AGOSTO!G23</f>
        <v>0</v>
      </c>
      <c r="G568" s="68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7">
        <f>AGOSTO!G24</f>
        <v>0</v>
      </c>
      <c r="G569" s="68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7">
        <f>AGOSTO!G25</f>
        <v>0</v>
      </c>
      <c r="G570" s="68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7">
        <f>AGOSTO!G26</f>
        <v>0</v>
      </c>
      <c r="G571" s="68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7">
        <f>AGOSTO!G27</f>
        <v>0</v>
      </c>
      <c r="G572" s="68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7">
        <f>AGOSTO!G28</f>
        <v>0</v>
      </c>
      <c r="G573" s="68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7">
        <f>AGOSTO!G29</f>
        <v>0</v>
      </c>
      <c r="G574" s="68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7">
        <f>AGOSTO!G30</f>
        <v>0</v>
      </c>
      <c r="G575" s="68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7">
        <f>AGOSTO!G31</f>
        <v>0</v>
      </c>
      <c r="G576" s="68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7">
        <f>AGOSTO!G32</f>
        <v>0</v>
      </c>
      <c r="G577" s="68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7">
        <f>AGOSTO!G33</f>
        <v>0</v>
      </c>
      <c r="G578" s="68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7">
        <f>AGOSTO!G34</f>
        <v>0</v>
      </c>
      <c r="G579" s="68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7">
        <f>AGOSTO!G35</f>
        <v>0</v>
      </c>
      <c r="G580" s="68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7">
        <f>AGOSTO!G36</f>
        <v>0</v>
      </c>
      <c r="G581" s="68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7">
        <f>AGOSTO!G37</f>
        <v>0</v>
      </c>
      <c r="G582" s="68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7">
        <f>AGOSTO!G38</f>
        <v>0</v>
      </c>
      <c r="G583" s="68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7">
        <f>AGOSTO!G39</f>
        <v>0</v>
      </c>
      <c r="G584" s="68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7">
        <f>AGOSTO!G40</f>
        <v>0</v>
      </c>
      <c r="G585" s="68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7">
        <f>AGOSTO!G41</f>
        <v>0</v>
      </c>
      <c r="G586" s="68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7">
        <f>AGOSTO!G42</f>
        <v>0</v>
      </c>
      <c r="G587" s="68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7">
        <f>AGOSTO!G43</f>
        <v>0</v>
      </c>
      <c r="G588" s="68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7">
        <f>AGOSTO!G44</f>
        <v>0</v>
      </c>
      <c r="G589" s="68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7">
        <f>AGOSTO!G45</f>
        <v>0</v>
      </c>
      <c r="G590" s="68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7">
        <f>AGOSTO!G46</f>
        <v>0</v>
      </c>
      <c r="G591" s="68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7">
        <f>AGOSTO!G47</f>
        <v>0</v>
      </c>
      <c r="G592" s="68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7">
        <f>AGOSTO!G48</f>
        <v>0</v>
      </c>
      <c r="G593" s="68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7">
        <f>AGOSTO!G49</f>
        <v>0</v>
      </c>
      <c r="G594" s="68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7">
        <f>AGOSTO!G50</f>
        <v>0</v>
      </c>
      <c r="G595" s="68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7">
        <f>AGOSTO!G51</f>
        <v>0</v>
      </c>
      <c r="G596" s="68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7">
        <f>AGOSTO!G52</f>
        <v>0</v>
      </c>
      <c r="G597" s="68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7">
        <f>AGOSTO!G53</f>
        <v>0</v>
      </c>
      <c r="G598" s="68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7">
        <f>AGOSTO!G54</f>
        <v>0</v>
      </c>
      <c r="G599" s="68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7">
        <f>AGOSTO!G55</f>
        <v>0</v>
      </c>
      <c r="G600" s="68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7">
        <f>AGOSTO!G56</f>
        <v>0</v>
      </c>
      <c r="G601" s="68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7">
        <f>AGOSTO!G57</f>
        <v>0</v>
      </c>
      <c r="G602" s="68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7">
        <f>AGOSTO!G58</f>
        <v>0</v>
      </c>
      <c r="G603" s="68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7">
        <f>AGOSTO!G59</f>
        <v>0</v>
      </c>
      <c r="G604" s="68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7">
        <f>AGOSTO!G60</f>
        <v>0</v>
      </c>
      <c r="G605" s="68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7">
        <f>AGOSTO!G61</f>
        <v>0</v>
      </c>
      <c r="G606" s="68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7">
        <f>AGOSTO!G62</f>
        <v>0</v>
      </c>
      <c r="G607" s="68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7">
        <f>AGOSTO!G63</f>
        <v>0</v>
      </c>
      <c r="G608" s="68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7">
        <f>AGOSTO!G64</f>
        <v>0</v>
      </c>
      <c r="G609" s="68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7">
        <f>AGOSTO!G65</f>
        <v>0</v>
      </c>
      <c r="G610" s="68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7">
        <f>AGOSTO!G66</f>
        <v>0</v>
      </c>
      <c r="G611" s="68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7">
        <f>AGOSTO!G67</f>
        <v>0</v>
      </c>
      <c r="G612" s="68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7">
        <f>AGOSTO!G68</f>
        <v>0</v>
      </c>
      <c r="G613" s="68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7">
        <f>AGOSTO!G69</f>
        <v>0</v>
      </c>
      <c r="G614" s="68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7">
        <f>AGOSTO!G70</f>
        <v>0</v>
      </c>
      <c r="G615" s="68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7">
        <f>AGOSTO!G71</f>
        <v>0</v>
      </c>
      <c r="G616" s="68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7">
        <f>AGOSTO!G72</f>
        <v>0</v>
      </c>
      <c r="G617" s="68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7">
        <f>AGOSTO!G73</f>
        <v>0</v>
      </c>
      <c r="G618" s="68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7">
        <f>AGOSTO!G74</f>
        <v>0</v>
      </c>
      <c r="G619" s="68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7">
        <f>AGOSTO!G75</f>
        <v>0</v>
      </c>
      <c r="G620" s="68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7">
        <f>AGOSTO!G76</f>
        <v>0</v>
      </c>
      <c r="G621" s="68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7">
        <f>AGOSTO!G77</f>
        <v>0</v>
      </c>
      <c r="G622" s="68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7">
        <f>AGOSTO!G78</f>
        <v>0</v>
      </c>
      <c r="G623" s="68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7">
        <f>AGOSTO!G79</f>
        <v>0</v>
      </c>
      <c r="G624" s="68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7" t="str">
        <f>AGOSTO!G80</f>
        <v>BENFICA</v>
      </c>
      <c r="G625" s="68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7">
        <f>AGOSTO!G81</f>
        <v>0</v>
      </c>
      <c r="G626" s="68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7">
        <f>AGOSTO!G82</f>
        <v>0</v>
      </c>
      <c r="G627" s="68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7">
        <f>AGOSTO!G83</f>
        <v>0</v>
      </c>
      <c r="G628" s="68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7">
        <f>AGOSTO!G84</f>
        <v>0</v>
      </c>
      <c r="G629" s="68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7" t="str">
        <f>SETEMBRO!G7</f>
        <v>ZANGO 3</v>
      </c>
      <c r="G630" s="68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7" t="str">
        <f>SETEMBRO!G8</f>
        <v>ZANGO 4</v>
      </c>
      <c r="G631" s="68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7" t="str">
        <f>SETEMBRO!G9</f>
        <v>ZANGO 5</v>
      </c>
      <c r="G632" s="68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7" t="str">
        <f>SETEMBRO!G10</f>
        <v>ZANGO 6</v>
      </c>
      <c r="G633" s="68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7" t="str">
        <f>SETEMBRO!G11</f>
        <v>ZANGO 7</v>
      </c>
      <c r="G634" s="68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7" t="str">
        <f>SETEMBRO!G12</f>
        <v>BENFICA</v>
      </c>
      <c r="G635" s="68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7">
        <f>SETEMBRO!G13</f>
        <v>0</v>
      </c>
      <c r="G636" s="68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7">
        <f>SETEMBRO!G14</f>
        <v>0</v>
      </c>
      <c r="G637" s="68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7">
        <f>SETEMBRO!G15</f>
        <v>0</v>
      </c>
      <c r="G638" s="68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7">
        <f>SETEMBRO!G16</f>
        <v>0</v>
      </c>
      <c r="G639" s="68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7">
        <f>SETEMBRO!G17</f>
        <v>0</v>
      </c>
      <c r="G640" s="68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7" t="str">
        <f>SETEMBRO!G18</f>
        <v>CALEMBA 2</v>
      </c>
      <c r="G641" s="68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7">
        <f>SETEMBRO!G19</f>
        <v>0</v>
      </c>
      <c r="G642" s="68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7">
        <f>SETEMBRO!G20</f>
        <v>0</v>
      </c>
      <c r="G643" s="68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7">
        <f>SETEMBRO!G21</f>
        <v>0</v>
      </c>
      <c r="G644" s="68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7">
        <f>SETEMBRO!G22</f>
        <v>0</v>
      </c>
      <c r="G645" s="68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7">
        <f>SETEMBRO!G23</f>
        <v>0</v>
      </c>
      <c r="G646" s="68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7">
        <f>SETEMBRO!G24</f>
        <v>0</v>
      </c>
      <c r="G647" s="68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7">
        <f>SETEMBRO!G25</f>
        <v>0</v>
      </c>
      <c r="G648" s="68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7">
        <f>SETEMBRO!G26</f>
        <v>0</v>
      </c>
      <c r="G649" s="68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7">
        <f>SETEMBRO!G27</f>
        <v>0</v>
      </c>
      <c r="G650" s="68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7">
        <f>SETEMBRO!G28</f>
        <v>0</v>
      </c>
      <c r="G651" s="68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7">
        <f>SETEMBRO!G29</f>
        <v>0</v>
      </c>
      <c r="G652" s="68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7">
        <f>SETEMBRO!G30</f>
        <v>0</v>
      </c>
      <c r="G653" s="68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7">
        <f>SETEMBRO!G31</f>
        <v>0</v>
      </c>
      <c r="G654" s="68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7">
        <f>SETEMBRO!G32</f>
        <v>0</v>
      </c>
      <c r="G655" s="68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7">
        <f>SETEMBRO!G33</f>
        <v>0</v>
      </c>
      <c r="G656" s="68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7">
        <f>SETEMBRO!G34</f>
        <v>0</v>
      </c>
      <c r="G657" s="68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7">
        <f>SETEMBRO!G35</f>
        <v>0</v>
      </c>
      <c r="G658" s="68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7">
        <f>SETEMBRO!G36</f>
        <v>0</v>
      </c>
      <c r="G659" s="68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7">
        <f>SETEMBRO!G37</f>
        <v>0</v>
      </c>
      <c r="G660" s="68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7">
        <f>SETEMBRO!G38</f>
        <v>0</v>
      </c>
      <c r="G661" s="68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7">
        <f>SETEMBRO!G39</f>
        <v>0</v>
      </c>
      <c r="G662" s="68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7">
        <f>SETEMBRO!G40</f>
        <v>0</v>
      </c>
      <c r="G663" s="68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7">
        <f>SETEMBRO!G41</f>
        <v>0</v>
      </c>
      <c r="G664" s="68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7">
        <f>SETEMBRO!G42</f>
        <v>0</v>
      </c>
      <c r="G665" s="68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7">
        <f>SETEMBRO!G43</f>
        <v>0</v>
      </c>
      <c r="G666" s="68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7">
        <f>SETEMBRO!G44</f>
        <v>0</v>
      </c>
      <c r="G667" s="68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7">
        <f>SETEMBRO!G45</f>
        <v>0</v>
      </c>
      <c r="G668" s="68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7">
        <f>SETEMBRO!G46</f>
        <v>0</v>
      </c>
      <c r="G669" s="68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7">
        <f>SETEMBRO!G47</f>
        <v>0</v>
      </c>
      <c r="G670" s="68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7">
        <f>SETEMBRO!G48</f>
        <v>0</v>
      </c>
      <c r="G671" s="68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7">
        <f>SETEMBRO!G49</f>
        <v>0</v>
      </c>
      <c r="G672" s="68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7">
        <f>SETEMBRO!G50</f>
        <v>0</v>
      </c>
      <c r="G673" s="68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7">
        <f>SETEMBRO!G51</f>
        <v>0</v>
      </c>
      <c r="G674" s="68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7">
        <f>SETEMBRO!G52</f>
        <v>0</v>
      </c>
      <c r="G675" s="68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7">
        <f>SETEMBRO!G53</f>
        <v>0</v>
      </c>
      <c r="G676" s="68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7">
        <f>SETEMBRO!G54</f>
        <v>0</v>
      </c>
      <c r="G677" s="68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7">
        <f>SETEMBRO!G55</f>
        <v>0</v>
      </c>
      <c r="G678" s="68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7">
        <f>SETEMBRO!G56</f>
        <v>0</v>
      </c>
      <c r="G679" s="68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7">
        <f>SETEMBRO!G57</f>
        <v>0</v>
      </c>
      <c r="G680" s="68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7">
        <f>SETEMBRO!G58</f>
        <v>0</v>
      </c>
      <c r="G681" s="68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7">
        <f>SETEMBRO!G59</f>
        <v>0</v>
      </c>
      <c r="G682" s="68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7">
        <f>SETEMBRO!G60</f>
        <v>0</v>
      </c>
      <c r="G683" s="68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7">
        <f>SETEMBRO!G61</f>
        <v>0</v>
      </c>
      <c r="G684" s="68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7">
        <f>SETEMBRO!G62</f>
        <v>0</v>
      </c>
      <c r="G685" s="68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7">
        <f>SETEMBRO!G63</f>
        <v>0</v>
      </c>
      <c r="G686" s="68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7">
        <f>SETEMBRO!G64</f>
        <v>0</v>
      </c>
      <c r="G687" s="68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7">
        <f>SETEMBRO!G65</f>
        <v>0</v>
      </c>
      <c r="G688" s="68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7">
        <f>SETEMBRO!G66</f>
        <v>0</v>
      </c>
      <c r="G689" s="68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7">
        <f>SETEMBRO!G67</f>
        <v>0</v>
      </c>
      <c r="G690" s="68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7">
        <f>SETEMBRO!G68</f>
        <v>0</v>
      </c>
      <c r="G691" s="68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7">
        <f>SETEMBRO!G69</f>
        <v>0</v>
      </c>
      <c r="G692" s="68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7">
        <f>SETEMBRO!G70</f>
        <v>0</v>
      </c>
      <c r="G693" s="68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7">
        <f>SETEMBRO!G71</f>
        <v>0</v>
      </c>
      <c r="G694" s="68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7">
        <f>SETEMBRO!G72</f>
        <v>0</v>
      </c>
      <c r="G695" s="68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7">
        <f>SETEMBRO!G73</f>
        <v>0</v>
      </c>
      <c r="G696" s="68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7">
        <f>SETEMBRO!G74</f>
        <v>0</v>
      </c>
      <c r="G697" s="68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7">
        <f>SETEMBRO!G75</f>
        <v>0</v>
      </c>
      <c r="G698" s="68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7">
        <f>SETEMBRO!G76</f>
        <v>0</v>
      </c>
      <c r="G699" s="68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7">
        <f>SETEMBRO!G77</f>
        <v>0</v>
      </c>
      <c r="G700" s="68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7">
        <f>SETEMBRO!G78</f>
        <v>0</v>
      </c>
      <c r="G701" s="68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7">
        <f>SETEMBRO!G79</f>
        <v>0</v>
      </c>
      <c r="G702" s="68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7" t="str">
        <f>SETEMBRO!G80</f>
        <v>BENFICA</v>
      </c>
      <c r="G703" s="68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7">
        <f>SETEMBRO!G81</f>
        <v>0</v>
      </c>
      <c r="G704" s="68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7">
        <f>SETEMBRO!G82</f>
        <v>0</v>
      </c>
      <c r="G705" s="68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7">
        <f>SETEMBRO!G83</f>
        <v>0</v>
      </c>
      <c r="G706" s="68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7">
        <f>SETEMBRO!G84</f>
        <v>0</v>
      </c>
      <c r="G707" s="68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7" t="str">
        <f>OUTUBRO!G7</f>
        <v>ESTALAGEM</v>
      </c>
      <c r="G708" s="68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7" t="str">
        <f>OUTUBRO!G8</f>
        <v>ESTALAGEM</v>
      </c>
      <c r="G709" s="68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7" t="str">
        <f>OUTUBRO!G9</f>
        <v>ESTALAGEM</v>
      </c>
      <c r="G710" s="68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7" t="str">
        <f>OUTUBRO!G10</f>
        <v>ESTALAGEM</v>
      </c>
      <c r="G711" s="68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7" t="str">
        <f>OUTUBRO!G11</f>
        <v>ESTALAGEM</v>
      </c>
      <c r="G712" s="68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7" t="str">
        <f>OUTUBRO!G12</f>
        <v>BENFICA</v>
      </c>
      <c r="G713" s="68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7">
        <f>OUTUBRO!G13</f>
        <v>0</v>
      </c>
      <c r="G714" s="68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7">
        <f>OUTUBRO!G14</f>
        <v>0</v>
      </c>
      <c r="G715" s="68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7">
        <f>OUTUBRO!G15</f>
        <v>0</v>
      </c>
      <c r="G716" s="68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7">
        <f>OUTUBRO!G16</f>
        <v>0</v>
      </c>
      <c r="G717" s="68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7">
        <f>OUTUBRO!G17</f>
        <v>0</v>
      </c>
      <c r="G718" s="68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7" t="str">
        <f>OUTUBRO!G18</f>
        <v>CALEMBA 2</v>
      </c>
      <c r="G719" s="68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7">
        <f>OUTUBRO!G19</f>
        <v>0</v>
      </c>
      <c r="G720" s="68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7">
        <f>OUTUBRO!G20</f>
        <v>0</v>
      </c>
      <c r="G721" s="68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7">
        <f>OUTUBRO!G21</f>
        <v>0</v>
      </c>
      <c r="G722" s="68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7">
        <f>OUTUBRO!G22</f>
        <v>0</v>
      </c>
      <c r="G723" s="68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7">
        <f>OUTUBRO!G23</f>
        <v>0</v>
      </c>
      <c r="G724" s="68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7">
        <f>OUTUBRO!G24</f>
        <v>0</v>
      </c>
      <c r="G725" s="68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7">
        <f>OUTUBRO!G25</f>
        <v>0</v>
      </c>
      <c r="G726" s="68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7">
        <f>OUTUBRO!G26</f>
        <v>0</v>
      </c>
      <c r="G727" s="68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7">
        <f>OUTUBRO!G27</f>
        <v>0</v>
      </c>
      <c r="G728" s="68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7">
        <f>OUTUBRO!G28</f>
        <v>0</v>
      </c>
      <c r="G729" s="68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7">
        <f>OUTUBRO!G29</f>
        <v>0</v>
      </c>
      <c r="G730" s="68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7">
        <f>OUTUBRO!G30</f>
        <v>0</v>
      </c>
      <c r="G731" s="68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7">
        <f>OUTUBRO!G31</f>
        <v>0</v>
      </c>
      <c r="G732" s="68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7">
        <f>OUTUBRO!G32</f>
        <v>0</v>
      </c>
      <c r="G733" s="68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7">
        <f>OUTUBRO!G33</f>
        <v>0</v>
      </c>
      <c r="G734" s="68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7">
        <f>OUTUBRO!G34</f>
        <v>0</v>
      </c>
      <c r="G735" s="68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7">
        <f>OUTUBRO!G35</f>
        <v>0</v>
      </c>
      <c r="G736" s="68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7">
        <f>OUTUBRO!G36</f>
        <v>0</v>
      </c>
      <c r="G737" s="68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7">
        <f>OUTUBRO!G37</f>
        <v>0</v>
      </c>
      <c r="G738" s="68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7">
        <f>OUTUBRO!G38</f>
        <v>0</v>
      </c>
      <c r="G739" s="68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7">
        <f>OUTUBRO!G39</f>
        <v>0</v>
      </c>
      <c r="G740" s="68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7">
        <f>OUTUBRO!G40</f>
        <v>0</v>
      </c>
      <c r="G741" s="68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7">
        <f>OUTUBRO!G41</f>
        <v>0</v>
      </c>
      <c r="G742" s="68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7">
        <f>OUTUBRO!G42</f>
        <v>0</v>
      </c>
      <c r="G743" s="68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7">
        <f>OUTUBRO!G43</f>
        <v>0</v>
      </c>
      <c r="G744" s="68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7">
        <f>OUTUBRO!G44</f>
        <v>0</v>
      </c>
      <c r="G745" s="68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7">
        <f>OUTUBRO!G45</f>
        <v>0</v>
      </c>
      <c r="G746" s="68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7">
        <f>OUTUBRO!G46</f>
        <v>0</v>
      </c>
      <c r="G747" s="68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7">
        <f>OUTUBRO!G47</f>
        <v>0</v>
      </c>
      <c r="G748" s="68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7">
        <f>OUTUBRO!G48</f>
        <v>0</v>
      </c>
      <c r="G749" s="68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7">
        <f>OUTUBRO!G49</f>
        <v>0</v>
      </c>
      <c r="G750" s="68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7">
        <f>OUTUBRO!G50</f>
        <v>0</v>
      </c>
      <c r="G751" s="68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7">
        <f>OUTUBRO!G51</f>
        <v>0</v>
      </c>
      <c r="G752" s="68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7">
        <f>OUTUBRO!G52</f>
        <v>0</v>
      </c>
      <c r="G753" s="68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7">
        <f>OUTUBRO!G53</f>
        <v>0</v>
      </c>
      <c r="G754" s="68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7">
        <f>OUTUBRO!G54</f>
        <v>0</v>
      </c>
      <c r="G755" s="68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7">
        <f>OUTUBRO!G55</f>
        <v>0</v>
      </c>
      <c r="G756" s="68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7">
        <f>OUTUBRO!G56</f>
        <v>0</v>
      </c>
      <c r="G757" s="68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7">
        <f>OUTUBRO!G57</f>
        <v>0</v>
      </c>
      <c r="G758" s="68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7">
        <f>OUTUBRO!G58</f>
        <v>0</v>
      </c>
      <c r="G759" s="68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7">
        <f>OUTUBRO!G59</f>
        <v>0</v>
      </c>
      <c r="G760" s="68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7">
        <f>OUTUBRO!G60</f>
        <v>0</v>
      </c>
      <c r="G761" s="68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7">
        <f>OUTUBRO!G61</f>
        <v>0</v>
      </c>
      <c r="G762" s="68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7">
        <f>OUTUBRO!G62</f>
        <v>0</v>
      </c>
      <c r="G763" s="68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7">
        <f>OUTUBRO!G63</f>
        <v>0</v>
      </c>
      <c r="G764" s="68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7">
        <f>OUTUBRO!G64</f>
        <v>0</v>
      </c>
      <c r="G765" s="68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7">
        <f>OUTUBRO!G65</f>
        <v>0</v>
      </c>
      <c r="G766" s="68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7">
        <f>OUTUBRO!G66</f>
        <v>0</v>
      </c>
      <c r="G767" s="68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7">
        <f>OUTUBRO!G67</f>
        <v>0</v>
      </c>
      <c r="G768" s="68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7">
        <f>OUTUBRO!G68</f>
        <v>0</v>
      </c>
      <c r="G769" s="68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7">
        <f>OUTUBRO!G69</f>
        <v>0</v>
      </c>
      <c r="G770" s="68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7">
        <f>OUTUBRO!G70</f>
        <v>0</v>
      </c>
      <c r="G771" s="68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7">
        <f>OUTUBRO!G71</f>
        <v>0</v>
      </c>
      <c r="G772" s="68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7">
        <f>OUTUBRO!G72</f>
        <v>0</v>
      </c>
      <c r="G773" s="68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7">
        <f>OUTUBRO!G73</f>
        <v>0</v>
      </c>
      <c r="G774" s="68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7">
        <f>OUTUBRO!G74</f>
        <v>0</v>
      </c>
      <c r="G775" s="68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7">
        <f>OUTUBRO!G75</f>
        <v>0</v>
      </c>
      <c r="G776" s="68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7">
        <f>OUTUBRO!G76</f>
        <v>0</v>
      </c>
      <c r="G777" s="68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7">
        <f>OUTUBRO!G77</f>
        <v>0</v>
      </c>
      <c r="G778" s="68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7">
        <f>OUTUBRO!G78</f>
        <v>0</v>
      </c>
      <c r="G779" s="68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7">
        <f>OUTUBRO!G79</f>
        <v>0</v>
      </c>
      <c r="G780" s="68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7" t="str">
        <f>OUTUBRO!G80</f>
        <v>BENFICA</v>
      </c>
      <c r="G781" s="68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7">
        <f>OUTUBRO!G81</f>
        <v>0</v>
      </c>
      <c r="G782" s="68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7">
        <f>OUTUBRO!G82</f>
        <v>0</v>
      </c>
      <c r="G783" s="68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7">
        <f>OUTUBRO!G83</f>
        <v>0</v>
      </c>
      <c r="G784" s="68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7">
        <f>OUTUBRO!G84</f>
        <v>0</v>
      </c>
      <c r="G785" s="68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7" t="str">
        <f>NOVEMBRO!G7</f>
        <v>CATETE</v>
      </c>
      <c r="G786" s="68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7" t="str">
        <f>NOVEMBRO!G8</f>
        <v>CATETE</v>
      </c>
      <c r="G787" s="68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7" t="str">
        <f>NOVEMBRO!G9</f>
        <v>CATETE</v>
      </c>
      <c r="G788" s="68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7" t="str">
        <f>NOVEMBRO!G10</f>
        <v>CATETE</v>
      </c>
      <c r="G789" s="68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7" t="str">
        <f>NOVEMBRO!G11</f>
        <v>CATETE</v>
      </c>
      <c r="G790" s="68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7" t="str">
        <f>NOVEMBRO!G12</f>
        <v>BENFICA</v>
      </c>
      <c r="G791" s="68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7">
        <f>NOVEMBRO!G13</f>
        <v>0</v>
      </c>
      <c r="G792" s="68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7">
        <f>NOVEMBRO!G14</f>
        <v>0</v>
      </c>
      <c r="G793" s="68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7">
        <f>NOVEMBRO!G15</f>
        <v>0</v>
      </c>
      <c r="G794" s="68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7">
        <f>NOVEMBRO!G16</f>
        <v>0</v>
      </c>
      <c r="G795" s="68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7">
        <f>NOVEMBRO!G17</f>
        <v>0</v>
      </c>
      <c r="G796" s="68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7" t="str">
        <f>NOVEMBRO!G18</f>
        <v>CALEMBA 2</v>
      </c>
      <c r="G797" s="68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7">
        <f>NOVEMBRO!G19</f>
        <v>0</v>
      </c>
      <c r="G798" s="68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7">
        <f>NOVEMBRO!G20</f>
        <v>0</v>
      </c>
      <c r="G799" s="68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7">
        <f>NOVEMBRO!G21</f>
        <v>0</v>
      </c>
      <c r="G800" s="68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7">
        <f>NOVEMBRO!G22</f>
        <v>0</v>
      </c>
      <c r="G801" s="68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7">
        <f>NOVEMBRO!G23</f>
        <v>0</v>
      </c>
      <c r="G802" s="68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7">
        <f>NOVEMBRO!G24</f>
        <v>0</v>
      </c>
      <c r="G803" s="68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7">
        <f>NOVEMBRO!G25</f>
        <v>0</v>
      </c>
      <c r="G804" s="68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7">
        <f>NOVEMBRO!G26</f>
        <v>0</v>
      </c>
      <c r="G805" s="68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7">
        <f>NOVEMBRO!G27</f>
        <v>0</v>
      </c>
      <c r="G806" s="68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7">
        <f>NOVEMBRO!G28</f>
        <v>0</v>
      </c>
      <c r="G807" s="68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7">
        <f>NOVEMBRO!G29</f>
        <v>0</v>
      </c>
      <c r="G808" s="68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7">
        <f>NOVEMBRO!G30</f>
        <v>0</v>
      </c>
      <c r="G809" s="68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7">
        <f>NOVEMBRO!G31</f>
        <v>0</v>
      </c>
      <c r="G810" s="68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7">
        <f>NOVEMBRO!G32</f>
        <v>0</v>
      </c>
      <c r="G811" s="68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7">
        <f>NOVEMBRO!G33</f>
        <v>0</v>
      </c>
      <c r="G812" s="68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7">
        <f>NOVEMBRO!G34</f>
        <v>0</v>
      </c>
      <c r="G813" s="68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7">
        <f>NOVEMBRO!G35</f>
        <v>0</v>
      </c>
      <c r="G814" s="68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7">
        <f>NOVEMBRO!G36</f>
        <v>0</v>
      </c>
      <c r="G815" s="68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7">
        <f>NOVEMBRO!G37</f>
        <v>0</v>
      </c>
      <c r="G816" s="68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7">
        <f>NOVEMBRO!G38</f>
        <v>0</v>
      </c>
      <c r="G817" s="68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7">
        <f>NOVEMBRO!G39</f>
        <v>0</v>
      </c>
      <c r="G818" s="68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7">
        <f>NOVEMBRO!G40</f>
        <v>0</v>
      </c>
      <c r="G819" s="68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7">
        <f>NOVEMBRO!G41</f>
        <v>0</v>
      </c>
      <c r="G820" s="68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7">
        <f>NOVEMBRO!G42</f>
        <v>0</v>
      </c>
      <c r="G821" s="68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7">
        <f>NOVEMBRO!G43</f>
        <v>0</v>
      </c>
      <c r="G822" s="68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7">
        <f>NOVEMBRO!G44</f>
        <v>0</v>
      </c>
      <c r="G823" s="68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7">
        <f>NOVEMBRO!G45</f>
        <v>0</v>
      </c>
      <c r="G824" s="68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7">
        <f>NOVEMBRO!G46</f>
        <v>0</v>
      </c>
      <c r="G825" s="68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7">
        <f>NOVEMBRO!G47</f>
        <v>0</v>
      </c>
      <c r="G826" s="68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7">
        <f>NOVEMBRO!G48</f>
        <v>0</v>
      </c>
      <c r="G827" s="68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7">
        <f>NOVEMBRO!G49</f>
        <v>0</v>
      </c>
      <c r="G828" s="68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7">
        <f>NOVEMBRO!G50</f>
        <v>0</v>
      </c>
      <c r="G829" s="68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7">
        <f>NOVEMBRO!G51</f>
        <v>0</v>
      </c>
      <c r="G830" s="68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7">
        <f>NOVEMBRO!G52</f>
        <v>0</v>
      </c>
      <c r="G831" s="68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7">
        <f>NOVEMBRO!G53</f>
        <v>0</v>
      </c>
      <c r="G832" s="68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7">
        <f>NOVEMBRO!G54</f>
        <v>0</v>
      </c>
      <c r="G833" s="68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7">
        <f>NOVEMBRO!G55</f>
        <v>0</v>
      </c>
      <c r="G834" s="68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7">
        <f>NOVEMBRO!G56</f>
        <v>0</v>
      </c>
      <c r="G835" s="68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7">
        <f>NOVEMBRO!G57</f>
        <v>0</v>
      </c>
      <c r="G836" s="68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7">
        <f>NOVEMBRO!G58</f>
        <v>0</v>
      </c>
      <c r="G837" s="68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7">
        <f>NOVEMBRO!G59</f>
        <v>0</v>
      </c>
      <c r="G838" s="68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7">
        <f>NOVEMBRO!G60</f>
        <v>0</v>
      </c>
      <c r="G839" s="68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7">
        <f>NOVEMBRO!G61</f>
        <v>0</v>
      </c>
      <c r="G840" s="68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7">
        <f>NOVEMBRO!G62</f>
        <v>0</v>
      </c>
      <c r="G841" s="68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7">
        <f>NOVEMBRO!G63</f>
        <v>0</v>
      </c>
      <c r="G842" s="68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7">
        <f>NOVEMBRO!G64</f>
        <v>0</v>
      </c>
      <c r="G843" s="68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7">
        <f>NOVEMBRO!G65</f>
        <v>0</v>
      </c>
      <c r="G844" s="68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7">
        <f>NOVEMBRO!G66</f>
        <v>0</v>
      </c>
      <c r="G845" s="68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7">
        <f>NOVEMBRO!G67</f>
        <v>0</v>
      </c>
      <c r="G846" s="68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7">
        <f>NOVEMBRO!G68</f>
        <v>0</v>
      </c>
      <c r="G847" s="68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7">
        <f>NOVEMBRO!G69</f>
        <v>0</v>
      </c>
      <c r="G848" s="68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7">
        <f>NOVEMBRO!G70</f>
        <v>0</v>
      </c>
      <c r="G849" s="68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7">
        <f>NOVEMBRO!G71</f>
        <v>0</v>
      </c>
      <c r="G850" s="68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7">
        <f>NOVEMBRO!G72</f>
        <v>0</v>
      </c>
      <c r="G851" s="68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7">
        <f>NOVEMBRO!G73</f>
        <v>0</v>
      </c>
      <c r="G852" s="68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7">
        <f>NOVEMBRO!G74</f>
        <v>0</v>
      </c>
      <c r="G853" s="68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7">
        <f>NOVEMBRO!G75</f>
        <v>0</v>
      </c>
      <c r="G854" s="68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7">
        <f>NOVEMBRO!G76</f>
        <v>0</v>
      </c>
      <c r="G855" s="68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7">
        <f>NOVEMBRO!G77</f>
        <v>0</v>
      </c>
      <c r="G856" s="68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7">
        <f>NOVEMBRO!G78</f>
        <v>0</v>
      </c>
      <c r="G857" s="68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7">
        <f>NOVEMBRO!G79</f>
        <v>0</v>
      </c>
      <c r="G858" s="68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7" t="str">
        <f>NOVEMBRO!G80</f>
        <v>BENFICA</v>
      </c>
      <c r="G859" s="68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7">
        <f>NOVEMBRO!G81</f>
        <v>0</v>
      </c>
      <c r="G860" s="68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7">
        <f>NOVEMBRO!G82</f>
        <v>0</v>
      </c>
      <c r="G861" s="68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7">
        <f>NOVEMBRO!G83</f>
        <v>0</v>
      </c>
      <c r="G862" s="68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7">
        <f>NOVEMBRO!G84</f>
        <v>0</v>
      </c>
      <c r="G863" s="68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7" t="str">
        <f>DEZEMBRO!G7</f>
        <v>VILA DE VIANA</v>
      </c>
      <c r="G864" s="68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7" t="str">
        <f>DEZEMBRO!G8</f>
        <v>VILA DE VIANA</v>
      </c>
      <c r="G865" s="68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7" t="str">
        <f>DEZEMBRO!G9</f>
        <v>VILA DE VIANA</v>
      </c>
      <c r="G866" s="68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7" t="str">
        <f>DEZEMBRO!G10</f>
        <v>VILA DE VIANA</v>
      </c>
      <c r="G867" s="68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7" t="str">
        <f>DEZEMBRO!G11</f>
        <v>VILA DE VIANA</v>
      </c>
      <c r="G868" s="68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7" t="str">
        <f>DEZEMBRO!G12</f>
        <v>BENFICA</v>
      </c>
      <c r="G869" s="68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7" t="str">
        <f>DEZEMBRO!G13</f>
        <v>ZANGO 3</v>
      </c>
      <c r="G870" s="68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7">
        <f>DEZEMBRO!G14</f>
        <v>0</v>
      </c>
      <c r="G871" s="68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7">
        <f>DEZEMBRO!G15</f>
        <v>0</v>
      </c>
      <c r="G872" s="68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7">
        <f>DEZEMBRO!G16</f>
        <v>0</v>
      </c>
      <c r="G873" s="68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7">
        <f>DEZEMBRO!G17</f>
        <v>0</v>
      </c>
      <c r="G874" s="68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7" t="str">
        <f>DEZEMBRO!G18</f>
        <v>CALEMBA 2</v>
      </c>
      <c r="G875" s="68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7">
        <f>DEZEMBRO!G19</f>
        <v>0</v>
      </c>
      <c r="G876" s="68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7">
        <f>DEZEMBRO!G20</f>
        <v>0</v>
      </c>
      <c r="G877" s="68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7">
        <f>DEZEMBRO!G21</f>
        <v>0</v>
      </c>
      <c r="G878" s="68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7">
        <f>DEZEMBRO!G22</f>
        <v>0</v>
      </c>
      <c r="G879" s="68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7">
        <f>DEZEMBRO!G23</f>
        <v>0</v>
      </c>
      <c r="G880" s="68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7">
        <f>DEZEMBRO!G24</f>
        <v>0</v>
      </c>
      <c r="G881" s="68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7">
        <f>DEZEMBRO!G25</f>
        <v>0</v>
      </c>
      <c r="G882" s="68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7" t="str">
        <f>DEZEMBRO!G26</f>
        <v>GOLF 2</v>
      </c>
      <c r="G883" s="68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7" t="str">
        <f>DEZEMBRO!G27</f>
        <v>GOLF 3</v>
      </c>
      <c r="G884" s="68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7" t="str">
        <f>DEZEMBRO!G28</f>
        <v>GOLF 4</v>
      </c>
      <c r="G885" s="68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7" t="str">
        <f>DEZEMBRO!G29</f>
        <v>GOLF 5</v>
      </c>
      <c r="G886" s="68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7" t="str">
        <f>DEZEMBRO!G30</f>
        <v>GOLF 6</v>
      </c>
      <c r="G887" s="68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7" t="str">
        <f>DEZEMBRO!G31</f>
        <v>GOLF 7</v>
      </c>
      <c r="G888" s="68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7" t="str">
        <f>DEZEMBRO!G32</f>
        <v>GOLF 8</v>
      </c>
      <c r="G889" s="68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7" t="str">
        <f>DEZEMBRO!G33</f>
        <v>GOLF 9</v>
      </c>
      <c r="G890" s="68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7" t="str">
        <f>DEZEMBRO!G34</f>
        <v>GOLF 10</v>
      </c>
      <c r="G891" s="68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7" t="str">
        <f>DEZEMBRO!G35</f>
        <v>GOLF 11</v>
      </c>
      <c r="G892" s="68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7" t="str">
        <f>DEZEMBRO!G36</f>
        <v>GOLF 12</v>
      </c>
      <c r="G893" s="68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7" t="str">
        <f>DEZEMBRO!G37</f>
        <v>GOLF 13</v>
      </c>
      <c r="G894" s="68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7" t="str">
        <f>DEZEMBRO!G38</f>
        <v>GOLF 14</v>
      </c>
      <c r="G895" s="68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7" t="str">
        <f>DEZEMBRO!G39</f>
        <v>GOLF 15</v>
      </c>
      <c r="G896" s="68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7" t="str">
        <f>DEZEMBRO!G40</f>
        <v>GOLF 16</v>
      </c>
      <c r="G897" s="68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7" t="str">
        <f>DEZEMBRO!G41</f>
        <v>GOLF 17</v>
      </c>
      <c r="G898" s="68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7" t="str">
        <f>DEZEMBRO!G42</f>
        <v>GOLF 18</v>
      </c>
      <c r="G899" s="68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7" t="str">
        <f>DEZEMBRO!G43</f>
        <v>GOLF 19</v>
      </c>
      <c r="G900" s="68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7" t="str">
        <f>DEZEMBRO!G44</f>
        <v>GOLF 20</v>
      </c>
      <c r="G901" s="68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7" t="str">
        <f>DEZEMBRO!G45</f>
        <v>GOLF 21</v>
      </c>
      <c r="G902" s="68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7" t="str">
        <f>DEZEMBRO!G46</f>
        <v>GOLF 22</v>
      </c>
      <c r="G903" s="68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7" t="str">
        <f>DEZEMBRO!G47</f>
        <v>GOLF 23</v>
      </c>
      <c r="G904" s="68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7" t="str">
        <f>DEZEMBRO!G48</f>
        <v>GOLF 24</v>
      </c>
      <c r="G905" s="68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7" t="str">
        <f>DEZEMBRO!G49</f>
        <v>GOLF 25</v>
      </c>
      <c r="G906" s="68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7" t="str">
        <f>DEZEMBRO!G50</f>
        <v>GOLF 26</v>
      </c>
      <c r="G907" s="68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7" t="str">
        <f>DEZEMBRO!G51</f>
        <v>GOLF 27</v>
      </c>
      <c r="G908" s="68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7" t="str">
        <f>DEZEMBRO!G52</f>
        <v>GOLF 28</v>
      </c>
      <c r="G909" s="68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7" t="str">
        <f>DEZEMBRO!G53</f>
        <v>GOLF 29</v>
      </c>
      <c r="G910" s="68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7" t="str">
        <f>DEZEMBRO!G54</f>
        <v>GOLF 30</v>
      </c>
      <c r="G911" s="68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7" t="str">
        <f>DEZEMBRO!G55</f>
        <v>GOLF 31</v>
      </c>
      <c r="G912" s="68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7" t="str">
        <f>DEZEMBRO!G56</f>
        <v>GOLF 32</v>
      </c>
      <c r="G913" s="68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7" t="str">
        <f>DEZEMBRO!G57</f>
        <v>GOLF 33</v>
      </c>
      <c r="G914" s="68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7" t="str">
        <f>DEZEMBRO!G58</f>
        <v>GOLF 34</v>
      </c>
      <c r="G915" s="68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7" t="str">
        <f>DEZEMBRO!G59</f>
        <v>GOLF 35</v>
      </c>
      <c r="G916" s="68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7" t="str">
        <f>DEZEMBRO!G60</f>
        <v>GOLF 36</v>
      </c>
      <c r="G917" s="68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7" t="str">
        <f>DEZEMBRO!G61</f>
        <v>GOLF 37</v>
      </c>
      <c r="G918" s="68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7" t="str">
        <f>DEZEMBRO!G62</f>
        <v>GOLF 38</v>
      </c>
      <c r="G919" s="68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7" t="str">
        <f>DEZEMBRO!G63</f>
        <v>GOLF 39</v>
      </c>
      <c r="G920" s="68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7" t="str">
        <f>DEZEMBRO!G64</f>
        <v>GOLF 40</v>
      </c>
      <c r="G921" s="68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7" t="str">
        <f>DEZEMBRO!G65</f>
        <v>GOLF 41</v>
      </c>
      <c r="G922" s="68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7" t="str">
        <f>DEZEMBRO!G66</f>
        <v>GOLF 42</v>
      </c>
      <c r="G923" s="68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7" t="str">
        <f>DEZEMBRO!G67</f>
        <v>GOLF 43</v>
      </c>
      <c r="G924" s="68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7" t="str">
        <f>DEZEMBRO!G68</f>
        <v>GOLF 44</v>
      </c>
      <c r="G925" s="68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7" t="str">
        <f>DEZEMBRO!G69</f>
        <v>GOLF 45</v>
      </c>
      <c r="G926" s="68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7" t="str">
        <f>DEZEMBRO!G70</f>
        <v>GOLF 46</v>
      </c>
      <c r="G927" s="68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7" t="str">
        <f>DEZEMBRO!G71</f>
        <v>GOLF 47</v>
      </c>
      <c r="G928" s="68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7" t="str">
        <f>DEZEMBRO!G72</f>
        <v>GOLF 48</v>
      </c>
      <c r="G929" s="68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7" t="str">
        <f>DEZEMBRO!G73</f>
        <v>GOLF 49</v>
      </c>
      <c r="G930" s="68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7" t="str">
        <f>DEZEMBRO!G74</f>
        <v>GOLF 50</v>
      </c>
      <c r="G931" s="68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7" t="str">
        <f>DEZEMBRO!G75</f>
        <v>GOLF 51</v>
      </c>
      <c r="G932" s="68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7" t="str">
        <f>DEZEMBRO!G76</f>
        <v>GOLF 52</v>
      </c>
      <c r="G933" s="68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7" t="str">
        <f>DEZEMBRO!G77</f>
        <v>GOLF 53</v>
      </c>
      <c r="G934" s="68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7" t="str">
        <f>DEZEMBRO!G78</f>
        <v>GOLF 54</v>
      </c>
      <c r="G935" s="68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7" t="str">
        <f>DEZEMBRO!G79</f>
        <v>GOLF 55</v>
      </c>
      <c r="G936" s="68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7" t="str">
        <f>DEZEMBRO!G80</f>
        <v>BENFICA</v>
      </c>
      <c r="G937" s="68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7">
        <f>DEZEMBRO!G81</f>
        <v>0</v>
      </c>
      <c r="G938" s="68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7">
        <f>DEZEMBRO!G82</f>
        <v>0</v>
      </c>
      <c r="G939" s="68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7">
        <f>DEZEMBRO!G83</f>
        <v>0</v>
      </c>
      <c r="G940" s="68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7">
        <f>DEZEMBRO!G84</f>
        <v>0</v>
      </c>
      <c r="G941" s="68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6"/>
      <c r="G942" s="34"/>
      <c r="H942" s="37"/>
      <c r="I942" s="34"/>
    </row>
    <row r="943" spans="2:16" x14ac:dyDescent="0.25">
      <c r="C943" s="35"/>
      <c r="D943" s="35"/>
      <c r="E943" s="35"/>
      <c r="F943" s="66"/>
      <c r="G943" s="34"/>
      <c r="H943" s="37"/>
      <c r="I943" s="34"/>
    </row>
    <row r="944" spans="2:16" x14ac:dyDescent="0.25">
      <c r="C944" s="35"/>
      <c r="D944" s="35"/>
      <c r="E944" s="35"/>
      <c r="F944" s="66"/>
      <c r="G944" s="34"/>
      <c r="H944" s="37"/>
      <c r="I944" s="34"/>
    </row>
    <row r="945" spans="3:9" x14ac:dyDescent="0.25">
      <c r="C945" s="35"/>
      <c r="D945" s="35"/>
      <c r="E945" s="35"/>
      <c r="F945" s="66"/>
      <c r="G945" s="34"/>
      <c r="H945" s="37"/>
      <c r="I945" s="34"/>
    </row>
    <row r="946" spans="3:9" x14ac:dyDescent="0.25">
      <c r="C946" s="35"/>
      <c r="D946" s="35"/>
      <c r="E946" s="35"/>
      <c r="F946" s="66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9"/>
  <sheetViews>
    <sheetView showGridLines="0" workbookViewId="0">
      <selection activeCell="B2" sqref="B2:B9"/>
    </sheetView>
  </sheetViews>
  <sheetFormatPr defaultRowHeight="15" x14ac:dyDescent="0.25"/>
  <cols>
    <col min="2" max="2" width="22" bestFit="1" customWidth="1"/>
    <col min="3" max="3" width="10.7109375" bestFit="1" customWidth="1"/>
    <col min="4" max="4" width="8.28515625" bestFit="1" customWidth="1"/>
  </cols>
  <sheetData>
    <row r="2" spans="2:4" x14ac:dyDescent="0.25">
      <c r="B2" s="72" t="s">
        <v>186</v>
      </c>
      <c r="C2" s="72" t="s">
        <v>187</v>
      </c>
      <c r="D2" s="72" t="s">
        <v>83</v>
      </c>
    </row>
    <row r="3" spans="2:4" x14ac:dyDescent="0.25">
      <c r="B3" s="72" t="s">
        <v>34</v>
      </c>
      <c r="C3" s="72" t="s">
        <v>189</v>
      </c>
      <c r="D3" s="72" t="s">
        <v>190</v>
      </c>
    </row>
    <row r="4" spans="2:4" x14ac:dyDescent="0.25">
      <c r="B4" s="72" t="s">
        <v>4</v>
      </c>
      <c r="C4" s="72" t="s">
        <v>189</v>
      </c>
      <c r="D4" s="72" t="s">
        <v>190</v>
      </c>
    </row>
    <row r="5" spans="2:4" x14ac:dyDescent="0.25">
      <c r="B5" s="72" t="s">
        <v>188</v>
      </c>
      <c r="C5" s="72" t="s">
        <v>189</v>
      </c>
      <c r="D5" s="72" t="s">
        <v>190</v>
      </c>
    </row>
    <row r="6" spans="2:4" x14ac:dyDescent="0.25">
      <c r="B6" s="74" t="s">
        <v>191</v>
      </c>
      <c r="C6" s="72" t="s">
        <v>189</v>
      </c>
    </row>
    <row r="7" spans="2:4" x14ac:dyDescent="0.25">
      <c r="B7" s="72" t="s">
        <v>105</v>
      </c>
      <c r="C7" s="72" t="s">
        <v>189</v>
      </c>
      <c r="D7" s="72"/>
    </row>
    <row r="8" spans="2:4" x14ac:dyDescent="0.25">
      <c r="B8" s="72" t="s">
        <v>56</v>
      </c>
      <c r="C8" s="72" t="s">
        <v>189</v>
      </c>
      <c r="D8" s="72"/>
    </row>
    <row r="9" spans="2:4" x14ac:dyDescent="0.25">
      <c r="B9" s="73" t="s">
        <v>106</v>
      </c>
      <c r="C9" s="73" t="s">
        <v>189</v>
      </c>
      <c r="D9" s="73"/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29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6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DASHBOARD</vt:lpstr>
      <vt:lpstr>AUXILIAR 2</vt:lpstr>
      <vt:lpstr>FLUXO DE CAIXA (2)</vt:lpstr>
      <vt:lpstr>COMPARAÇAO CENTROS DE CUSTO</vt:lpstr>
      <vt:lpstr>FLUXO DE CAIXA CENTROS</vt:lpstr>
      <vt:lpstr>plano de contas</vt:lpstr>
      <vt:lpstr>CENTRO DE CUSTO</vt:lpstr>
      <vt:lpstr>DRE</vt:lpstr>
      <vt:lpstr>GRAFICOS</vt:lpstr>
      <vt:lpstr>FC-DIARIO</vt:lpstr>
      <vt:lpstr>DRE1</vt:lpstr>
      <vt:lpstr>AUXILIAR</vt:lpstr>
      <vt:lpstr>INDICADORES</vt:lpstr>
      <vt:lpstr>RASCUNHO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dcterms:created xsi:type="dcterms:W3CDTF">2026-03-05T04:00:41Z</dcterms:created>
  <dcterms:modified xsi:type="dcterms:W3CDTF">2026-03-16T03:19:35Z</dcterms:modified>
</cp:coreProperties>
</file>